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734bb2cabd352e/바탕 화면/"/>
    </mc:Choice>
  </mc:AlternateContent>
  <xr:revisionPtr revIDLastSave="0" documentId="8_{99931A96-7B7B-4854-9DF9-73E08EC26B97}" xr6:coauthVersionLast="47" xr6:coauthVersionMax="47" xr10:uidLastSave="{00000000-0000-0000-0000-000000000000}"/>
  <bookViews>
    <workbookView xWindow="28680" yWindow="-120" windowWidth="38640" windowHeight="15720" firstSheet="2" activeTab="6" xr2:uid="{F7F1CD0B-4ADF-4492-BA41-A35588B5B65F}"/>
  </bookViews>
  <sheets>
    <sheet name="PVC(9410)" sheetId="1" r:id="rId1"/>
    <sheet name="TPE(9410)" sheetId="2" r:id="rId2"/>
    <sheet name="OWF10(상품)" sheetId="3" r:id="rId3"/>
    <sheet name="OWF101" sheetId="5" r:id="rId4"/>
    <sheet name="TNC(tncol)" sheetId="4" r:id="rId5"/>
    <sheet name="PCM 07월" sheetId="16" r:id="rId6"/>
    <sheet name="매입-매출 정리본" sheetId="7" r:id="rId7"/>
    <sheet name="자재매입" sheetId="9" r:id="rId8"/>
    <sheet name="원자재매입내역" sheetId="10" r:id="rId9"/>
    <sheet name="부자재매입내역" sheetId="11" r:id="rId10"/>
    <sheet name="기타매입내역" sheetId="12" r:id="rId11"/>
    <sheet name="매출세금계산서 " sheetId="17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5" hidden="1">'PCM 07월'!$A$4:$AL$180</definedName>
    <definedName name="_xlnm._FilterDatabase" localSheetId="10" hidden="1">기타매입내역!$B$2:$F$139</definedName>
    <definedName name="_xlnm._FilterDatabase" localSheetId="9" hidden="1">부자재매입내역!$B$2:$AL$238</definedName>
    <definedName name="_xlnm._FilterDatabase" localSheetId="8" hidden="1">원자재매입내역!$A$2:$AL$113</definedName>
    <definedName name="_xlnm._FilterDatabase" localSheetId="7" hidden="1">자재매입!$A$2:$L$322</definedName>
    <definedName name="A" localSheetId="3" hidden="1">{#N/A,#N/A,FALSE,"Repair";#N/A,#N/A,FALSE,"Audit Room";#N/A,#N/A,FALSE,"Simulator"}</definedName>
    <definedName name="A" localSheetId="11" hidden="1">{#N/A,#N/A,FALSE,"Repair";#N/A,#N/A,FALSE,"Audit Room";#N/A,#N/A,FALSE,"Simulator"}</definedName>
    <definedName name="A" localSheetId="7" hidden="1">{#N/A,#N/A,FALSE,"Repair";#N/A,#N/A,FALSE,"Audit Room";#N/A,#N/A,FALSE,"Simulator"}</definedName>
    <definedName name="AA" localSheetId="3" hidden="1">{#N/A,#N/A,FALSE,"Repair";#N/A,#N/A,FALSE,"Audit Room";#N/A,#N/A,FALSE,"Simulator"}</definedName>
    <definedName name="AA" localSheetId="11" hidden="1">{#N/A,#N/A,FALSE,"Repair";#N/A,#N/A,FALSE,"Audit Room";#N/A,#N/A,FALSE,"Simulator"}</definedName>
    <definedName name="AA" localSheetId="7" hidden="1">{#N/A,#N/A,FALSE,"Repair";#N/A,#N/A,FALSE,"Audit Room";#N/A,#N/A,FALSE,"Simulator"}</definedName>
    <definedName name="bbbbbbbbbbbbbbbbb" localSheetId="3" hidden="1">{#N/A,#N/A,FALSE,"Repair";#N/A,#N/A,FALSE,"Audit Room";#N/A,#N/A,FALSE,"Simulator"}</definedName>
    <definedName name="bbbbbbbbbbbbbbbbb" localSheetId="11" hidden="1">{#N/A,#N/A,FALSE,"Repair";#N/A,#N/A,FALSE,"Audit Room";#N/A,#N/A,FALSE,"Simulator"}</definedName>
    <definedName name="bbbbbbbbbbbbbbbbb" localSheetId="7" hidden="1">{#N/A,#N/A,FALSE,"Repair";#N/A,#N/A,FALSE,"Audit Room";#N/A,#N/A,FALSE,"Simulator"}</definedName>
    <definedName name="dd" localSheetId="3" hidden="1">{#N/A,#N/A,FALSE,"Repair";#N/A,#N/A,FALSE,"Audit Room";#N/A,#N/A,FALSE,"Simulator"}</definedName>
    <definedName name="dd" localSheetId="11" hidden="1">{#N/A,#N/A,FALSE,"Repair";#N/A,#N/A,FALSE,"Audit Room";#N/A,#N/A,FALSE,"Simulator"}</definedName>
    <definedName name="dd" localSheetId="7" hidden="1">{#N/A,#N/A,FALSE,"Repair";#N/A,#N/A,FALSE,"Audit Room";#N/A,#N/A,FALSE,"Simulator"}</definedName>
    <definedName name="dsfgdfgertewte" localSheetId="3" hidden="1">{#N/A,#N/A,FALSE,"Repair";#N/A,#N/A,FALSE,"Audit Room";#N/A,#N/A,FALSE,"Simulator"}</definedName>
    <definedName name="dsfgdfgertewte" localSheetId="11" hidden="1">{#N/A,#N/A,FALSE,"Repair";#N/A,#N/A,FALSE,"Audit Room";#N/A,#N/A,FALSE,"Simulator"}</definedName>
    <definedName name="dsfgdfgertewte" localSheetId="7" hidden="1">{#N/A,#N/A,FALSE,"Repair";#N/A,#N/A,FALSE,"Audit Room";#N/A,#N/A,FALSE,"Simulator"}</definedName>
    <definedName name="eee" localSheetId="3" hidden="1">{#N/A,#N/A,FALSE,"Repair";#N/A,#N/A,FALSE,"Audit Room";#N/A,#N/A,FALSE,"Simulator"}</definedName>
    <definedName name="eee" localSheetId="11" hidden="1">{#N/A,#N/A,FALSE,"Repair";#N/A,#N/A,FALSE,"Audit Room";#N/A,#N/A,FALSE,"Simulator"}</definedName>
    <definedName name="eee" localSheetId="7" hidden="1">{#N/A,#N/A,FALSE,"Repair";#N/A,#N/A,FALSE,"Audit Room";#N/A,#N/A,FALSE,"Simulator"}</definedName>
    <definedName name="eetyreyte" localSheetId="3" hidden="1">{#N/A,#N/A,FALSE,"Repair";#N/A,#N/A,FALSE,"Audit Room";#N/A,#N/A,FALSE,"Simulator"}</definedName>
    <definedName name="eetyreyte" localSheetId="11" hidden="1">{#N/A,#N/A,FALSE,"Repair";#N/A,#N/A,FALSE,"Audit Room";#N/A,#N/A,FALSE,"Simulator"}</definedName>
    <definedName name="eetyreyte" localSheetId="7" hidden="1">{#N/A,#N/A,FALSE,"Repair";#N/A,#N/A,FALSE,"Audit Room";#N/A,#N/A,FALSE,"Simulator"}</definedName>
    <definedName name="ertewrtert" localSheetId="3" hidden="1">{#N/A,#N/A,FALSE,"Repair";#N/A,#N/A,FALSE,"Audit Room";#N/A,#N/A,FALSE,"Simulator"}</definedName>
    <definedName name="ertewrtert" localSheetId="11" hidden="1">{#N/A,#N/A,FALSE,"Repair";#N/A,#N/A,FALSE,"Audit Room";#N/A,#N/A,FALSE,"Simulator"}</definedName>
    <definedName name="ertewrtert" localSheetId="7" hidden="1">{#N/A,#N/A,FALSE,"Repair";#N/A,#N/A,FALSE,"Audit Room";#N/A,#N/A,FALSE,"Simulator"}</definedName>
    <definedName name="eruyu" localSheetId="3" hidden="1">{#N/A,#N/A,FALSE,"Repair";#N/A,#N/A,FALSE,"Audit Room";#N/A,#N/A,FALSE,"Simulator"}</definedName>
    <definedName name="eruyu" localSheetId="11" hidden="1">{#N/A,#N/A,FALSE,"Repair";#N/A,#N/A,FALSE,"Audit Room";#N/A,#N/A,FALSE,"Simulator"}</definedName>
    <definedName name="eruyu" localSheetId="7" hidden="1">{#N/A,#N/A,FALSE,"Repair";#N/A,#N/A,FALSE,"Audit Room";#N/A,#N/A,FALSE,"Simulator"}</definedName>
    <definedName name="es" localSheetId="3" hidden="1">{#N/A,#N/A,FALSE,"Repair";#N/A,#N/A,FALSE,"Audit Room";#N/A,#N/A,FALSE,"Simulator"}</definedName>
    <definedName name="es" localSheetId="11" hidden="1">{#N/A,#N/A,FALSE,"Repair";#N/A,#N/A,FALSE,"Audit Room";#N/A,#N/A,FALSE,"Simulator"}</definedName>
    <definedName name="es" localSheetId="7" hidden="1">{#N/A,#N/A,FALSE,"Repair";#N/A,#N/A,FALSE,"Audit Room";#N/A,#N/A,FALSE,"Simulator"}</definedName>
    <definedName name="ewrere" localSheetId="3" hidden="1">{#N/A,#N/A,FALSE,"Repair";#N/A,#N/A,FALSE,"Audit Room";#N/A,#N/A,FALSE,"Simulator"}</definedName>
    <definedName name="ewrere" localSheetId="11" hidden="1">{#N/A,#N/A,FALSE,"Repair";#N/A,#N/A,FALSE,"Audit Room";#N/A,#N/A,FALSE,"Simulator"}</definedName>
    <definedName name="ewrere" localSheetId="7" hidden="1">{#N/A,#N/A,FALSE,"Repair";#N/A,#N/A,FALSE,"Audit Room";#N/A,#N/A,FALSE,"Simulator"}</definedName>
    <definedName name="fdgdfgdf" localSheetId="3" hidden="1">{#N/A,#N/A,FALSE,"Repair";#N/A,#N/A,FALSE,"Audit Room";#N/A,#N/A,FALSE,"Simulator"}</definedName>
    <definedName name="fdgdfgdf" localSheetId="11" hidden="1">{#N/A,#N/A,FALSE,"Repair";#N/A,#N/A,FALSE,"Audit Room";#N/A,#N/A,FALSE,"Simulator"}</definedName>
    <definedName name="fdgdfgdf" localSheetId="7" hidden="1">{#N/A,#N/A,FALSE,"Repair";#N/A,#N/A,FALSE,"Audit Room";#N/A,#N/A,FALSE,"Simulator"}</definedName>
    <definedName name="gfgggfddfgfg" localSheetId="3" hidden="1">{#N/A,#N/A,FALSE,"Repair";#N/A,#N/A,FALSE,"Audit Room";#N/A,#N/A,FALSE,"Simulator"}</definedName>
    <definedName name="gfgggfddfgfg" localSheetId="11" hidden="1">{#N/A,#N/A,FALSE,"Repair";#N/A,#N/A,FALSE,"Audit Room";#N/A,#N/A,FALSE,"Simulator"}</definedName>
    <definedName name="gfgggfddfgfg" localSheetId="7" hidden="1">{#N/A,#N/A,FALSE,"Repair";#N/A,#N/A,FALSE,"Audit Room";#N/A,#N/A,FALSE,"Simulator"}</definedName>
    <definedName name="gg" localSheetId="3" hidden="1">{#N/A,#N/A,FALSE,"Repair";#N/A,#N/A,FALSE,"Audit Room";#N/A,#N/A,FALSE,"Simulator"}</definedName>
    <definedName name="gg" localSheetId="11" hidden="1">{#N/A,#N/A,FALSE,"Repair";#N/A,#N/A,FALSE,"Audit Room";#N/A,#N/A,FALSE,"Simulator"}</definedName>
    <definedName name="gg" localSheetId="7" hidden="1">{#N/A,#N/A,FALSE,"Repair";#N/A,#N/A,FALSE,"Audit Room";#N/A,#N/A,FALSE,"Simulator"}</definedName>
    <definedName name="grdgrgfdfg" localSheetId="3" hidden="1">{#N/A,#N/A,FALSE,"Repair";#N/A,#N/A,FALSE,"Audit Room";#N/A,#N/A,FALSE,"Simulator"}</definedName>
    <definedName name="grdgrgfdfg" localSheetId="11" hidden="1">{#N/A,#N/A,FALSE,"Repair";#N/A,#N/A,FALSE,"Audit Room";#N/A,#N/A,FALSE,"Simulator"}</definedName>
    <definedName name="grdgrgfdfg" localSheetId="7" hidden="1">{#N/A,#N/A,FALSE,"Repair";#N/A,#N/A,FALSE,"Audit Room";#N/A,#N/A,FALSE,"Simulator"}</definedName>
    <definedName name="jyyjuyyu" localSheetId="3" hidden="1">{#N/A,#N/A,FALSE,"Repair";#N/A,#N/A,FALSE,"Audit Room";#N/A,#N/A,FALSE,"Simulator"}</definedName>
    <definedName name="jyyjuyyu" localSheetId="11" hidden="1">{#N/A,#N/A,FALSE,"Repair";#N/A,#N/A,FALSE,"Audit Room";#N/A,#N/A,FALSE,"Simulator"}</definedName>
    <definedName name="jyyjuyyu" localSheetId="7" hidden="1">{#N/A,#N/A,FALSE,"Repair";#N/A,#N/A,FALSE,"Audit Room";#N/A,#N/A,FALSE,"Simulator"}</definedName>
    <definedName name="nnnnnnnnnnn" localSheetId="3" hidden="1">{#N/A,#N/A,FALSE,"Repair";#N/A,#N/A,FALSE,"Audit Room";#N/A,#N/A,FALSE,"Simulator"}</definedName>
    <definedName name="nnnnnnnnnnn" localSheetId="11" hidden="1">{#N/A,#N/A,FALSE,"Repair";#N/A,#N/A,FALSE,"Audit Room";#N/A,#N/A,FALSE,"Simulator"}</definedName>
    <definedName name="nnnnnnnnnnn" localSheetId="7" hidden="1">{#N/A,#N/A,FALSE,"Repair";#N/A,#N/A,FALSE,"Audit Room";#N/A,#N/A,FALSE,"Simulator"}</definedName>
    <definedName name="_xlnm.Print_Area" localSheetId="5">'PCM 07월'!$A$181:$V$201</definedName>
    <definedName name="_xlnm.Print_Area" localSheetId="10">기타매입내역!$C$3:$F$10</definedName>
    <definedName name="_xlnm.Print_Area" localSheetId="6">'매입-매출 정리본'!$A$1:$J$157</definedName>
    <definedName name="_xlnm.Print_Area" localSheetId="7">자재매입!$AD$5:$AF$15</definedName>
    <definedName name="PVC">[1]자재매입!$AD$7:$AD$11</definedName>
    <definedName name="Q" localSheetId="3" hidden="1">{#N/A,#N/A,FALSE,"Repair";#N/A,#N/A,FALSE,"Audit Room";#N/A,#N/A,FALSE,"Simulator"}</definedName>
    <definedName name="Q" localSheetId="11" hidden="1">{#N/A,#N/A,FALSE,"Repair";#N/A,#N/A,FALSE,"Audit Room";#N/A,#N/A,FALSE,"Simulator"}</definedName>
    <definedName name="Q" localSheetId="7" hidden="1">{#N/A,#N/A,FALSE,"Repair";#N/A,#N/A,FALSE,"Audit Room";#N/A,#N/A,FALSE,"Simulator"}</definedName>
    <definedName name="QQ" localSheetId="3" hidden="1">{#N/A,#N/A,FALSE,"Repair";#N/A,#N/A,FALSE,"Audit Room";#N/A,#N/A,FALSE,"Simulator"}</definedName>
    <definedName name="QQ" localSheetId="11" hidden="1">{#N/A,#N/A,FALSE,"Repair";#N/A,#N/A,FALSE,"Audit Room";#N/A,#N/A,FALSE,"Simulator"}</definedName>
    <definedName name="QQ" localSheetId="7" hidden="1">{#N/A,#N/A,FALSE,"Repair";#N/A,#N/A,FALSE,"Audit Room";#N/A,#N/A,FALSE,"Simulator"}</definedName>
    <definedName name="qqq" localSheetId="3" hidden="1">{#N/A,#N/A,FALSE,"Repair";#N/A,#N/A,FALSE,"Audit Room";#N/A,#N/A,FALSE,"Simulator"}</definedName>
    <definedName name="qqq" localSheetId="11" hidden="1">{#N/A,#N/A,FALSE,"Repair";#N/A,#N/A,FALSE,"Audit Room";#N/A,#N/A,FALSE,"Simulator"}</definedName>
    <definedName name="qqq" localSheetId="7" hidden="1">{#N/A,#N/A,FALSE,"Repair";#N/A,#N/A,FALSE,"Audit Room";#N/A,#N/A,FALSE,"Simulator"}</definedName>
    <definedName name="qqqqqq" localSheetId="3" hidden="1">{#N/A,#N/A,FALSE,"Repair";#N/A,#N/A,FALSE,"Audit Room";#N/A,#N/A,FALSE,"Simulator"}</definedName>
    <definedName name="qqqqqq" localSheetId="11" hidden="1">{#N/A,#N/A,FALSE,"Repair";#N/A,#N/A,FALSE,"Audit Room";#N/A,#N/A,FALSE,"Simulator"}</definedName>
    <definedName name="qqqqqq" localSheetId="7" hidden="1">{#N/A,#N/A,FALSE,"Repair";#N/A,#N/A,FALSE,"Audit Room";#N/A,#N/A,FALSE,"Simulator"}</definedName>
    <definedName name="qwesxrdcftbijmok" localSheetId="3" hidden="1">{#N/A,#N/A,FALSE,"Repair";#N/A,#N/A,FALSE,"Audit Room";#N/A,#N/A,FALSE,"Simulator"}</definedName>
    <definedName name="qwesxrdcftbijmok" localSheetId="11" hidden="1">{#N/A,#N/A,FALSE,"Repair";#N/A,#N/A,FALSE,"Audit Room";#N/A,#N/A,FALSE,"Simulator"}</definedName>
    <definedName name="qwesxrdcftbijmok" localSheetId="7" hidden="1">{#N/A,#N/A,FALSE,"Repair";#N/A,#N/A,FALSE,"Audit Room";#N/A,#N/A,FALSE,"Simulator"}</definedName>
    <definedName name="QWQW" localSheetId="3" hidden="1">{#N/A,#N/A,FALSE,"Repair";#N/A,#N/A,FALSE,"Audit Room";#N/A,#N/A,FALSE,"Simulator"}</definedName>
    <definedName name="QWQW" localSheetId="11" hidden="1">{#N/A,#N/A,FALSE,"Repair";#N/A,#N/A,FALSE,"Audit Room";#N/A,#N/A,FALSE,"Simulator"}</definedName>
    <definedName name="QWQW" localSheetId="7" hidden="1">{#N/A,#N/A,FALSE,"Repair";#N/A,#N/A,FALSE,"Audit Room";#N/A,#N/A,FALSE,"Simulator"}</definedName>
    <definedName name="SARETRWTRT" localSheetId="3" hidden="1">{#N/A,#N/A,FALSE,"Repair";#N/A,#N/A,FALSE,"Audit Room";#N/A,#N/A,FALSE,"Simulator"}</definedName>
    <definedName name="SARETRWTRT" localSheetId="11" hidden="1">{#N/A,#N/A,FALSE,"Repair";#N/A,#N/A,FALSE,"Audit Room";#N/A,#N/A,FALSE,"Simulator"}</definedName>
    <definedName name="SARETRWTRT" localSheetId="7" hidden="1">{#N/A,#N/A,FALSE,"Repair";#N/A,#N/A,FALSE,"Audit Room";#N/A,#N/A,FALSE,"Simulator"}</definedName>
    <definedName name="sdfsd" localSheetId="3" hidden="1">{#N/A,#N/A,FALSE,"Repair";#N/A,#N/A,FALSE,"Audit Room";#N/A,#N/A,FALSE,"Simulator"}</definedName>
    <definedName name="sdfsd" localSheetId="11" hidden="1">{#N/A,#N/A,FALSE,"Repair";#N/A,#N/A,FALSE,"Audit Room";#N/A,#N/A,FALSE,"Simulator"}</definedName>
    <definedName name="sdfsd" localSheetId="7" hidden="1">{#N/A,#N/A,FALSE,"Repair";#N/A,#N/A,FALSE,"Audit Room";#N/A,#N/A,FALSE,"Simulator"}</definedName>
    <definedName name="tytytyty" localSheetId="3" hidden="1">{#N/A,#N/A,FALSE,"Repair";#N/A,#N/A,FALSE,"Audit Room";#N/A,#N/A,FALSE,"Simulator"}</definedName>
    <definedName name="tytytyty" localSheetId="11" hidden="1">{#N/A,#N/A,FALSE,"Repair";#N/A,#N/A,FALSE,"Audit Room";#N/A,#N/A,FALSE,"Simulator"}</definedName>
    <definedName name="tytytyty" localSheetId="7" hidden="1">{#N/A,#N/A,FALSE,"Repair";#N/A,#N/A,FALSE,"Audit Room";#N/A,#N/A,FALSE,"Simulator"}</definedName>
    <definedName name="utuyu" localSheetId="3" hidden="1">{#N/A,#N/A,FALSE,"Repair";#N/A,#N/A,FALSE,"Audit Room";#N/A,#N/A,FALSE,"Simulator"}</definedName>
    <definedName name="utuyu" localSheetId="11" hidden="1">{#N/A,#N/A,FALSE,"Repair";#N/A,#N/A,FALSE,"Audit Room";#N/A,#N/A,FALSE,"Simulator"}</definedName>
    <definedName name="utuyu" localSheetId="7" hidden="1">{#N/A,#N/A,FALSE,"Repair";#N/A,#N/A,FALSE,"Audit Room";#N/A,#N/A,FALSE,"Simulator"}</definedName>
    <definedName name="whwhwhwhwwlwlslwlsldndndn" localSheetId="3" hidden="1">{#N/A,#N/A,FALSE,"Repair";#N/A,#N/A,FALSE,"Audit Room";#N/A,#N/A,FALSE,"Simulator"}</definedName>
    <definedName name="whwhwhwhwwlwlslwlsldndndn" localSheetId="11" hidden="1">{#N/A,#N/A,FALSE,"Repair";#N/A,#N/A,FALSE,"Audit Room";#N/A,#N/A,FALSE,"Simulator"}</definedName>
    <definedName name="whwhwhwhwwlwlslwlsldndndn" localSheetId="7" hidden="1">{#N/A,#N/A,FALSE,"Repair";#N/A,#N/A,FALSE,"Audit Room";#N/A,#N/A,FALSE,"Simulator"}</definedName>
    <definedName name="whwlsdnd" localSheetId="3" hidden="1">{#N/A,#N/A,FALSE,"Repair";#N/A,#N/A,FALSE,"Audit Room";#N/A,#N/A,FALSE,"Simulator"}</definedName>
    <definedName name="whwlsdnd" localSheetId="11" hidden="1">{#N/A,#N/A,FALSE,"Repair";#N/A,#N/A,FALSE,"Audit Room";#N/A,#N/A,FALSE,"Simulator"}</definedName>
    <definedName name="whwlsdnd" localSheetId="7" hidden="1">{#N/A,#N/A,FALSE,"Repair";#N/A,#N/A,FALSE,"Audit Room";#N/A,#N/A,FALSE,"Simulator"}</definedName>
    <definedName name="wjfdfhhf" localSheetId="3" hidden="1">{#N/A,#N/A,FALSE,"Repair";#N/A,#N/A,FALSE,"Audit Room";#N/A,#N/A,FALSE,"Simulator"}</definedName>
    <definedName name="wjfdfhhf" localSheetId="11" hidden="1">{#N/A,#N/A,FALSE,"Repair";#N/A,#N/A,FALSE,"Audit Room";#N/A,#N/A,FALSE,"Simulator"}</definedName>
    <definedName name="wjfdfhhf" localSheetId="7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localSheetId="11" hidden="1">{#N/A,#N/A,FALSE,"Repair";#N/A,#N/A,FALSE,"Audit Room";#N/A,#N/A,FALSE,"Simulator"}</definedName>
    <definedName name="wrn.Controlled._.Shipping._.Orion." localSheetId="7" hidden="1">{#N/A,#N/A,FALSE,"Repair";#N/A,#N/A,FALSE,"Audit Room";#N/A,#N/A,FALSE,"Simulator"}</definedName>
    <definedName name="www" localSheetId="3" hidden="1">{#N/A,#N/A,FALSE,"Repair";#N/A,#N/A,FALSE,"Audit Room";#N/A,#N/A,FALSE,"Simulator"}</definedName>
    <definedName name="www" localSheetId="11" hidden="1">{#N/A,#N/A,FALSE,"Repair";#N/A,#N/A,FALSE,"Audit Room";#N/A,#N/A,FALSE,"Simulator"}</definedName>
    <definedName name="www" localSheetId="7" hidden="1">{#N/A,#N/A,FALSE,"Repair";#N/A,#N/A,FALSE,"Audit Room";#N/A,#N/A,FALSE,"Simulator"}</definedName>
    <definedName name="yyrtytyhfghy" localSheetId="3" hidden="1">{#N/A,#N/A,FALSE,"Repair";#N/A,#N/A,FALSE,"Audit Room";#N/A,#N/A,FALSE,"Simulator"}</definedName>
    <definedName name="yyrtytyhfghy" localSheetId="11" hidden="1">{#N/A,#N/A,FALSE,"Repair";#N/A,#N/A,FALSE,"Audit Room";#N/A,#N/A,FALSE,"Simulator"}</definedName>
    <definedName name="yyrtytyhfghy" localSheetId="7" hidden="1">{#N/A,#N/A,FALSE,"Repair";#N/A,#N/A,FALSE,"Audit Room";#N/A,#N/A,FALSE,"Simulator"}</definedName>
    <definedName name="Z_202B4555_6FA8_42C5_9BCB_ED7B967D5114_.wvu.FilterData" localSheetId="9" hidden="1">부자재매입내역!$B$2:$AL$146</definedName>
    <definedName name="Z_2118503C_FA17_40AD_A92D_3BEB91EE1F01_.wvu.FilterData" localSheetId="10" hidden="1">기타매입내역!$B$2:$F$138</definedName>
    <definedName name="Z_2118503C_FA17_40AD_A92D_3BEB91EE1F01_.wvu.FilterData" localSheetId="9" hidden="1">부자재매입내역!$B$2:$AL$146</definedName>
    <definedName name="Z_2118503C_FA17_40AD_A92D_3BEB91EE1F01_.wvu.FilterData" localSheetId="7" hidden="1">자재매입!$A$2:$L$306</definedName>
    <definedName name="Z_2118503C_FA17_40AD_A92D_3BEB91EE1F01_.wvu.PrintArea" localSheetId="5" hidden="1">'PCM 07월'!$A$181:$V$201</definedName>
    <definedName name="Z_2118503C_FA17_40AD_A92D_3BEB91EE1F01_.wvu.PrintArea" localSheetId="6" hidden="1">'매입-매출 정리본'!$A$1:$J$157</definedName>
    <definedName name="Z_2118503C_FA17_40AD_A92D_3BEB91EE1F01_.wvu.Rows" localSheetId="5" hidden="1">'PCM 07월'!$162:$165,'PCM 07월'!$176:$177</definedName>
    <definedName name="Z_3BF199A3_DF1B_4DE3_8BB3_A018C63095C3_.wvu.FilterData" localSheetId="10" hidden="1">기타매입내역!$B$2:$AN$139</definedName>
    <definedName name="Z_45A33401_3A7B_437E_9359_F3EF847AF37D_.wvu.FilterData" localSheetId="9" hidden="1">부자재매입내역!$B$2:$AL$146</definedName>
    <definedName name="Z_4B6F0EB4_660D_4B5D_BC48_6CB7C10D7F9B_.wvu.FilterData" localSheetId="10" hidden="1">기타매입내역!$B$2:$F$139</definedName>
    <definedName name="Z_4B6F0EB4_660D_4B5D_BC48_6CB7C10D7F9B_.wvu.FilterData" localSheetId="9" hidden="1">부자재매입내역!$B$2:$AL$146</definedName>
    <definedName name="Z_4B6F0EB4_660D_4B5D_BC48_6CB7C10D7F9B_.wvu.FilterData" localSheetId="7" hidden="1">자재매입!$A$2:$L$306</definedName>
    <definedName name="Z_4B6F0EB4_660D_4B5D_BC48_6CB7C10D7F9B_.wvu.PrintArea" localSheetId="5" hidden="1">'PCM 07월'!$A$181:$V$201</definedName>
    <definedName name="Z_4B6F0EB4_660D_4B5D_BC48_6CB7C10D7F9B_.wvu.PrintArea" localSheetId="6" hidden="1">'매입-매출 정리본'!$A$1:$J$157</definedName>
    <definedName name="Z_4B6F0EB4_660D_4B5D_BC48_6CB7C10D7F9B_.wvu.Rows" localSheetId="5" hidden="1">'PCM 07월'!$162:$165,'PCM 07월'!$176:$177</definedName>
    <definedName name="Z_50E1E5D3_1EAA_4FCE_9B61_B943A0472586_.wvu.FilterData" localSheetId="7" hidden="1">자재매입!$A$2:$L$306</definedName>
    <definedName name="Z_5D94561F_067D_4AF1_AE01_E4C4EF4333E3_.wvu.FilterData" localSheetId="9" hidden="1">부자재매입내역!$B$2:$AL$146</definedName>
    <definedName name="Z_5DD9519F_2EAD_403C_ABC4_4CA07539EFB1_.wvu.FilterData" localSheetId="9" hidden="1">부자재매입내역!$B$2:$AL$146</definedName>
    <definedName name="Z_7523CC8F_897F_48BF_94A5_CFFF399736A5_.wvu.FilterData" localSheetId="10" hidden="1">기타매입내역!$B$2:$F$138</definedName>
    <definedName name="Z_7523CC8F_897F_48BF_94A5_CFFF399736A5_.wvu.FilterData" localSheetId="9" hidden="1">부자재매입내역!$B$2:$AL$146</definedName>
    <definedName name="Z_7523CC8F_897F_48BF_94A5_CFFF399736A5_.wvu.FilterData" localSheetId="7" hidden="1">자재매입!$A$2:$L$306</definedName>
    <definedName name="Z_7523CC8F_897F_48BF_94A5_CFFF399736A5_.wvu.PrintArea" localSheetId="5" hidden="1">'PCM 07월'!$A$181:$V$201</definedName>
    <definedName name="Z_7523CC8F_897F_48BF_94A5_CFFF399736A5_.wvu.PrintArea" localSheetId="6" hidden="1">'매입-매출 정리본'!$A$1:$J$157</definedName>
    <definedName name="Z_7523CC8F_897F_48BF_94A5_CFFF399736A5_.wvu.Rows" localSheetId="5" hidden="1">'PCM 07월'!$162:$165,'PCM 07월'!$176:$177</definedName>
    <definedName name="Z_7902A93C_2768_4FF2_A3AE_CED6F70A70F3_.wvu.FilterData" localSheetId="9" hidden="1">부자재매입내역!$B$2:$AL$146</definedName>
    <definedName name="Z_7BC161EB_C61F_4997_8114_5333B6596466_.wvu.FilterData" localSheetId="7" hidden="1">자재매입!$A$2:$L$306</definedName>
    <definedName name="Z_844B66BD_C499_418A_A656_40E7940347EA_.wvu.FilterData" localSheetId="10" hidden="1">기타매입내역!$B$2:$F$138</definedName>
    <definedName name="Z_844B66BD_C499_418A_A656_40E7940347EA_.wvu.FilterData" localSheetId="9" hidden="1">부자재매입내역!$B$2:$AL$146</definedName>
    <definedName name="Z_844B66BD_C499_418A_A656_40E7940347EA_.wvu.FilterData" localSheetId="7" hidden="1">자재매입!$A$2:$L$306</definedName>
    <definedName name="Z_844B66BD_C499_418A_A656_40E7940347EA_.wvu.PrintArea" localSheetId="5" hidden="1">'PCM 07월'!$A$181:$V$201</definedName>
    <definedName name="Z_844B66BD_C499_418A_A656_40E7940347EA_.wvu.PrintArea" localSheetId="6" hidden="1">'매입-매출 정리본'!$A$1:$J$157</definedName>
    <definedName name="Z_844B66BD_C499_418A_A656_40E7940347EA_.wvu.Rows" localSheetId="5" hidden="1">'PCM 07월'!$162:$165,'PCM 07월'!$176:$177</definedName>
    <definedName name="Z_87260828_5968_48FD_A92B_D1757D94E5B4_.wvu.FilterData" localSheetId="9" hidden="1">부자재매입내역!$B$2:$AL$146</definedName>
    <definedName name="Z_87260828_5968_48FD_A92B_D1757D94E5B4_.wvu.FilterData" localSheetId="7" hidden="1">자재매입!$A$2:$L$2</definedName>
    <definedName name="Z_89B07EC3_7982_4908_AB99_54EB5928E5C4_.wvu.FilterData" localSheetId="10" hidden="1">기타매입내역!$B$2:$AN$139</definedName>
    <definedName name="Z_89B07EC3_7982_4908_AB99_54EB5928E5C4_.wvu.FilterData" localSheetId="9" hidden="1">부자재매입내역!$B$2:$AL$146</definedName>
    <definedName name="Z_89B07EC3_7982_4908_AB99_54EB5928E5C4_.wvu.FilterData" localSheetId="7" hidden="1">자재매입!$A$2:$L$306</definedName>
    <definedName name="Z_BEE476B4_DA14_4F85_A8F9_08752EBFF8F1_.wvu.FilterData" localSheetId="9" hidden="1">부자재매입내역!$B$2:$AL$146</definedName>
    <definedName name="Z_C936DCD0_7BD8_4B36_8DD9_CD86810353F8_.wvu.FilterData" localSheetId="9" hidden="1">부자재매입내역!$B$2:$AL$146</definedName>
    <definedName name="Z_CAA3F593_4DC8_47E1_AB65_60DDF11F9F1D_.wvu.FilterData" localSheetId="7" hidden="1">자재매입!$A$2:$L$306</definedName>
    <definedName name="Z_E5383504_7BBA_47C9_9446_9ADEE0EFC00F_.wvu.FilterData" localSheetId="9" hidden="1">부자재매입내역!$B$2:$AL$146</definedName>
    <definedName name="Z_ECF94A1B_3600_4871_9199_3AB619F1A128_.wvu.FilterData" localSheetId="9" hidden="1">부자재매입내역!$B$2:$AL$146</definedName>
    <definedName name="Z_F626283B_CD08_41B4_8FEB_A9650FF348B1_.wvu.FilterData" localSheetId="9" hidden="1">부자재매입내역!$B$2:$AL$146</definedName>
    <definedName name="Z_F79C2604_5DF4_4DB2_BDF0_B2145D0CDC12_.wvu.FilterData" localSheetId="9" hidden="1">부자재매입내역!$B$2:$AL$146</definedName>
    <definedName name="ㄱㄱㄱㄱ규" localSheetId="3" hidden="1">{#N/A,#N/A,FALSE,"Repair";#N/A,#N/A,FALSE,"Audit Room";#N/A,#N/A,FALSE,"Simulator"}</definedName>
    <definedName name="ㄱㄱㄱㄱ규" localSheetId="11" hidden="1">{#N/A,#N/A,FALSE,"Repair";#N/A,#N/A,FALSE,"Audit Room";#N/A,#N/A,FALSE,"Simulator"}</definedName>
    <definedName name="ㄱㄱㄱㄱ규" localSheetId="7" hidden="1">{#N/A,#N/A,FALSE,"Repair";#N/A,#N/A,FALSE,"Audit Room";#N/A,#N/A,FALSE,"Simulator"}</definedName>
    <definedName name="광신포장" localSheetId="5">[2]자재매입!#REF!</definedName>
    <definedName name="광신포장" localSheetId="11">[3]자재매입!#REF!</definedName>
    <definedName name="광신포장">자재매입!#REF!</definedName>
    <definedName name="ㄴㄴㄴ" localSheetId="3" hidden="1">{#N/A,#N/A,FALSE,"Repair";#N/A,#N/A,FALSE,"Audit Room";#N/A,#N/A,FALSE,"Simulator"}</definedName>
    <definedName name="ㄴㄴㄴ" localSheetId="11" hidden="1">{#N/A,#N/A,FALSE,"Repair";#N/A,#N/A,FALSE,"Audit Room";#N/A,#N/A,FALSE,"Simulator"}</definedName>
    <definedName name="ㄴㄴㄴ" localSheetId="7" hidden="1">{#N/A,#N/A,FALSE,"Repair";#N/A,#N/A,FALSE,"Audit Room";#N/A,#N/A,FALSE,"Simulator"}</definedName>
    <definedName name="ㄴㄴㄴㄴㄴㄴㄴㄴㄴㄴㄴ" localSheetId="3" hidden="1">{#N/A,#N/A,FALSE,"Repair";#N/A,#N/A,FALSE,"Audit Room";#N/A,#N/A,FALSE,"Simulator"}</definedName>
    <definedName name="ㄴㄴㄴㄴㄴㄴㄴㄴㄴㄴㄴ" localSheetId="11" hidden="1">{#N/A,#N/A,FALSE,"Repair";#N/A,#N/A,FALSE,"Audit Room";#N/A,#N/A,FALSE,"Simulator"}</definedName>
    <definedName name="ㄴㄴㄴㄴㄴㄴㄴㄴㄴㄴㄴ" localSheetId="7" hidden="1">{#N/A,#N/A,FALSE,"Repair";#N/A,#N/A,FALSE,"Audit Room";#N/A,#N/A,FALSE,"Simulator"}</definedName>
    <definedName name="ㄴㄴㄴㄴㄴㄴㄴㄴㄴㄴㄴㄴㄴㄴㄴ" localSheetId="3" hidden="1">{#N/A,#N/A,FALSE,"Repair";#N/A,#N/A,FALSE,"Audit Room";#N/A,#N/A,FALSE,"Simulator"}</definedName>
    <definedName name="ㄴㄴㄴㄴㄴㄴㄴㄴㄴㄴㄴㄴㄴㄴㄴ" localSheetId="11" hidden="1">{#N/A,#N/A,FALSE,"Repair";#N/A,#N/A,FALSE,"Audit Room";#N/A,#N/A,FALSE,"Simulator"}</definedName>
    <definedName name="ㄴㄴㄴㄴㄴㄴㄴㄴㄴㄴㄴㄴㄴㄴㄴ" localSheetId="7" hidden="1">{#N/A,#N/A,FALSE,"Repair";#N/A,#N/A,FALSE,"Audit Room";#N/A,#N/A,FALSE,"Simulator"}</definedName>
    <definedName name="ㄴㅇㄺㄹ" localSheetId="3" hidden="1">{#N/A,#N/A,FALSE,"Repair";#N/A,#N/A,FALSE,"Audit Room";#N/A,#N/A,FALSE,"Simulator"}</definedName>
    <definedName name="ㄴㅇㄺㄹ" localSheetId="11" hidden="1">{#N/A,#N/A,FALSE,"Repair";#N/A,#N/A,FALSE,"Audit Room";#N/A,#N/A,FALSE,"Simulator"}</definedName>
    <definedName name="ㄴㅇㄺㄹ" localSheetId="7" hidden="1">{#N/A,#N/A,FALSE,"Repair";#N/A,#N/A,FALSE,"Audit Room";#N/A,#N/A,FALSE,"Simulator"}</definedName>
    <definedName name="ㄷㄳㄷㄳ" localSheetId="3" hidden="1">{#N/A,#N/A,FALSE,"Repair";#N/A,#N/A,FALSE,"Audit Room";#N/A,#N/A,FALSE,"Simulator"}</definedName>
    <definedName name="ㄷㄳㄷㄳ" localSheetId="11" hidden="1">{#N/A,#N/A,FALSE,"Repair";#N/A,#N/A,FALSE,"Audit Room";#N/A,#N/A,FALSE,"Simulator"}</definedName>
    <definedName name="ㄷㄳㄷㄳ" localSheetId="7" hidden="1">{#N/A,#N/A,FALSE,"Repair";#N/A,#N/A,FALSE,"Audit Room";#N/A,#N/A,FALSE,"Simulator"}</definedName>
    <definedName name="ㄹㅇㅅㅎㅀㅅ" localSheetId="3" hidden="1">{#N/A,#N/A,FALSE,"Repair";#N/A,#N/A,FALSE,"Audit Room";#N/A,#N/A,FALSE,"Simulator"}</definedName>
    <definedName name="ㄹㅇㅅㅎㅀㅅ" localSheetId="11" hidden="1">{#N/A,#N/A,FALSE,"Repair";#N/A,#N/A,FALSE,"Audit Room";#N/A,#N/A,FALSE,"Simulator"}</definedName>
    <definedName name="ㄹㅇㅅㅎㅀㅅ" localSheetId="7" hidden="1">{#N/A,#N/A,FALSE,"Repair";#N/A,#N/A,FALSE,"Audit Room";#N/A,#N/A,FALSE,"Simulator"}</definedName>
    <definedName name="ㅅㄱㄷㄱ" localSheetId="3" hidden="1">{#N/A,#N/A,FALSE,"Repair";#N/A,#N/A,FALSE,"Audit Room";#N/A,#N/A,FALSE,"Simulator"}</definedName>
    <definedName name="ㅅㄱㄷㄱ" localSheetId="11" hidden="1">{#N/A,#N/A,FALSE,"Repair";#N/A,#N/A,FALSE,"Audit Room";#N/A,#N/A,FALSE,"Simulator"}</definedName>
    <definedName name="ㅅㄱㄷㄱ" localSheetId="7" hidden="1">{#N/A,#N/A,FALSE,"Repair";#N/A,#N/A,FALSE,"Audit Room";#N/A,#N/A,FALSE,"Simulator"}</definedName>
    <definedName name="ㅇㄽㅎ" localSheetId="3" hidden="1">{#N/A,#N/A,FALSE,"Repair";#N/A,#N/A,FALSE,"Audit Room";#N/A,#N/A,FALSE,"Simulator"}</definedName>
    <definedName name="ㅇㄽㅎ" localSheetId="11" hidden="1">{#N/A,#N/A,FALSE,"Repair";#N/A,#N/A,FALSE,"Audit Room";#N/A,#N/A,FALSE,"Simulator"}</definedName>
    <definedName name="ㅇㄽㅎ" localSheetId="7" hidden="1">{#N/A,#N/A,FALSE,"Repair";#N/A,#N/A,FALSE,"Audit Room";#N/A,#N/A,FALSE,"Simulator"}</definedName>
    <definedName name="ㅇㅀㄹㅇㅎㅇㄹ" localSheetId="3" hidden="1">{#N/A,#N/A,FALSE,"Repair";#N/A,#N/A,FALSE,"Audit Room";#N/A,#N/A,FALSE,"Simulator"}</definedName>
    <definedName name="ㅇㅀㄹㅇㅎㅇㄹ" localSheetId="11" hidden="1">{#N/A,#N/A,FALSE,"Repair";#N/A,#N/A,FALSE,"Audit Room";#N/A,#N/A,FALSE,"Simulator"}</definedName>
    <definedName name="ㅇㅀㄹㅇㅎㅇㄹ" localSheetId="7" hidden="1">{#N/A,#N/A,FALSE,"Repair";#N/A,#N/A,FALSE,"Audit Room";#N/A,#N/A,FALSE,"Simulator"}</definedName>
    <definedName name="ㅇㅀㄽㅎㄷㄱ" localSheetId="3" hidden="1">{#N/A,#N/A,FALSE,"Repair";#N/A,#N/A,FALSE,"Audit Room";#N/A,#N/A,FALSE,"Simulator"}</definedName>
    <definedName name="ㅇㅀㄽㅎㄷㄱ" localSheetId="11" hidden="1">{#N/A,#N/A,FALSE,"Repair";#N/A,#N/A,FALSE,"Audit Room";#N/A,#N/A,FALSE,"Simulator"}</definedName>
    <definedName name="ㅇㅀㄽㅎㄷㄱ" localSheetId="7" hidden="1">{#N/A,#N/A,FALSE,"Repair";#N/A,#N/A,FALSE,"Audit Room";#N/A,#N/A,FALSE,"Simulator"}</definedName>
    <definedName name="ㅇ쇼" localSheetId="3" hidden="1">{#N/A,#N/A,FALSE,"Repair";#N/A,#N/A,FALSE,"Audit Room";#N/A,#N/A,FALSE,"Simulator"}</definedName>
    <definedName name="ㅇ쇼" localSheetId="11" hidden="1">{#N/A,#N/A,FALSE,"Repair";#N/A,#N/A,FALSE,"Audit Room";#N/A,#N/A,FALSE,"Simulator"}</definedName>
    <definedName name="ㅇ쇼" localSheetId="7" hidden="1">{#N/A,#N/A,FALSE,"Repair";#N/A,#N/A,FALSE,"Audit Room";#N/A,#N/A,FALSE,"Simulator"}</definedName>
    <definedName name="웅진" localSheetId="3" hidden="1">{#N/A,#N/A,FALSE,"Repair";#N/A,#N/A,FALSE,"Audit Room";#N/A,#N/A,FALSE,"Simulator"}</definedName>
    <definedName name="웅진" localSheetId="11" hidden="1">{#N/A,#N/A,FALSE,"Repair";#N/A,#N/A,FALSE,"Audit Room";#N/A,#N/A,FALSE,"Simulator"}</definedName>
    <definedName name="웅진" localSheetId="7" hidden="1">{#N/A,#N/A,FALSE,"Repair";#N/A,#N/A,FALSE,"Audit Room";#N/A,#N/A,FALSE,"Simulator"}</definedName>
    <definedName name="워크" localSheetId="3" hidden="1">{#N/A,#N/A,FALSE,"Repair";#N/A,#N/A,FALSE,"Audit Room";#N/A,#N/A,FALSE,"Simulator"}</definedName>
    <definedName name="워크" localSheetId="11" hidden="1">{#N/A,#N/A,FALSE,"Repair";#N/A,#N/A,FALSE,"Audit Room";#N/A,#N/A,FALSE,"Simulator"}</definedName>
    <definedName name="워크" localSheetId="7" hidden="1">{#N/A,#N/A,FALSE,"Repair";#N/A,#N/A,FALSE,"Audit Room";#N/A,#N/A,FALSE,"Simulator"}</definedName>
    <definedName name="저" localSheetId="3" hidden="1">{#N/A,#N/A,FALSE,"Repair";#N/A,#N/A,FALSE,"Audit Room";#N/A,#N/A,FALSE,"Simulator"}</definedName>
    <definedName name="저" localSheetId="11" hidden="1">{#N/A,#N/A,FALSE,"Repair";#N/A,#N/A,FALSE,"Audit Room";#N/A,#N/A,FALSE,"Simulator"}</definedName>
    <definedName name="저" localSheetId="7" hidden="1">{#N/A,#N/A,FALSE,"Repair";#N/A,#N/A,FALSE,"Audit Room";#N/A,#N/A,FALSE,"Simulator"}</definedName>
    <definedName name="저지눙" localSheetId="3" hidden="1">{#N/A,#N/A,FALSE,"Repair";#N/A,#N/A,FALSE,"Audit Room";#N/A,#N/A,FALSE,"Simulator"}</definedName>
    <definedName name="저지눙" localSheetId="11" hidden="1">{#N/A,#N/A,FALSE,"Repair";#N/A,#N/A,FALSE,"Audit Room";#N/A,#N/A,FALSE,"Simulator"}</definedName>
    <definedName name="저지눙" localSheetId="7" hidden="1">{#N/A,#N/A,FALSE,"Repair";#N/A,#N/A,FALSE,"Audit Room";#N/A,#N/A,FALSE,"Simulator"}</definedName>
    <definedName name="정뱅호" localSheetId="3" hidden="1">{#N/A,#N/A,FALSE,"Repair";#N/A,#N/A,FALSE,"Audit Room";#N/A,#N/A,FALSE,"Simulator"}</definedName>
    <definedName name="정뱅호" localSheetId="11" hidden="1">{#N/A,#N/A,FALSE,"Repair";#N/A,#N/A,FALSE,"Audit Room";#N/A,#N/A,FALSE,"Simulator"}</definedName>
    <definedName name="정뱅호" localSheetId="7" hidden="1">{#N/A,#N/A,FALSE,"Repair";#N/A,#N/A,FALSE,"Audit Room";#N/A,#N/A,FALSE,"Simulator"}</definedName>
    <definedName name="조진웅" localSheetId="3" hidden="1">{#N/A,#N/A,FALSE,"Repair";#N/A,#N/A,FALSE,"Audit Room";#N/A,#N/A,FALSE,"Simulator"}</definedName>
    <definedName name="조진웅" localSheetId="11" hidden="1">{#N/A,#N/A,FALSE,"Repair";#N/A,#N/A,FALSE,"Audit Room";#N/A,#N/A,FALSE,"Simulator"}</definedName>
    <definedName name="조진웅" localSheetId="7" hidden="1">{#N/A,#N/A,FALSE,"Repair";#N/A,#N/A,FALSE,"Audit Room";#N/A,#N/A,FALSE,"Simulator"}</definedName>
    <definedName name="지누" localSheetId="3" hidden="1">{#N/A,#N/A,FALSE,"Repair";#N/A,#N/A,FALSE,"Audit Room";#N/A,#N/A,FALSE,"Simulator"}</definedName>
    <definedName name="지누" localSheetId="11" hidden="1">{#N/A,#N/A,FALSE,"Repair";#N/A,#N/A,FALSE,"Audit Room";#N/A,#N/A,FALSE,"Simulator"}</definedName>
    <definedName name="지누" localSheetId="7" hidden="1">{#N/A,#N/A,FALSE,"Repair";#N/A,#N/A,FALSE,"Audit Room";#N/A,#N/A,FALSE,"Simulator"}</definedName>
    <definedName name="지눙" localSheetId="3" hidden="1">{#N/A,#N/A,FALSE,"Repair";#N/A,#N/A,FALSE,"Audit Room";#N/A,#N/A,FALSE,"Simulator"}</definedName>
    <definedName name="지눙" localSheetId="11" hidden="1">{#N/A,#N/A,FALSE,"Repair";#N/A,#N/A,FALSE,"Audit Room";#N/A,#N/A,FALSE,"Simulator"}</definedName>
    <definedName name="지눙" localSheetId="7" hidden="1">{#N/A,#N/A,FALSE,"Repair";#N/A,#N/A,FALSE,"Audit Room";#N/A,#N/A,FALSE,"Simulator"}</definedName>
    <definedName name="진우" localSheetId="3" hidden="1">{#N/A,#N/A,FALSE,"Repair";#N/A,#N/A,FALSE,"Audit Room";#N/A,#N/A,FALSE,"Simulator"}</definedName>
    <definedName name="진우" localSheetId="11" hidden="1">{#N/A,#N/A,FALSE,"Repair";#N/A,#N/A,FALSE,"Audit Room";#N/A,#N/A,FALSE,"Simulator"}</definedName>
    <definedName name="진우" localSheetId="7" hidden="1">{#N/A,#N/A,FALSE,"Repair";#N/A,#N/A,FALSE,"Audit Room";#N/A,#N/A,FALSE,"Simulator"}</definedName>
    <definedName name="진웅" localSheetId="3" hidden="1">{#N/A,#N/A,FALSE,"Repair";#N/A,#N/A,FALSE,"Audit Room";#N/A,#N/A,FALSE,"Simulator"}</definedName>
    <definedName name="진웅" localSheetId="11" hidden="1">{#N/A,#N/A,FALSE,"Repair";#N/A,#N/A,FALSE,"Audit Room";#N/A,#N/A,FALSE,"Simulator"}</definedName>
    <definedName name="진웅" localSheetId="7" hidden="1">{#N/A,#N/A,FALSE,"Repair";#N/A,#N/A,FALSE,"Audit Room";#N/A,#N/A,FALSE,"Simulator"}</definedName>
    <definedName name="ㅡ" localSheetId="3" hidden="1">{#N/A,#N/A,FALSE,"Repair";#N/A,#N/A,FALSE,"Audit Room";#N/A,#N/A,FALSE,"Simulator"}</definedName>
    <definedName name="ㅡ" localSheetId="11" hidden="1">{#N/A,#N/A,FALSE,"Repair";#N/A,#N/A,FALSE,"Audit Room";#N/A,#N/A,FALSE,"Simulator"}</definedName>
    <definedName name="ㅡ" localSheetId="7" hidden="1">{#N/A,#N/A,FALSE,"Repair";#N/A,#N/A,FALSE,"Audit Room";#N/A,#N/A,FALSE,"Simulator"}</definedName>
    <definedName name="ㅣㅣ" localSheetId="3" hidden="1">{#N/A,#N/A,FALSE,"Repair";#N/A,#N/A,FALSE,"Audit Room";#N/A,#N/A,FALSE,"Simulator"}</definedName>
    <definedName name="ㅣㅣ" localSheetId="11" hidden="1">{#N/A,#N/A,FALSE,"Repair";#N/A,#N/A,FALSE,"Audit Room";#N/A,#N/A,FALSE,"Simulator"}</definedName>
    <definedName name="ㅣㅣ" localSheetId="7" hidden="1">{#N/A,#N/A,FALSE,"Repair";#N/A,#N/A,FALSE,"Audit Room";#N/A,#N/A,FALSE,"Simulator"}</definedName>
    <definedName name="ㅣㅣㅣㅣ" localSheetId="3" hidden="1">{#N/A,#N/A,FALSE,"Repair";#N/A,#N/A,FALSE,"Audit Room";#N/A,#N/A,FALSE,"Simulator"}</definedName>
    <definedName name="ㅣㅣㅣㅣ" localSheetId="11" hidden="1">{#N/A,#N/A,FALSE,"Repair";#N/A,#N/A,FALSE,"Audit Room";#N/A,#N/A,FALSE,"Simulator"}</definedName>
    <definedName name="ㅣㅣㅣㅣ" localSheetId="7" hidden="1">{#N/A,#N/A,FALSE,"Repair";#N/A,#N/A,FALSE,"Audit Room";#N/A,#N/A,FALSE,"Simulator"}</definedName>
  </definedNames>
  <calcPr calcId="191029"/>
  <customWorkbookViews>
    <customWorkbookView name="오륙 - 사용자 보기" guid="{4B6F0EB4-660D-4B5D-BC48-6CB7C10D7F9B}" mergeInterval="0" personalView="1" xWindow="529" yWindow="17" windowWidth="925" windowHeight="1034" tabRatio="876" activeSheetId="11"/>
    <customWorkbookView name="Kyeongsoo - 사용자 보기" guid="{2118503C-FA17-40AD-A92D-3BEB91EE1F01}" mergeInterval="0" personalView="1" maximized="1" windowWidth="1916" windowHeight="810" tabRatio="876" activeSheetId="11"/>
    <customWorkbookView name="Inna - 사용자 보기" guid="{844B66BD-C499-418A-A656-40E7940347EA}" mergeInterval="0" personalView="1" maximized="1" xWindow="1" yWindow="1" windowWidth="1920" windowHeight="800" tabRatio="876" activeSheetId="9"/>
    <customWorkbookView name="bskj1217@outlook.kr - 사용자 보기" guid="{7523CC8F-897F-48BF-94A5-CFFF399736A5}" mergeInterval="0" personalView="1" maximized="1" windowWidth="1916" windowHeight="809" tabRatio="876" activeSheetId="10"/>
    <customWorkbookView name="oryuk - 사용자 보기" guid="{89B07EC3-7982-4908-AB99-54EB5928E5C4}" mergeInterval="0" personalView="1" maximized="1" xWindow="-8" yWindow="-8" windowWidth="1936" windowHeight="1056" tabRatio="876" activeSheetId="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15" i="12" l="1"/>
  <c r="AM115" i="12" s="1"/>
  <c r="AL6" i="1" l="1"/>
  <c r="AM6" i="1" s="1"/>
  <c r="AK32" i="16"/>
  <c r="AL32" i="16" s="1"/>
  <c r="AK161" i="16"/>
  <c r="AL161" i="16" s="1"/>
  <c r="AK146" i="16"/>
  <c r="AL146" i="16" s="1"/>
  <c r="AK147" i="16"/>
  <c r="AL147" i="16" s="1"/>
  <c r="AK155" i="16"/>
  <c r="AL155" i="16" s="1"/>
  <c r="G111" i="9" l="1"/>
  <c r="C111" i="9"/>
  <c r="B111" i="9"/>
  <c r="AL114" i="10"/>
  <c r="H111" i="9" s="1"/>
  <c r="AM114" i="10" l="1"/>
  <c r="G18" i="17"/>
  <c r="G16" i="17"/>
  <c r="G15" i="17"/>
  <c r="G14" i="17"/>
  <c r="G13" i="17"/>
  <c r="G12" i="17"/>
  <c r="G9" i="17"/>
  <c r="G8" i="17"/>
  <c r="G7" i="17"/>
  <c r="G6" i="17"/>
  <c r="G5" i="17"/>
  <c r="G4" i="17"/>
  <c r="G124" i="7" l="1"/>
  <c r="F124" i="7"/>
  <c r="E124" i="7"/>
  <c r="D124" i="7"/>
  <c r="AL58" i="2"/>
  <c r="AM58" i="2" s="1"/>
  <c r="AN58" i="2" s="1"/>
  <c r="F65" i="7"/>
  <c r="F66" i="7"/>
  <c r="G125" i="7"/>
  <c r="G126" i="7"/>
  <c r="G127" i="7"/>
  <c r="G123" i="7"/>
  <c r="F125" i="7"/>
  <c r="F126" i="7"/>
  <c r="F127" i="7"/>
  <c r="F123" i="7"/>
  <c r="E125" i="7"/>
  <c r="E126" i="7"/>
  <c r="E127" i="7"/>
  <c r="E123" i="7"/>
  <c r="D125" i="7"/>
  <c r="D126" i="7"/>
  <c r="D127" i="7"/>
  <c r="D123" i="7"/>
  <c r="H124" i="7" l="1"/>
  <c r="I124" i="7" s="1"/>
  <c r="AL59" i="2"/>
  <c r="H125" i="7" s="1"/>
  <c r="I125" i="7" s="1"/>
  <c r="AL60" i="2"/>
  <c r="H126" i="7" s="1"/>
  <c r="I126" i="7" s="1"/>
  <c r="AL61" i="2"/>
  <c r="H127" i="7" s="1"/>
  <c r="I127" i="7" s="1"/>
  <c r="AL57" i="2"/>
  <c r="AM60" i="2" l="1"/>
  <c r="AN60" i="2" s="1"/>
  <c r="AM59" i="2"/>
  <c r="AN59" i="2" s="1"/>
  <c r="AM61" i="2"/>
  <c r="AN61" i="2" s="1"/>
  <c r="AM57" i="2"/>
  <c r="AN57" i="2" s="1"/>
  <c r="H123" i="7"/>
  <c r="I123" i="7" s="1"/>
  <c r="J123" i="7" s="1"/>
  <c r="AL98" i="10" l="1"/>
  <c r="AL99" i="10"/>
  <c r="D46" i="7" l="1"/>
  <c r="G13" i="7" l="1"/>
  <c r="G12" i="7"/>
  <c r="F13" i="7"/>
  <c r="F12" i="7"/>
  <c r="E13" i="7"/>
  <c r="E12" i="7"/>
  <c r="D13" i="7"/>
  <c r="D12" i="7"/>
  <c r="AL48" i="2"/>
  <c r="H12" i="7" s="1"/>
  <c r="AL49" i="2"/>
  <c r="AM49" i="2" s="1"/>
  <c r="I12" i="7" l="1"/>
  <c r="AM48" i="2"/>
  <c r="H13" i="7"/>
  <c r="I13" i="7" s="1"/>
  <c r="G74" i="7"/>
  <c r="F74" i="7"/>
  <c r="E74" i="7"/>
  <c r="G73" i="7"/>
  <c r="F73" i="7"/>
  <c r="E73" i="7"/>
  <c r="D74" i="7"/>
  <c r="D73" i="7"/>
  <c r="AL12" i="3"/>
  <c r="AM12" i="3" s="1"/>
  <c r="AL13" i="3"/>
  <c r="AM13" i="3" s="1"/>
  <c r="H73" i="7" l="1"/>
  <c r="I73" i="7" s="1"/>
  <c r="J73" i="7" s="1"/>
  <c r="H74" i="7"/>
  <c r="I74" i="7" s="1"/>
  <c r="K73" i="7" l="1"/>
  <c r="AL224" i="11"/>
  <c r="AL225" i="11"/>
  <c r="AL226" i="11"/>
  <c r="H109" i="9" l="1"/>
  <c r="H110" i="9"/>
  <c r="D45" i="7" l="1"/>
  <c r="D44" i="7"/>
  <c r="G116" i="7"/>
  <c r="G115" i="7"/>
  <c r="F116" i="7"/>
  <c r="F115" i="7"/>
  <c r="E116" i="7"/>
  <c r="E115" i="7"/>
  <c r="D116" i="7"/>
  <c r="D115" i="7"/>
  <c r="AK45" i="16"/>
  <c r="AL45" i="16" l="1"/>
  <c r="G110" i="9"/>
  <c r="I110" i="9" s="1"/>
  <c r="G109" i="9"/>
  <c r="I109" i="9" s="1"/>
  <c r="C110" i="9"/>
  <c r="C109" i="9"/>
  <c r="B110" i="9"/>
  <c r="B109" i="9"/>
  <c r="G88" i="9"/>
  <c r="G90" i="9"/>
  <c r="G89" i="9"/>
  <c r="C89" i="9"/>
  <c r="B89" i="9"/>
  <c r="C88" i="9"/>
  <c r="C90" i="9"/>
  <c r="B88" i="9"/>
  <c r="B90" i="9"/>
  <c r="AL90" i="10"/>
  <c r="AM90" i="10" s="1"/>
  <c r="L240" i="9"/>
  <c r="AL16" i="12"/>
  <c r="AM16" i="12" s="1"/>
  <c r="AL130" i="12"/>
  <c r="AM130" i="12" s="1"/>
  <c r="O88" i="10"/>
  <c r="G86" i="9"/>
  <c r="G85" i="9"/>
  <c r="F70" i="7"/>
  <c r="F71" i="7"/>
  <c r="F72" i="7"/>
  <c r="F69" i="7"/>
  <c r="E72" i="7"/>
  <c r="E71" i="7"/>
  <c r="E70" i="7"/>
  <c r="E69" i="7"/>
  <c r="AL10" i="3"/>
  <c r="AL11" i="3"/>
  <c r="AL14" i="3"/>
  <c r="G71" i="7"/>
  <c r="G72" i="7"/>
  <c r="D71" i="7"/>
  <c r="D72" i="7"/>
  <c r="H71" i="7" l="1"/>
  <c r="I71" i="7" s="1"/>
  <c r="AM10" i="3"/>
  <c r="H72" i="7"/>
  <c r="I72" i="7" s="1"/>
  <c r="AM11" i="3"/>
  <c r="B86" i="9"/>
  <c r="B85" i="9"/>
  <c r="B84" i="9"/>
  <c r="B83" i="9"/>
  <c r="B82" i="9"/>
  <c r="C85" i="9"/>
  <c r="C86" i="9"/>
  <c r="G91" i="7"/>
  <c r="G92" i="7"/>
  <c r="F91" i="7"/>
  <c r="F92" i="7"/>
  <c r="E91" i="7"/>
  <c r="E92" i="7"/>
  <c r="D91" i="7"/>
  <c r="D92" i="7"/>
  <c r="AK56" i="16" l="1"/>
  <c r="AK55" i="16"/>
  <c r="AK54" i="16"/>
  <c r="AK44" i="16"/>
  <c r="AK43" i="16"/>
  <c r="AL43" i="16" l="1"/>
  <c r="AL44" i="16"/>
  <c r="AL56" i="16"/>
  <c r="AL55" i="16"/>
  <c r="AL54" i="16"/>
  <c r="C103" i="9"/>
  <c r="C104" i="9"/>
  <c r="C105" i="9"/>
  <c r="C106" i="9"/>
  <c r="C107" i="9"/>
  <c r="C108" i="9"/>
  <c r="C91" i="9"/>
  <c r="C92" i="9"/>
  <c r="C93" i="9"/>
  <c r="C94" i="9"/>
  <c r="C95" i="9"/>
  <c r="C96" i="9"/>
  <c r="C97" i="9"/>
  <c r="C98" i="9"/>
  <c r="C99" i="9"/>
  <c r="C100" i="9"/>
  <c r="C101" i="9"/>
  <c r="C102" i="9"/>
  <c r="B103" i="9"/>
  <c r="B104" i="9"/>
  <c r="B105" i="9"/>
  <c r="B106" i="9"/>
  <c r="B107" i="9"/>
  <c r="B108" i="9"/>
  <c r="B91" i="9"/>
  <c r="B92" i="9"/>
  <c r="B93" i="9"/>
  <c r="B94" i="9"/>
  <c r="B95" i="9"/>
  <c r="B96" i="9"/>
  <c r="B97" i="9"/>
  <c r="B98" i="9"/>
  <c r="B99" i="9"/>
  <c r="B100" i="9"/>
  <c r="B101" i="9"/>
  <c r="B102" i="9"/>
  <c r="G99" i="9"/>
  <c r="G100" i="9"/>
  <c r="G101" i="9"/>
  <c r="G102" i="9"/>
  <c r="G107" i="9"/>
  <c r="G108" i="9"/>
  <c r="G91" i="9"/>
  <c r="G92" i="9"/>
  <c r="G93" i="9"/>
  <c r="G94" i="9"/>
  <c r="G95" i="9"/>
  <c r="G96" i="9"/>
  <c r="G97" i="9"/>
  <c r="G98" i="9"/>
  <c r="G103" i="9"/>
  <c r="G104" i="9"/>
  <c r="G105" i="9"/>
  <c r="G106" i="9"/>
  <c r="G83" i="9"/>
  <c r="G84" i="9"/>
  <c r="G87" i="9"/>
  <c r="G82" i="9"/>
  <c r="AL113" i="10"/>
  <c r="AL112" i="10"/>
  <c r="AL111" i="10"/>
  <c r="AL110" i="10"/>
  <c r="AL109" i="10"/>
  <c r="AL108" i="10"/>
  <c r="AL107" i="10"/>
  <c r="AM107" i="10" s="1"/>
  <c r="AL106" i="10"/>
  <c r="AL105" i="10"/>
  <c r="AM105" i="10" s="1"/>
  <c r="AL104" i="10"/>
  <c r="H93" i="9" s="1"/>
  <c r="AL103" i="10"/>
  <c r="AM103" i="10" s="1"/>
  <c r="AL102" i="10"/>
  <c r="AM102" i="10" s="1"/>
  <c r="AL101" i="10"/>
  <c r="AL100" i="10"/>
  <c r="AM100" i="10" s="1"/>
  <c r="AL97" i="10"/>
  <c r="H108" i="9" s="1"/>
  <c r="AL96" i="10"/>
  <c r="H107" i="9" s="1"/>
  <c r="AL95" i="10"/>
  <c r="H106" i="9" s="1"/>
  <c r="AL94" i="10"/>
  <c r="H105" i="9" s="1"/>
  <c r="AL93" i="10"/>
  <c r="AM93" i="10" s="1"/>
  <c r="AL92" i="10"/>
  <c r="H103" i="9" s="1"/>
  <c r="AK87" i="16"/>
  <c r="AL87" i="16" s="1"/>
  <c r="AK70" i="16"/>
  <c r="AM70" i="16" s="1"/>
  <c r="AK48" i="16"/>
  <c r="AK68" i="16"/>
  <c r="AM68" i="16" s="1"/>
  <c r="AK47" i="16"/>
  <c r="I106" i="9" l="1"/>
  <c r="AM101" i="10"/>
  <c r="H89" i="9"/>
  <c r="I89" i="9" s="1"/>
  <c r="AL47" i="16"/>
  <c r="AL70" i="16"/>
  <c r="AL48" i="16"/>
  <c r="AL68" i="16"/>
  <c r="H95" i="9"/>
  <c r="AM106" i="10"/>
  <c r="AM109" i="10"/>
  <c r="H98" i="9"/>
  <c r="I98" i="9" s="1"/>
  <c r="AM110" i="10"/>
  <c r="H99" i="9"/>
  <c r="I99" i="9" s="1"/>
  <c r="AM108" i="10"/>
  <c r="H97" i="9"/>
  <c r="I97" i="9" s="1"/>
  <c r="AM111" i="10"/>
  <c r="H100" i="9"/>
  <c r="I100" i="9" s="1"/>
  <c r="AM112" i="10"/>
  <c r="H101" i="9"/>
  <c r="I101" i="9" s="1"/>
  <c r="I93" i="9"/>
  <c r="AM113" i="10"/>
  <c r="H102" i="9"/>
  <c r="I102" i="9" s="1"/>
  <c r="AM104" i="10"/>
  <c r="H104" i="9"/>
  <c r="H96" i="9"/>
  <c r="AM92" i="10"/>
  <c r="AM94" i="10"/>
  <c r="H92" i="9"/>
  <c r="I92" i="9" s="1"/>
  <c r="AM95" i="10"/>
  <c r="H91" i="9"/>
  <c r="I91" i="9" s="1"/>
  <c r="AM96" i="10"/>
  <c r="H88" i="9"/>
  <c r="AM97" i="10"/>
  <c r="I111" i="9"/>
  <c r="AO70" i="16"/>
  <c r="AO68" i="16"/>
  <c r="AN92" i="10" l="1"/>
  <c r="AL88" i="10"/>
  <c r="AM88" i="10" s="1"/>
  <c r="AL87" i="10"/>
  <c r="AM87" i="10" s="1"/>
  <c r="H85" i="9" l="1"/>
  <c r="I85" i="9" s="1"/>
  <c r="H86" i="9"/>
  <c r="I86" i="9" s="1"/>
  <c r="S353" i="9"/>
  <c r="Q353" i="9"/>
  <c r="S352" i="9"/>
  <c r="Q352" i="9"/>
  <c r="S350" i="9"/>
  <c r="Q350" i="9"/>
  <c r="S349" i="9"/>
  <c r="Q349" i="9"/>
  <c r="S347" i="9"/>
  <c r="Q347" i="9"/>
  <c r="S346" i="9"/>
  <c r="Q346" i="9"/>
  <c r="S344" i="9"/>
  <c r="Q344" i="9"/>
  <c r="S343" i="9"/>
  <c r="Q343" i="9"/>
  <c r="S341" i="9"/>
  <c r="Q341" i="9"/>
  <c r="S340" i="9"/>
  <c r="Q340" i="9"/>
  <c r="S338" i="9"/>
  <c r="Q338" i="9"/>
  <c r="S337" i="9"/>
  <c r="Q337" i="9"/>
  <c r="S335" i="9"/>
  <c r="Q335" i="9"/>
  <c r="S334" i="9"/>
  <c r="Q334" i="9"/>
  <c r="S332" i="9"/>
  <c r="Q332" i="9"/>
  <c r="S331" i="9"/>
  <c r="Q331" i="9"/>
  <c r="S329" i="9"/>
  <c r="Q329" i="9"/>
  <c r="S328" i="9"/>
  <c r="Q328" i="9"/>
  <c r="S326" i="9"/>
  <c r="S325" i="9"/>
  <c r="T312" i="9"/>
  <c r="S312" i="9"/>
  <c r="T311" i="9"/>
  <c r="S311" i="9"/>
  <c r="T310" i="9"/>
  <c r="S310" i="9"/>
  <c r="T309" i="9"/>
  <c r="S309" i="9"/>
  <c r="T308" i="9"/>
  <c r="S308" i="9"/>
  <c r="T307" i="9"/>
  <c r="S307" i="9"/>
  <c r="T306" i="9"/>
  <c r="S306" i="9"/>
  <c r="T305" i="9"/>
  <c r="S305" i="9"/>
  <c r="T304" i="9"/>
  <c r="S304" i="9"/>
  <c r="T303" i="9"/>
  <c r="S303" i="9"/>
  <c r="T302" i="9"/>
  <c r="S302" i="9"/>
  <c r="T301" i="9"/>
  <c r="S301" i="9"/>
  <c r="T300" i="9"/>
  <c r="S300" i="9"/>
  <c r="T299" i="9"/>
  <c r="S299" i="9"/>
  <c r="T298" i="9"/>
  <c r="S298" i="9"/>
  <c r="T297" i="9"/>
  <c r="S297" i="9"/>
  <c r="T296" i="9"/>
  <c r="S296" i="9"/>
  <c r="T295" i="9"/>
  <c r="S295" i="9"/>
  <c r="T294" i="9"/>
  <c r="S294" i="9"/>
  <c r="T293" i="9"/>
  <c r="S293" i="9"/>
  <c r="T292" i="9"/>
  <c r="S292" i="9"/>
  <c r="T291" i="9"/>
  <c r="S291" i="9"/>
  <c r="T290" i="9"/>
  <c r="S290" i="9"/>
  <c r="T289" i="9"/>
  <c r="S289" i="9"/>
  <c r="T288" i="9"/>
  <c r="S288" i="9"/>
  <c r="T287" i="9"/>
  <c r="S287" i="9"/>
  <c r="T286" i="9"/>
  <c r="S286" i="9"/>
  <c r="T285" i="9"/>
  <c r="S285" i="9"/>
  <c r="T284" i="9"/>
  <c r="S284" i="9"/>
  <c r="T283" i="9"/>
  <c r="S283" i="9"/>
  <c r="T282" i="9"/>
  <c r="S282" i="9"/>
  <c r="T281" i="9"/>
  <c r="S281" i="9"/>
  <c r="T280" i="9"/>
  <c r="S280" i="9"/>
  <c r="T279" i="9"/>
  <c r="S279" i="9"/>
  <c r="T278" i="9"/>
  <c r="S278" i="9"/>
  <c r="T277" i="9"/>
  <c r="S277" i="9"/>
  <c r="T276" i="9"/>
  <c r="S276" i="9"/>
  <c r="T275" i="9"/>
  <c r="S275" i="9"/>
  <c r="T274" i="9"/>
  <c r="S274" i="9"/>
  <c r="T273" i="9"/>
  <c r="S273" i="9"/>
  <c r="T272" i="9"/>
  <c r="S272" i="9"/>
  <c r="T271" i="9"/>
  <c r="S271" i="9"/>
  <c r="T270" i="9"/>
  <c r="S270" i="9"/>
  <c r="T269" i="9"/>
  <c r="S269" i="9"/>
  <c r="T268" i="9"/>
  <c r="S268" i="9"/>
  <c r="T267" i="9"/>
  <c r="S267" i="9"/>
  <c r="T266" i="9"/>
  <c r="S266" i="9"/>
  <c r="T265" i="9"/>
  <c r="S265" i="9"/>
  <c r="T264" i="9"/>
  <c r="S264" i="9"/>
  <c r="T263" i="9"/>
  <c r="S263" i="9"/>
  <c r="T262" i="9"/>
  <c r="S262" i="9"/>
  <c r="T261" i="9"/>
  <c r="S261" i="9"/>
  <c r="T260" i="9"/>
  <c r="S260" i="9"/>
  <c r="T259" i="9"/>
  <c r="S259" i="9"/>
  <c r="T258" i="9"/>
  <c r="S258" i="9"/>
  <c r="T257" i="9"/>
  <c r="S257" i="9"/>
  <c r="T256" i="9"/>
  <c r="S256" i="9"/>
  <c r="T255" i="9"/>
  <c r="S255" i="9"/>
  <c r="T254" i="9"/>
  <c r="S254" i="9"/>
  <c r="T253" i="9"/>
  <c r="S253" i="9"/>
  <c r="T252" i="9"/>
  <c r="S252" i="9"/>
  <c r="T251" i="9"/>
  <c r="S251" i="9"/>
  <c r="T250" i="9"/>
  <c r="S250" i="9"/>
  <c r="T249" i="9"/>
  <c r="S249" i="9"/>
  <c r="T248" i="9"/>
  <c r="S248" i="9"/>
  <c r="T247" i="9"/>
  <c r="S247" i="9"/>
  <c r="T246" i="9"/>
  <c r="S246" i="9"/>
  <c r="T245" i="9"/>
  <c r="S245" i="9"/>
  <c r="T244" i="9"/>
  <c r="S244" i="9"/>
  <c r="T243" i="9"/>
  <c r="S243" i="9"/>
  <c r="T242" i="9"/>
  <c r="S242" i="9"/>
  <c r="T241" i="9"/>
  <c r="S241" i="9"/>
  <c r="T240" i="9"/>
  <c r="S240" i="9"/>
  <c r="T239" i="9"/>
  <c r="S239" i="9"/>
  <c r="T238" i="9"/>
  <c r="S238" i="9"/>
  <c r="T237" i="9"/>
  <c r="S237" i="9"/>
  <c r="T236" i="9"/>
  <c r="S236" i="9"/>
  <c r="T235" i="9"/>
  <c r="S235" i="9"/>
  <c r="T234" i="9"/>
  <c r="S234" i="9"/>
  <c r="T233" i="9"/>
  <c r="S233" i="9"/>
  <c r="T232" i="9"/>
  <c r="S232" i="9"/>
  <c r="T231" i="9"/>
  <c r="S231" i="9"/>
  <c r="T230" i="9"/>
  <c r="S230" i="9"/>
  <c r="T229" i="9"/>
  <c r="S229" i="9"/>
  <c r="T228" i="9"/>
  <c r="S228" i="9"/>
  <c r="T227" i="9"/>
  <c r="S227" i="9"/>
  <c r="T226" i="9"/>
  <c r="S226" i="9"/>
  <c r="T225" i="9"/>
  <c r="S225" i="9"/>
  <c r="T224" i="9"/>
  <c r="S224" i="9"/>
  <c r="T223" i="9"/>
  <c r="S223" i="9"/>
  <c r="T222" i="9"/>
  <c r="S222" i="9"/>
  <c r="T221" i="9"/>
  <c r="S221" i="9"/>
  <c r="T220" i="9"/>
  <c r="S220" i="9"/>
  <c r="T219" i="9"/>
  <c r="S219" i="9"/>
  <c r="T218" i="9"/>
  <c r="S218" i="9"/>
  <c r="T217" i="9"/>
  <c r="S217" i="9"/>
  <c r="T216" i="9"/>
  <c r="S216" i="9"/>
  <c r="U215" i="9"/>
  <c r="T215" i="9"/>
  <c r="S215" i="9"/>
  <c r="T214" i="9"/>
  <c r="S214" i="9"/>
  <c r="T213" i="9"/>
  <c r="S213" i="9"/>
  <c r="T212" i="9"/>
  <c r="S212" i="9"/>
  <c r="T211" i="9"/>
  <c r="S211" i="9"/>
  <c r="T210" i="9"/>
  <c r="S210" i="9"/>
  <c r="T209" i="9"/>
  <c r="S209" i="9"/>
  <c r="T208" i="9"/>
  <c r="S208" i="9"/>
  <c r="T207" i="9"/>
  <c r="S207" i="9"/>
  <c r="T206" i="9"/>
  <c r="S206" i="9"/>
  <c r="T205" i="9"/>
  <c r="S205" i="9"/>
  <c r="T204" i="9"/>
  <c r="S204" i="9"/>
  <c r="T203" i="9"/>
  <c r="S203" i="9"/>
  <c r="T202" i="9"/>
  <c r="S202" i="9"/>
  <c r="T201" i="9"/>
  <c r="S201" i="9"/>
  <c r="T200" i="9"/>
  <c r="S200" i="9"/>
  <c r="T199" i="9"/>
  <c r="S199" i="9"/>
  <c r="T198" i="9"/>
  <c r="S198" i="9"/>
  <c r="T197" i="9"/>
  <c r="S197" i="9"/>
  <c r="T196" i="9"/>
  <c r="S196" i="9"/>
  <c r="T195" i="9"/>
  <c r="S195" i="9"/>
  <c r="T194" i="9"/>
  <c r="S194" i="9"/>
  <c r="T193" i="9"/>
  <c r="S193" i="9"/>
  <c r="T192" i="9"/>
  <c r="S192" i="9"/>
  <c r="T191" i="9"/>
  <c r="S191" i="9"/>
  <c r="T190" i="9"/>
  <c r="S190" i="9"/>
  <c r="T189" i="9"/>
  <c r="S189" i="9"/>
  <c r="T188" i="9"/>
  <c r="S188" i="9"/>
  <c r="T187" i="9"/>
  <c r="S187" i="9"/>
  <c r="T186" i="9"/>
  <c r="S186" i="9"/>
  <c r="T185" i="9"/>
  <c r="S185" i="9"/>
  <c r="Y184" i="9"/>
  <c r="X184" i="9"/>
  <c r="T184" i="9"/>
  <c r="S184" i="9"/>
  <c r="Y183" i="9"/>
  <c r="X183" i="9"/>
  <c r="T183" i="9"/>
  <c r="S183" i="9"/>
  <c r="Y182" i="9"/>
  <c r="X182" i="9"/>
  <c r="T182" i="9"/>
  <c r="S182" i="9"/>
  <c r="Y181" i="9"/>
  <c r="X181" i="9"/>
  <c r="T181" i="9"/>
  <c r="S181" i="9"/>
  <c r="Y180" i="9"/>
  <c r="X180" i="9"/>
  <c r="T180" i="9"/>
  <c r="S180" i="9"/>
  <c r="Y179" i="9"/>
  <c r="X179" i="9"/>
  <c r="T179" i="9"/>
  <c r="S179" i="9"/>
  <c r="Y178" i="9"/>
  <c r="X178" i="9"/>
  <c r="T178" i="9"/>
  <c r="S178" i="9"/>
  <c r="Y177" i="9"/>
  <c r="X177" i="9"/>
  <c r="T177" i="9"/>
  <c r="S177" i="9"/>
  <c r="Y176" i="9"/>
  <c r="X176" i="9"/>
  <c r="T176" i="9"/>
  <c r="S176" i="9"/>
  <c r="Y175" i="9"/>
  <c r="X175" i="9"/>
  <c r="T175" i="9"/>
  <c r="S175" i="9"/>
  <c r="Y174" i="9"/>
  <c r="X174" i="9"/>
  <c r="T174" i="9"/>
  <c r="S174" i="9"/>
  <c r="Y173" i="9"/>
  <c r="X173" i="9"/>
  <c r="T173" i="9"/>
  <c r="S173" i="9"/>
  <c r="Y172" i="9"/>
  <c r="X172" i="9"/>
  <c r="T172" i="9"/>
  <c r="S172" i="9"/>
  <c r="Y171" i="9"/>
  <c r="X171" i="9"/>
  <c r="T171" i="9"/>
  <c r="S171" i="9"/>
  <c r="Y170" i="9"/>
  <c r="X170" i="9"/>
  <c r="T170" i="9"/>
  <c r="S170" i="9"/>
  <c r="Y169" i="9"/>
  <c r="X169" i="9"/>
  <c r="T169" i="9"/>
  <c r="S169" i="9"/>
  <c r="Y168" i="9"/>
  <c r="X168" i="9"/>
  <c r="T168" i="9"/>
  <c r="S168" i="9"/>
  <c r="Y167" i="9"/>
  <c r="X167" i="9"/>
  <c r="T167" i="9"/>
  <c r="S167" i="9"/>
  <c r="Y166" i="9"/>
  <c r="X166" i="9"/>
  <c r="T166" i="9"/>
  <c r="S166" i="9"/>
  <c r="Y165" i="9"/>
  <c r="X165" i="9"/>
  <c r="T165" i="9"/>
  <c r="S165" i="9"/>
  <c r="Y164" i="9"/>
  <c r="X164" i="9"/>
  <c r="T164" i="9"/>
  <c r="S164" i="9"/>
  <c r="Y163" i="9"/>
  <c r="X163" i="9"/>
  <c r="T163" i="9"/>
  <c r="S163" i="9"/>
  <c r="Y162" i="9"/>
  <c r="X162" i="9"/>
  <c r="T162" i="9"/>
  <c r="S162" i="9"/>
  <c r="Y161" i="9"/>
  <c r="X161" i="9"/>
  <c r="T161" i="9"/>
  <c r="S161" i="9"/>
  <c r="Y160" i="9"/>
  <c r="X160" i="9"/>
  <c r="T160" i="9"/>
  <c r="S160" i="9"/>
  <c r="Y159" i="9"/>
  <c r="X159" i="9"/>
  <c r="T159" i="9"/>
  <c r="S159" i="9"/>
  <c r="Y158" i="9"/>
  <c r="X158" i="9"/>
  <c r="T158" i="9"/>
  <c r="S158" i="9"/>
  <c r="Y157" i="9"/>
  <c r="X157" i="9"/>
  <c r="T157" i="9"/>
  <c r="S157" i="9"/>
  <c r="Y156" i="9"/>
  <c r="X156" i="9"/>
  <c r="T156" i="9"/>
  <c r="S156" i="9"/>
  <c r="Y155" i="9"/>
  <c r="X155" i="9"/>
  <c r="T155" i="9"/>
  <c r="S155" i="9"/>
  <c r="Y154" i="9"/>
  <c r="X154" i="9"/>
  <c r="T154" i="9"/>
  <c r="S154" i="9"/>
  <c r="Y153" i="9"/>
  <c r="X153" i="9"/>
  <c r="T153" i="9"/>
  <c r="S153" i="9"/>
  <c r="Y152" i="9"/>
  <c r="X152" i="9"/>
  <c r="T152" i="9"/>
  <c r="S152" i="9"/>
  <c r="Y151" i="9"/>
  <c r="X151" i="9"/>
  <c r="T151" i="9"/>
  <c r="S151" i="9"/>
  <c r="Y150" i="9"/>
  <c r="X150" i="9"/>
  <c r="T150" i="9"/>
  <c r="S150" i="9"/>
  <c r="Y149" i="9"/>
  <c r="X149" i="9"/>
  <c r="T149" i="9"/>
  <c r="S149" i="9"/>
  <c r="Y148" i="9"/>
  <c r="X148" i="9"/>
  <c r="T148" i="9"/>
  <c r="S148" i="9"/>
  <c r="Y147" i="9"/>
  <c r="X147" i="9"/>
  <c r="T147" i="9"/>
  <c r="S147" i="9"/>
  <c r="Y146" i="9"/>
  <c r="X146" i="9"/>
  <c r="T146" i="9"/>
  <c r="S146" i="9"/>
  <c r="Y145" i="9"/>
  <c r="X145" i="9"/>
  <c r="T145" i="9"/>
  <c r="S145" i="9"/>
  <c r="Y144" i="9"/>
  <c r="X144" i="9"/>
  <c r="T144" i="9"/>
  <c r="S144" i="9"/>
  <c r="Y143" i="9"/>
  <c r="X143" i="9"/>
  <c r="T143" i="9"/>
  <c r="S143" i="9"/>
  <c r="Y142" i="9"/>
  <c r="X142" i="9"/>
  <c r="T142" i="9"/>
  <c r="S142" i="9"/>
  <c r="Y141" i="9"/>
  <c r="X141" i="9"/>
  <c r="T141" i="9"/>
  <c r="S141" i="9"/>
  <c r="Y140" i="9"/>
  <c r="X140" i="9"/>
  <c r="T140" i="9"/>
  <c r="S140" i="9"/>
  <c r="Y139" i="9"/>
  <c r="X139" i="9"/>
  <c r="T139" i="9"/>
  <c r="S139" i="9"/>
  <c r="Y138" i="9"/>
  <c r="X138" i="9"/>
  <c r="T138" i="9"/>
  <c r="S138" i="9"/>
  <c r="Y137" i="9"/>
  <c r="X137" i="9"/>
  <c r="T137" i="9"/>
  <c r="S137" i="9"/>
  <c r="Y136" i="9"/>
  <c r="X136" i="9"/>
  <c r="T136" i="9"/>
  <c r="S136" i="9"/>
  <c r="Y135" i="9"/>
  <c r="X135" i="9"/>
  <c r="T135" i="9"/>
  <c r="S135" i="9"/>
  <c r="Y134" i="9"/>
  <c r="X134" i="9"/>
  <c r="T134" i="9"/>
  <c r="S134" i="9"/>
  <c r="Y133" i="9"/>
  <c r="X133" i="9"/>
  <c r="T133" i="9"/>
  <c r="S133" i="9"/>
  <c r="Y132" i="9"/>
  <c r="X132" i="9"/>
  <c r="T132" i="9"/>
  <c r="S132" i="9"/>
  <c r="Y131" i="9"/>
  <c r="X131" i="9"/>
  <c r="T131" i="9"/>
  <c r="S131" i="9"/>
  <c r="Y130" i="9"/>
  <c r="X130" i="9"/>
  <c r="T130" i="9"/>
  <c r="S130" i="9"/>
  <c r="Y129" i="9"/>
  <c r="X129" i="9"/>
  <c r="T129" i="9"/>
  <c r="S129" i="9"/>
  <c r="Y128" i="9"/>
  <c r="X128" i="9"/>
  <c r="T128" i="9"/>
  <c r="S128" i="9"/>
  <c r="Y127" i="9"/>
  <c r="X127" i="9"/>
  <c r="T127" i="9"/>
  <c r="S127" i="9"/>
  <c r="Y126" i="9"/>
  <c r="X126" i="9"/>
  <c r="T126" i="9"/>
  <c r="S126" i="9"/>
  <c r="Y125" i="9"/>
  <c r="X125" i="9"/>
  <c r="T125" i="9"/>
  <c r="S125" i="9"/>
  <c r="Y124" i="9"/>
  <c r="X124" i="9"/>
  <c r="T124" i="9"/>
  <c r="S124" i="9"/>
  <c r="Y123" i="9"/>
  <c r="X123" i="9"/>
  <c r="T123" i="9"/>
  <c r="S123" i="9"/>
  <c r="Y122" i="9"/>
  <c r="X122" i="9"/>
  <c r="T122" i="9"/>
  <c r="S122" i="9"/>
  <c r="Y121" i="9"/>
  <c r="X121" i="9"/>
  <c r="T121" i="9"/>
  <c r="S121" i="9"/>
  <c r="Y120" i="9"/>
  <c r="X120" i="9"/>
  <c r="T120" i="9"/>
  <c r="S120" i="9"/>
  <c r="Y119" i="9"/>
  <c r="X119" i="9"/>
  <c r="T119" i="9"/>
  <c r="S119" i="9"/>
  <c r="Y118" i="9"/>
  <c r="X118" i="9"/>
  <c r="T118" i="9"/>
  <c r="S118" i="9"/>
  <c r="Y117" i="9"/>
  <c r="X117" i="9"/>
  <c r="T117" i="9"/>
  <c r="S117" i="9"/>
  <c r="Y116" i="9"/>
  <c r="X116" i="9"/>
  <c r="T116" i="9"/>
  <c r="S116" i="9"/>
  <c r="Y115" i="9"/>
  <c r="X115" i="9"/>
  <c r="T115" i="9"/>
  <c r="S115" i="9"/>
  <c r="Y114" i="9"/>
  <c r="X114" i="9"/>
  <c r="T114" i="9"/>
  <c r="S114" i="9"/>
  <c r="Y113" i="9"/>
  <c r="X113" i="9"/>
  <c r="T113" i="9"/>
  <c r="S113" i="9"/>
  <c r="Y112" i="9"/>
  <c r="X112" i="9"/>
  <c r="T112" i="9"/>
  <c r="S112" i="9"/>
  <c r="Y96" i="9"/>
  <c r="X96" i="9"/>
  <c r="S96" i="9"/>
  <c r="Y95" i="9"/>
  <c r="X95" i="9"/>
  <c r="S95" i="9"/>
  <c r="Y94" i="9"/>
  <c r="X94" i="9"/>
  <c r="S94" i="9"/>
  <c r="Y93" i="9"/>
  <c r="X93" i="9"/>
  <c r="S93" i="9"/>
  <c r="Y88" i="9"/>
  <c r="X88" i="9"/>
  <c r="S88" i="9"/>
  <c r="Y104" i="9"/>
  <c r="X104" i="9"/>
  <c r="S104" i="9"/>
  <c r="Y103" i="9"/>
  <c r="X103" i="9"/>
  <c r="S103" i="9"/>
  <c r="Y105" i="9"/>
  <c r="X105" i="9"/>
  <c r="S105" i="9"/>
  <c r="Y108" i="9"/>
  <c r="X108" i="9"/>
  <c r="S108" i="9"/>
  <c r="Y107" i="9"/>
  <c r="X107" i="9"/>
  <c r="S107" i="9"/>
  <c r="Y87" i="9"/>
  <c r="X87" i="9"/>
  <c r="S87" i="9"/>
  <c r="Y84" i="9"/>
  <c r="X84" i="9"/>
  <c r="S84" i="9"/>
  <c r="Y83" i="9"/>
  <c r="X83" i="9"/>
  <c r="S83" i="9"/>
  <c r="Y82" i="9"/>
  <c r="X82" i="9"/>
  <c r="S82" i="9"/>
  <c r="Y81" i="9"/>
  <c r="X81" i="9"/>
  <c r="T81" i="9"/>
  <c r="S81" i="9"/>
  <c r="Y80" i="9"/>
  <c r="X80" i="9"/>
  <c r="T80" i="9"/>
  <c r="S80" i="9"/>
  <c r="Y79" i="9"/>
  <c r="X79" i="9"/>
  <c r="T79" i="9"/>
  <c r="S79" i="9"/>
  <c r="Y78" i="9"/>
  <c r="X78" i="9"/>
  <c r="T78" i="9"/>
  <c r="S78" i="9"/>
  <c r="Y77" i="9"/>
  <c r="X77" i="9"/>
  <c r="T77" i="9"/>
  <c r="S77" i="9"/>
  <c r="Y76" i="9"/>
  <c r="X76" i="9"/>
  <c r="T76" i="9"/>
  <c r="S76" i="9"/>
  <c r="Y75" i="9"/>
  <c r="X75" i="9"/>
  <c r="T75" i="9"/>
  <c r="S75" i="9"/>
  <c r="Y74" i="9"/>
  <c r="X74" i="9"/>
  <c r="T74" i="9"/>
  <c r="S74" i="9"/>
  <c r="Y73" i="9"/>
  <c r="X73" i="9"/>
  <c r="T73" i="9"/>
  <c r="S73" i="9"/>
  <c r="Y72" i="9"/>
  <c r="X72" i="9"/>
  <c r="T72" i="9"/>
  <c r="S72" i="9"/>
  <c r="Y71" i="9"/>
  <c r="X71" i="9"/>
  <c r="T71" i="9"/>
  <c r="S71" i="9"/>
  <c r="Y70" i="9"/>
  <c r="X70" i="9"/>
  <c r="T70" i="9"/>
  <c r="S70" i="9"/>
  <c r="Y69" i="9"/>
  <c r="X69" i="9"/>
  <c r="T69" i="9"/>
  <c r="S69" i="9"/>
  <c r="Y68" i="9"/>
  <c r="X68" i="9"/>
  <c r="T68" i="9"/>
  <c r="S68" i="9"/>
  <c r="Y67" i="9"/>
  <c r="X67" i="9"/>
  <c r="T67" i="9"/>
  <c r="S67" i="9"/>
  <c r="Y66" i="9"/>
  <c r="X66" i="9"/>
  <c r="T66" i="9"/>
  <c r="S66" i="9"/>
  <c r="Y65" i="9"/>
  <c r="X65" i="9"/>
  <c r="T65" i="9"/>
  <c r="S65" i="9"/>
  <c r="Y64" i="9"/>
  <c r="X64" i="9"/>
  <c r="T64" i="9"/>
  <c r="S64" i="9"/>
  <c r="Y63" i="9"/>
  <c r="X63" i="9"/>
  <c r="T63" i="9"/>
  <c r="S63" i="9"/>
  <c r="Y62" i="9"/>
  <c r="X62" i="9"/>
  <c r="T62" i="9"/>
  <c r="S62" i="9"/>
  <c r="Y61" i="9"/>
  <c r="X61" i="9"/>
  <c r="T61" i="9"/>
  <c r="S61" i="9"/>
  <c r="Y60" i="9"/>
  <c r="X60" i="9"/>
  <c r="T60" i="9"/>
  <c r="S60" i="9"/>
  <c r="Y59" i="9"/>
  <c r="X59" i="9"/>
  <c r="T59" i="9"/>
  <c r="S59" i="9"/>
  <c r="Y58" i="9"/>
  <c r="X58" i="9"/>
  <c r="T58" i="9"/>
  <c r="S58" i="9"/>
  <c r="Y57" i="9"/>
  <c r="X57" i="9"/>
  <c r="T57" i="9"/>
  <c r="S57" i="9"/>
  <c r="Y56" i="9"/>
  <c r="X56" i="9"/>
  <c r="T56" i="9"/>
  <c r="S56" i="9"/>
  <c r="Y55" i="9"/>
  <c r="X55" i="9"/>
  <c r="T55" i="9"/>
  <c r="S55" i="9"/>
  <c r="Y54" i="9"/>
  <c r="X54" i="9"/>
  <c r="T54" i="9"/>
  <c r="S54" i="9"/>
  <c r="Y53" i="9"/>
  <c r="X53" i="9"/>
  <c r="T53" i="9"/>
  <c r="S53" i="9"/>
  <c r="Y52" i="9"/>
  <c r="X52" i="9"/>
  <c r="T52" i="9"/>
  <c r="S52" i="9"/>
  <c r="Y51" i="9"/>
  <c r="X51" i="9"/>
  <c r="T51" i="9"/>
  <c r="S51" i="9"/>
  <c r="Y50" i="9"/>
  <c r="X50" i="9"/>
  <c r="Y49" i="9"/>
  <c r="X49" i="9"/>
  <c r="S49" i="9"/>
  <c r="Y48" i="9"/>
  <c r="X48" i="9"/>
  <c r="S48" i="9"/>
  <c r="Y47" i="9"/>
  <c r="X47" i="9"/>
  <c r="S47" i="9"/>
  <c r="Y46" i="9"/>
  <c r="X46" i="9"/>
  <c r="T46" i="9"/>
  <c r="S46" i="9"/>
  <c r="Y45" i="9"/>
  <c r="X45" i="9"/>
  <c r="T45" i="9"/>
  <c r="S45" i="9"/>
  <c r="Y44" i="9"/>
  <c r="X44" i="9"/>
  <c r="T44" i="9"/>
  <c r="S44" i="9"/>
  <c r="Y43" i="9"/>
  <c r="X43" i="9"/>
  <c r="T43" i="9"/>
  <c r="S43" i="9"/>
  <c r="Y42" i="9"/>
  <c r="X42" i="9"/>
  <c r="T42" i="9"/>
  <c r="S42" i="9"/>
  <c r="Y41" i="9"/>
  <c r="X41" i="9"/>
  <c r="T41" i="9"/>
  <c r="S41" i="9"/>
  <c r="Y40" i="9"/>
  <c r="X40" i="9"/>
  <c r="T40" i="9"/>
  <c r="S40" i="9"/>
  <c r="Y39" i="9"/>
  <c r="X39" i="9"/>
  <c r="T39" i="9"/>
  <c r="S39" i="9"/>
  <c r="Y38" i="9"/>
  <c r="X38" i="9"/>
  <c r="T38" i="9"/>
  <c r="S38" i="9"/>
  <c r="Y37" i="9"/>
  <c r="X37" i="9"/>
  <c r="T37" i="9"/>
  <c r="S37" i="9"/>
  <c r="Y36" i="9"/>
  <c r="X36" i="9"/>
  <c r="T36" i="9"/>
  <c r="S36" i="9"/>
  <c r="Y35" i="9"/>
  <c r="X35" i="9"/>
  <c r="T35" i="9"/>
  <c r="S35" i="9"/>
  <c r="Y34" i="9"/>
  <c r="X34" i="9"/>
  <c r="T34" i="9"/>
  <c r="S34" i="9"/>
  <c r="Y33" i="9"/>
  <c r="X33" i="9"/>
  <c r="T33" i="9"/>
  <c r="S33" i="9"/>
  <c r="Y32" i="9"/>
  <c r="X32" i="9"/>
  <c r="T32" i="9"/>
  <c r="S32" i="9"/>
  <c r="Y31" i="9"/>
  <c r="X31" i="9"/>
  <c r="T31" i="9"/>
  <c r="S31" i="9"/>
  <c r="Y30" i="9"/>
  <c r="X30" i="9"/>
  <c r="T30" i="9"/>
  <c r="S30" i="9"/>
  <c r="Y29" i="9"/>
  <c r="X29" i="9"/>
  <c r="T29" i="9"/>
  <c r="S29" i="9"/>
  <c r="Y28" i="9"/>
  <c r="X28" i="9"/>
  <c r="T28" i="9"/>
  <c r="S28" i="9"/>
  <c r="Y27" i="9"/>
  <c r="X27" i="9"/>
  <c r="T27" i="9"/>
  <c r="S27" i="9"/>
  <c r="Y26" i="9"/>
  <c r="X26" i="9"/>
  <c r="T26" i="9"/>
  <c r="S26" i="9"/>
  <c r="Y25" i="9"/>
  <c r="X25" i="9"/>
  <c r="T25" i="9"/>
  <c r="Y24" i="9"/>
  <c r="X24" i="9"/>
  <c r="T24" i="9"/>
  <c r="S24" i="9"/>
  <c r="Y23" i="9"/>
  <c r="X23" i="9"/>
  <c r="T23" i="9"/>
  <c r="S23" i="9"/>
  <c r="Y22" i="9"/>
  <c r="X22" i="9"/>
  <c r="T22" i="9"/>
  <c r="S22" i="9"/>
  <c r="Y21" i="9"/>
  <c r="X21" i="9"/>
  <c r="T21" i="9"/>
  <c r="S21" i="9"/>
  <c r="Y20" i="9"/>
  <c r="X20" i="9"/>
  <c r="T20" i="9"/>
  <c r="S20" i="9"/>
  <c r="Y19" i="9"/>
  <c r="X19" i="9"/>
  <c r="T19" i="9"/>
  <c r="S19" i="9"/>
  <c r="Y18" i="9"/>
  <c r="X18" i="9"/>
  <c r="T18" i="9"/>
  <c r="S18" i="9"/>
  <c r="Y17" i="9"/>
  <c r="X17" i="9"/>
  <c r="T17" i="9"/>
  <c r="S17" i="9"/>
  <c r="Y16" i="9"/>
  <c r="X16" i="9"/>
  <c r="T16" i="9"/>
  <c r="S16" i="9"/>
  <c r="Y15" i="9"/>
  <c r="X15" i="9"/>
  <c r="T15" i="9"/>
  <c r="S15" i="9"/>
  <c r="Y14" i="9"/>
  <c r="X14" i="9"/>
  <c r="T14" i="9"/>
  <c r="S14" i="9"/>
  <c r="AI13" i="9"/>
  <c r="AJ13" i="9" s="1"/>
  <c r="Y13" i="9"/>
  <c r="X13" i="9"/>
  <c r="T13" i="9"/>
  <c r="S13" i="9"/>
  <c r="AI12" i="9"/>
  <c r="AJ12" i="9" s="1"/>
  <c r="Y12" i="9"/>
  <c r="X12" i="9"/>
  <c r="T12" i="9"/>
  <c r="S12" i="9"/>
  <c r="AI11" i="9"/>
  <c r="AJ11" i="9" s="1"/>
  <c r="Y11" i="9"/>
  <c r="X11" i="9"/>
  <c r="T11" i="9"/>
  <c r="S11" i="9"/>
  <c r="AI10" i="9"/>
  <c r="AJ10" i="9" s="1"/>
  <c r="Y10" i="9"/>
  <c r="X10" i="9"/>
  <c r="T10" i="9"/>
  <c r="S10" i="9"/>
  <c r="Y9" i="9"/>
  <c r="X9" i="9"/>
  <c r="T9" i="9"/>
  <c r="S9" i="9"/>
  <c r="Y8" i="9"/>
  <c r="X8" i="9"/>
  <c r="T8" i="9"/>
  <c r="S8" i="9"/>
  <c r="AI7" i="9"/>
  <c r="AJ7" i="9" s="1"/>
  <c r="Y7" i="9"/>
  <c r="X7" i="9"/>
  <c r="T7" i="9"/>
  <c r="S7" i="9"/>
  <c r="AI6" i="9"/>
  <c r="AJ6" i="9" s="1"/>
  <c r="T6" i="9"/>
  <c r="S6" i="9"/>
  <c r="T5" i="9"/>
  <c r="S5" i="9"/>
  <c r="T4" i="9"/>
  <c r="S4" i="9"/>
  <c r="T3" i="9"/>
  <c r="S3" i="9"/>
  <c r="AJ8" i="9" l="1"/>
  <c r="AB181" i="9" a="1"/>
  <c r="AB181" i="9" s="1"/>
  <c r="T333" i="9" a="1"/>
  <c r="T333" i="9" s="1"/>
  <c r="T334" i="9" s="1"/>
  <c r="T335" i="9" s="1"/>
  <c r="Z57" i="9" s="1" a="1"/>
  <c r="Z57" i="9" s="1"/>
  <c r="T324" i="9" a="1"/>
  <c r="T324" i="9" s="1"/>
  <c r="T325" i="9" s="1"/>
  <c r="T326" i="9" s="1"/>
  <c r="AA181" i="9" a="1"/>
  <c r="AA181" i="9" s="1"/>
  <c r="AJ14" i="9"/>
  <c r="Z47" i="9" a="1"/>
  <c r="Z47" i="9" s="1"/>
  <c r="Z181" i="9" a="1"/>
  <c r="Z181" i="9" s="1"/>
  <c r="AB151" i="9" a="1"/>
  <c r="AB151" i="9" s="1"/>
  <c r="Z184" i="9" a="1"/>
  <c r="Z184" i="9" s="1"/>
  <c r="AA184" i="9" a="1"/>
  <c r="AA184" i="9" s="1"/>
  <c r="AB184" i="9" a="1"/>
  <c r="AB184" i="9" s="1"/>
  <c r="Z183" i="9" a="1"/>
  <c r="Z183" i="9" s="1"/>
  <c r="AA183" i="9" a="1"/>
  <c r="AA183" i="9" s="1"/>
  <c r="AB183" i="9" a="1"/>
  <c r="AB183" i="9" s="1"/>
  <c r="Z182" i="9" a="1"/>
  <c r="Z182" i="9" s="1"/>
  <c r="AA182" i="9" a="1"/>
  <c r="AA182" i="9" s="1"/>
  <c r="AB182" i="9" a="1"/>
  <c r="AB182" i="9" s="1"/>
  <c r="AB180" i="9" a="1"/>
  <c r="AB180" i="9" s="1"/>
  <c r="AA180" i="9" a="1"/>
  <c r="AA180" i="9" s="1"/>
  <c r="Z180" i="9" a="1"/>
  <c r="Z180" i="9" s="1"/>
  <c r="AB179" i="9" a="1"/>
  <c r="AB179" i="9" s="1"/>
  <c r="AA179" i="9" a="1"/>
  <c r="AA179" i="9" s="1"/>
  <c r="Z179" i="9" a="1"/>
  <c r="Z179" i="9" s="1"/>
  <c r="AB178" i="9" a="1"/>
  <c r="AB178" i="9" s="1"/>
  <c r="AA178" i="9" a="1"/>
  <c r="AA178" i="9" s="1"/>
  <c r="Z178" i="9" a="1"/>
  <c r="Z178" i="9" s="1"/>
  <c r="AB177" i="9" a="1"/>
  <c r="AB177" i="9" s="1"/>
  <c r="AA177" i="9" a="1"/>
  <c r="AA177" i="9" s="1"/>
  <c r="Z177" i="9" a="1"/>
  <c r="Z177" i="9" s="1"/>
  <c r="AB176" i="9" a="1"/>
  <c r="AB176" i="9" s="1"/>
  <c r="AA176" i="9" a="1"/>
  <c r="AA176" i="9" s="1"/>
  <c r="Z176" i="9" a="1"/>
  <c r="Z176" i="9" s="1"/>
  <c r="Z175" i="9" a="1"/>
  <c r="Z175" i="9" s="1"/>
  <c r="AB175" i="9" a="1"/>
  <c r="AB175" i="9" s="1"/>
  <c r="AA175" i="9" a="1"/>
  <c r="AA175" i="9" s="1"/>
  <c r="Z174" i="9" a="1"/>
  <c r="Z174" i="9" s="1"/>
  <c r="AB174" i="9" a="1"/>
  <c r="AB174" i="9" s="1"/>
  <c r="AA174" i="9" a="1"/>
  <c r="AA174" i="9" s="1"/>
  <c r="Z173" i="9" a="1"/>
  <c r="Z173" i="9" s="1"/>
  <c r="AB173" i="9" a="1"/>
  <c r="AB173" i="9" s="1"/>
  <c r="AA173" i="9" a="1"/>
  <c r="AA173" i="9" s="1"/>
  <c r="Z172" i="9" a="1"/>
  <c r="Z172" i="9" s="1"/>
  <c r="AA172" i="9" a="1"/>
  <c r="AA172" i="9" s="1"/>
  <c r="AB172" i="9" a="1"/>
  <c r="AB172" i="9" s="1"/>
  <c r="AB171" i="9" a="1"/>
  <c r="AB171" i="9" s="1"/>
  <c r="AA171" i="9" a="1"/>
  <c r="AA171" i="9" s="1"/>
  <c r="Z171" i="9" a="1"/>
  <c r="Z171" i="9" s="1"/>
  <c r="Z170" i="9" a="1"/>
  <c r="Z170" i="9" s="1"/>
  <c r="AA170" i="9" a="1"/>
  <c r="AA170" i="9" s="1"/>
  <c r="AB170" i="9" a="1"/>
  <c r="AB170" i="9" s="1"/>
  <c r="AA169" i="9" a="1"/>
  <c r="AA169" i="9" s="1"/>
  <c r="AB169" i="9" a="1"/>
  <c r="AB169" i="9" s="1"/>
  <c r="Z169" i="9" a="1"/>
  <c r="Z169" i="9" s="1"/>
  <c r="AB168" i="9" a="1"/>
  <c r="AB168" i="9" s="1"/>
  <c r="AA168" i="9" a="1"/>
  <c r="AA168" i="9" s="1"/>
  <c r="Z168" i="9" a="1"/>
  <c r="Z168" i="9" s="1"/>
  <c r="AB167" i="9" a="1"/>
  <c r="AB167" i="9" s="1"/>
  <c r="Z167" i="9" a="1"/>
  <c r="Z167" i="9" s="1"/>
  <c r="AA167" i="9" a="1"/>
  <c r="AA167" i="9" s="1"/>
  <c r="AB166" i="9" a="1"/>
  <c r="AB166" i="9" s="1"/>
  <c r="AA166" i="9" a="1"/>
  <c r="AA166" i="9" s="1"/>
  <c r="Z166" i="9" a="1"/>
  <c r="Z166" i="9" s="1"/>
  <c r="AB165" i="9" a="1"/>
  <c r="AB165" i="9" s="1"/>
  <c r="AA165" i="9" a="1"/>
  <c r="AA165" i="9" s="1"/>
  <c r="Z165" i="9" a="1"/>
  <c r="Z165" i="9" s="1"/>
  <c r="AA164" i="9" a="1"/>
  <c r="AA164" i="9" s="1"/>
  <c r="AB164" i="9" a="1"/>
  <c r="AB164" i="9" s="1"/>
  <c r="Z164" i="9" a="1"/>
  <c r="Z164" i="9" s="1"/>
  <c r="AA163" i="9" a="1"/>
  <c r="AA163" i="9" s="1"/>
  <c r="Z163" i="9" a="1"/>
  <c r="Z163" i="9" s="1"/>
  <c r="AB163" i="9" a="1"/>
  <c r="AB163" i="9" s="1"/>
  <c r="AB162" i="9" a="1"/>
  <c r="AB162" i="9" s="1"/>
  <c r="AA162" i="9" a="1"/>
  <c r="AA162" i="9" s="1"/>
  <c r="Z162" i="9" a="1"/>
  <c r="Z162" i="9" s="1"/>
  <c r="AB161" i="9" a="1"/>
  <c r="AB161" i="9" s="1"/>
  <c r="Z161" i="9" a="1"/>
  <c r="Z161" i="9" s="1"/>
  <c r="AA161" i="9" a="1"/>
  <c r="AA161" i="9" s="1"/>
  <c r="AB160" i="9" a="1"/>
  <c r="AB160" i="9" s="1"/>
  <c r="AA160" i="9" a="1"/>
  <c r="AA160" i="9" s="1"/>
  <c r="Z160" i="9" a="1"/>
  <c r="Z160" i="9" s="1"/>
  <c r="AB159" i="9" a="1"/>
  <c r="AB159" i="9" s="1"/>
  <c r="AA159" i="9" a="1"/>
  <c r="AA159" i="9" s="1"/>
  <c r="Z159" i="9" a="1"/>
  <c r="Z159" i="9" s="1"/>
  <c r="AB158" i="9" a="1"/>
  <c r="AB158" i="9" s="1"/>
  <c r="AA158" i="9" a="1"/>
  <c r="AA158" i="9" s="1"/>
  <c r="Z158" i="9" a="1"/>
  <c r="Z158" i="9" s="1"/>
  <c r="AB157" i="9" a="1"/>
  <c r="AB157" i="9" s="1"/>
  <c r="AA157" i="9" a="1"/>
  <c r="AA157" i="9" s="1"/>
  <c r="Z157" i="9" a="1"/>
  <c r="Z157" i="9" s="1"/>
  <c r="AA156" i="9" a="1"/>
  <c r="AA156" i="9" s="1"/>
  <c r="AB156" i="9" a="1"/>
  <c r="AB156" i="9" s="1"/>
  <c r="Z156" i="9" a="1"/>
  <c r="Z156" i="9" s="1"/>
  <c r="Z155" i="9" a="1"/>
  <c r="Z155" i="9" s="1"/>
  <c r="AA155" i="9" a="1"/>
  <c r="AA155" i="9" s="1"/>
  <c r="AB155" i="9" a="1"/>
  <c r="AB155" i="9" s="1"/>
  <c r="Z154" i="9" a="1"/>
  <c r="Z154" i="9" s="1"/>
  <c r="AA154" i="9" a="1"/>
  <c r="AA154" i="9" s="1"/>
  <c r="AB154" i="9" a="1"/>
  <c r="AB154" i="9" s="1"/>
  <c r="AA153" i="9" a="1"/>
  <c r="AA153" i="9" s="1"/>
  <c r="Z153" i="9" a="1"/>
  <c r="Z153" i="9" s="1"/>
  <c r="AB153" i="9" a="1"/>
  <c r="AB153" i="9" s="1"/>
  <c r="AB152" i="9" a="1"/>
  <c r="AB152" i="9" s="1"/>
  <c r="AA152" i="9" a="1"/>
  <c r="AA152" i="9" s="1"/>
  <c r="Z152" i="9" a="1"/>
  <c r="Z152" i="9" s="1"/>
  <c r="AA151" i="9" a="1"/>
  <c r="AA151" i="9" s="1"/>
  <c r="Z151" i="9" a="1"/>
  <c r="Z151" i="9" s="1"/>
  <c r="AB150" i="9" a="1"/>
  <c r="AB150" i="9" s="1"/>
  <c r="AA150" i="9" a="1"/>
  <c r="AA150" i="9" s="1"/>
  <c r="Z150" i="9" a="1"/>
  <c r="Z150" i="9" s="1"/>
  <c r="AB149" i="9" a="1"/>
  <c r="AB149" i="9" s="1"/>
  <c r="AA149" i="9" a="1"/>
  <c r="AA149" i="9" s="1"/>
  <c r="Z149" i="9" a="1"/>
  <c r="Z149" i="9" s="1"/>
  <c r="AB148" i="9" a="1"/>
  <c r="AB148" i="9" s="1"/>
  <c r="AA148" i="9" a="1"/>
  <c r="AA148" i="9" s="1"/>
  <c r="Z148" i="9" a="1"/>
  <c r="Z148" i="9" s="1"/>
  <c r="Z147" i="9" a="1"/>
  <c r="Z147" i="9" s="1"/>
  <c r="AA147" i="9" a="1"/>
  <c r="AA147" i="9" s="1"/>
  <c r="AB147" i="9" a="1"/>
  <c r="AB147" i="9" s="1"/>
  <c r="AB146" i="9" a="1"/>
  <c r="AB146" i="9" s="1"/>
  <c r="Z146" i="9" a="1"/>
  <c r="Z146" i="9" s="1"/>
  <c r="AA146" i="9" a="1"/>
  <c r="AA146" i="9" s="1"/>
  <c r="Z145" i="9" a="1"/>
  <c r="Z145" i="9" s="1"/>
  <c r="AA145" i="9" a="1"/>
  <c r="AA145" i="9" s="1"/>
  <c r="AB145" i="9" a="1"/>
  <c r="AB145" i="9" s="1"/>
  <c r="Z144" i="9" a="1"/>
  <c r="Z144" i="9" s="1"/>
  <c r="AB144" i="9" a="1"/>
  <c r="AB144" i="9" s="1"/>
  <c r="AA144" i="9" a="1"/>
  <c r="AA144" i="9" s="1"/>
  <c r="AB143" i="9" a="1"/>
  <c r="AB143" i="9" s="1"/>
  <c r="AA143" i="9" a="1"/>
  <c r="AA143" i="9" s="1"/>
  <c r="Z143" i="9" a="1"/>
  <c r="Z143" i="9" s="1"/>
  <c r="AB142" i="9" a="1"/>
  <c r="AB142" i="9" s="1"/>
  <c r="AA142" i="9" a="1"/>
  <c r="AA142" i="9" s="1"/>
  <c r="Z142" i="9" a="1"/>
  <c r="Z142" i="9" s="1"/>
  <c r="AA141" i="9" a="1"/>
  <c r="AA141" i="9" s="1"/>
  <c r="Z141" i="9" a="1"/>
  <c r="Z141" i="9" s="1"/>
  <c r="AB141" i="9" a="1"/>
  <c r="AB141" i="9" s="1"/>
  <c r="AB140" i="9" a="1"/>
  <c r="AB140" i="9" s="1"/>
  <c r="AA140" i="9" a="1"/>
  <c r="AA140" i="9" s="1"/>
  <c r="Z140" i="9" a="1"/>
  <c r="Z140" i="9" s="1"/>
  <c r="AB139" i="9" a="1"/>
  <c r="AB139" i="9" s="1"/>
  <c r="AA139" i="9" a="1"/>
  <c r="AA139" i="9" s="1"/>
  <c r="Z139" i="9" a="1"/>
  <c r="Z139" i="9" s="1"/>
  <c r="AB138" i="9" a="1"/>
  <c r="AB138" i="9" s="1"/>
  <c r="AA138" i="9" a="1"/>
  <c r="AA138" i="9" s="1"/>
  <c r="Z138" i="9" a="1"/>
  <c r="Z138" i="9" s="1"/>
  <c r="AA137" i="9" a="1"/>
  <c r="AA137" i="9" s="1"/>
  <c r="Z137" i="9" a="1"/>
  <c r="Z137" i="9" s="1"/>
  <c r="AB137" i="9" a="1"/>
  <c r="AB137" i="9" s="1"/>
  <c r="AB136" i="9" a="1"/>
  <c r="AB136" i="9" s="1"/>
  <c r="Z136" i="9" a="1"/>
  <c r="Z136" i="9" s="1"/>
  <c r="AA136" i="9" a="1"/>
  <c r="AA136" i="9" s="1"/>
  <c r="Z135" i="9" a="1"/>
  <c r="Z135" i="9" s="1"/>
  <c r="AA135" i="9" a="1"/>
  <c r="AA135" i="9" s="1"/>
  <c r="AB135" i="9" a="1"/>
  <c r="AB135" i="9" s="1"/>
  <c r="Z134" i="9" a="1"/>
  <c r="Z134" i="9" s="1"/>
  <c r="AA134" i="9" a="1"/>
  <c r="AA134" i="9" s="1"/>
  <c r="AB134" i="9" a="1"/>
  <c r="AB134" i="9" s="1"/>
  <c r="AA133" i="9" a="1"/>
  <c r="AA133" i="9" s="1"/>
  <c r="Z133" i="9" a="1"/>
  <c r="Z133" i="9" s="1"/>
  <c r="AB133" i="9" a="1"/>
  <c r="AB133" i="9" s="1"/>
  <c r="AB132" i="9" a="1"/>
  <c r="AB132" i="9" s="1"/>
  <c r="AA132" i="9" a="1"/>
  <c r="AA132" i="9" s="1"/>
  <c r="Z132" i="9" a="1"/>
  <c r="Z132" i="9" s="1"/>
  <c r="AB131" i="9" a="1"/>
  <c r="AB131" i="9" s="1"/>
  <c r="AA131" i="9" a="1"/>
  <c r="AA131" i="9" s="1"/>
  <c r="Z131" i="9" a="1"/>
  <c r="Z131" i="9" s="1"/>
  <c r="AB130" i="9" a="1"/>
  <c r="AB130" i="9" s="1"/>
  <c r="Z130" i="9" a="1"/>
  <c r="Z130" i="9" s="1"/>
  <c r="AA130" i="9" a="1"/>
  <c r="AA130" i="9" s="1"/>
  <c r="AB129" i="9" a="1"/>
  <c r="AB129" i="9" s="1"/>
  <c r="AA129" i="9" a="1"/>
  <c r="AA129" i="9" s="1"/>
  <c r="Z129" i="9" a="1"/>
  <c r="Z129" i="9" s="1"/>
  <c r="AB128" i="9" a="1"/>
  <c r="AB128" i="9" s="1"/>
  <c r="AA128" i="9" a="1"/>
  <c r="AA128" i="9" s="1"/>
  <c r="Z128" i="9" a="1"/>
  <c r="Z128" i="9" s="1"/>
  <c r="AB127" i="9" a="1"/>
  <c r="AB127" i="9" s="1"/>
  <c r="AA127" i="9" a="1"/>
  <c r="AA127" i="9" s="1"/>
  <c r="Z127" i="9" a="1"/>
  <c r="Z127" i="9" s="1"/>
  <c r="AB126" i="9" a="1"/>
  <c r="AB126" i="9" s="1"/>
  <c r="AA126" i="9" a="1"/>
  <c r="AA126" i="9" s="1"/>
  <c r="Z126" i="9" a="1"/>
  <c r="Z126" i="9" s="1"/>
  <c r="AB125" i="9" a="1"/>
  <c r="AB125" i="9" s="1"/>
  <c r="AA125" i="9" a="1"/>
  <c r="AA125" i="9" s="1"/>
  <c r="Z125" i="9" a="1"/>
  <c r="Z125" i="9" s="1"/>
  <c r="AB124" i="9" a="1"/>
  <c r="AB124" i="9" s="1"/>
  <c r="AA124" i="9" a="1"/>
  <c r="AA124" i="9" s="1"/>
  <c r="Z124" i="9" a="1"/>
  <c r="Z124" i="9" s="1"/>
  <c r="Z123" i="9" a="1"/>
  <c r="Z123" i="9" s="1"/>
  <c r="AA123" i="9" a="1"/>
  <c r="AA123" i="9" s="1"/>
  <c r="AB123" i="9" a="1"/>
  <c r="AB123" i="9" s="1"/>
  <c r="T327" i="9" a="1"/>
  <c r="T327" i="9" s="1"/>
  <c r="T328" i="9" s="1"/>
  <c r="T329" i="9" s="1"/>
  <c r="AA122" i="9" a="1"/>
  <c r="AA122" i="9" s="1"/>
  <c r="Z122" i="9" a="1"/>
  <c r="Z122" i="9" s="1"/>
  <c r="AB122" i="9" a="1"/>
  <c r="AB122" i="9" s="1"/>
  <c r="AA121" i="9" a="1"/>
  <c r="AA121" i="9" s="1"/>
  <c r="Z121" i="9" a="1"/>
  <c r="Z121" i="9" s="1"/>
  <c r="AB121" i="9" a="1"/>
  <c r="AB121" i="9" s="1"/>
  <c r="AB120" i="9" a="1"/>
  <c r="AB120" i="9" s="1"/>
  <c r="AA120" i="9" a="1"/>
  <c r="AA120" i="9" s="1"/>
  <c r="Z120" i="9" a="1"/>
  <c r="Z120" i="9" s="1"/>
  <c r="AB119" i="9" a="1"/>
  <c r="AB119" i="9" s="1"/>
  <c r="AA119" i="9" a="1"/>
  <c r="AA119" i="9" s="1"/>
  <c r="Z119" i="9" a="1"/>
  <c r="Z119" i="9" s="1"/>
  <c r="AB118" i="9" a="1"/>
  <c r="AB118" i="9" s="1"/>
  <c r="AA118" i="9" a="1"/>
  <c r="AA118" i="9" s="1"/>
  <c r="Z118" i="9" a="1"/>
  <c r="Z118" i="9" s="1"/>
  <c r="AB117" i="9" a="1"/>
  <c r="AB117" i="9" s="1"/>
  <c r="AA117" i="9" a="1"/>
  <c r="AA117" i="9" s="1"/>
  <c r="Z117" i="9" a="1"/>
  <c r="Z117" i="9" s="1"/>
  <c r="AB116" i="9" a="1"/>
  <c r="AB116" i="9" s="1"/>
  <c r="AA116" i="9" a="1"/>
  <c r="AA116" i="9" s="1"/>
  <c r="Z116" i="9" a="1"/>
  <c r="Z116" i="9" s="1"/>
  <c r="AB115" i="9" a="1"/>
  <c r="AB115" i="9" s="1"/>
  <c r="AA115" i="9" a="1"/>
  <c r="AA115" i="9" s="1"/>
  <c r="Z115" i="9" a="1"/>
  <c r="Z115" i="9" s="1"/>
  <c r="AB114" i="9" a="1"/>
  <c r="AB114" i="9" s="1"/>
  <c r="AA114" i="9" a="1"/>
  <c r="AA114" i="9" s="1"/>
  <c r="Z114" i="9" a="1"/>
  <c r="Z114" i="9" s="1"/>
  <c r="AB113" i="9" a="1"/>
  <c r="AB113" i="9" s="1"/>
  <c r="AA113" i="9" a="1"/>
  <c r="AA113" i="9" s="1"/>
  <c r="Z113" i="9" a="1"/>
  <c r="Z113" i="9" s="1"/>
  <c r="AB112" i="9" a="1"/>
  <c r="AB112" i="9" s="1"/>
  <c r="AA112" i="9" a="1"/>
  <c r="AA112" i="9" s="1"/>
  <c r="Z112" i="9" a="1"/>
  <c r="Z112" i="9" s="1"/>
  <c r="AB96" i="9" a="1"/>
  <c r="AB96" i="9" s="1"/>
  <c r="Z96" i="9" a="1"/>
  <c r="Z96" i="9" s="1"/>
  <c r="AA96" i="9" a="1"/>
  <c r="AA96" i="9" s="1"/>
  <c r="AA95" i="9" a="1"/>
  <c r="AA95" i="9" s="1"/>
  <c r="AB95" i="9" a="1"/>
  <c r="AB95" i="9" s="1"/>
  <c r="Z95" i="9" a="1"/>
  <c r="Z95" i="9" s="1"/>
  <c r="AB94" i="9" a="1"/>
  <c r="AB94" i="9" s="1"/>
  <c r="Z94" i="9" a="1"/>
  <c r="Z94" i="9" s="1"/>
  <c r="AA94" i="9" a="1"/>
  <c r="AA94" i="9" s="1"/>
  <c r="Z93" i="9" a="1"/>
  <c r="Z93" i="9" s="1"/>
  <c r="AA93" i="9" a="1"/>
  <c r="AA93" i="9" s="1"/>
  <c r="AB93" i="9" a="1"/>
  <c r="AB93" i="9" s="1"/>
  <c r="AA88" i="9" a="1"/>
  <c r="AA88" i="9" s="1"/>
  <c r="Z88" i="9" a="1"/>
  <c r="Z88" i="9" s="1"/>
  <c r="AB88" i="9" a="1"/>
  <c r="AB88" i="9" s="1"/>
  <c r="AB104" i="9" a="1"/>
  <c r="AB104" i="9" s="1"/>
  <c r="AA104" i="9" a="1"/>
  <c r="AA104" i="9" s="1"/>
  <c r="Z104" i="9" a="1"/>
  <c r="Z104" i="9" s="1"/>
  <c r="AB103" i="9" a="1"/>
  <c r="AB103" i="9" s="1"/>
  <c r="Z103" i="9" a="1"/>
  <c r="Z103" i="9" s="1"/>
  <c r="AA103" i="9" a="1"/>
  <c r="AA103" i="9" s="1"/>
  <c r="Z105" i="9" a="1"/>
  <c r="Z105" i="9" s="1"/>
  <c r="AA105" i="9" a="1"/>
  <c r="AA105" i="9" s="1"/>
  <c r="AB105" i="9" a="1"/>
  <c r="AB105" i="9" s="1"/>
  <c r="AA108" i="9" a="1"/>
  <c r="AA108" i="9" s="1"/>
  <c r="Z108" i="9" a="1"/>
  <c r="Z108" i="9" s="1"/>
  <c r="AB108" i="9" a="1"/>
  <c r="AB108" i="9" s="1"/>
  <c r="Z107" i="9" a="1"/>
  <c r="Z107" i="9" s="1"/>
  <c r="AA107" i="9" a="1"/>
  <c r="AA107" i="9" s="1"/>
  <c r="AB107" i="9" a="1"/>
  <c r="AB107" i="9" s="1"/>
  <c r="AB87" i="9" a="1"/>
  <c r="AB87" i="9" s="1"/>
  <c r="AA87" i="9" a="1"/>
  <c r="AA87" i="9" s="1"/>
  <c r="Z87" i="9" a="1"/>
  <c r="Z87" i="9" s="1"/>
  <c r="AB84" i="9" a="1"/>
  <c r="AB84" i="9" s="1"/>
  <c r="AA84" i="9" a="1"/>
  <c r="AA84" i="9" s="1"/>
  <c r="Z84" i="9" a="1"/>
  <c r="Z84" i="9" s="1"/>
  <c r="AB83" i="9" a="1"/>
  <c r="AB83" i="9" s="1"/>
  <c r="AA83" i="9" a="1"/>
  <c r="AA83" i="9" s="1"/>
  <c r="Z83" i="9" a="1"/>
  <c r="Z83" i="9" s="1"/>
  <c r="Z82" i="9" a="1"/>
  <c r="Z82" i="9" s="1"/>
  <c r="AB82" i="9" a="1"/>
  <c r="AB82" i="9" s="1"/>
  <c r="AA82" i="9" a="1"/>
  <c r="AA82" i="9" s="1"/>
  <c r="AB81" i="9" a="1"/>
  <c r="AB81" i="9" s="1"/>
  <c r="AA81" i="9" a="1"/>
  <c r="AA81" i="9" s="1"/>
  <c r="Z81" i="9" a="1"/>
  <c r="Z81" i="9" s="1"/>
  <c r="AB80" i="9" a="1"/>
  <c r="AB80" i="9" s="1"/>
  <c r="AA80" i="9" a="1"/>
  <c r="AA80" i="9" s="1"/>
  <c r="Z80" i="9" a="1"/>
  <c r="Z80" i="9" s="1"/>
  <c r="AA79" i="9" a="1"/>
  <c r="AA79" i="9" s="1"/>
  <c r="AB79" i="9" a="1"/>
  <c r="AB79" i="9" s="1"/>
  <c r="Z79" i="9" a="1"/>
  <c r="Z79" i="9" s="1"/>
  <c r="AB78" i="9" a="1"/>
  <c r="AB78" i="9" s="1"/>
  <c r="AA78" i="9" a="1"/>
  <c r="AA78" i="9" s="1"/>
  <c r="Z78" i="9" a="1"/>
  <c r="Z78" i="9" s="1"/>
  <c r="T330" i="9" a="1"/>
  <c r="T330" i="9" s="1"/>
  <c r="T331" i="9" s="1"/>
  <c r="T332" i="9" s="1"/>
  <c r="T336" i="9" a="1"/>
  <c r="T336" i="9" s="1"/>
  <c r="T337" i="9" s="1"/>
  <c r="T338" i="9" s="1"/>
  <c r="Z58" i="9" s="1" a="1"/>
  <c r="Z58" i="9" s="1"/>
  <c r="AB77" i="9" a="1"/>
  <c r="AB77" i="9" s="1"/>
  <c r="AA77" i="9" a="1"/>
  <c r="AA77" i="9" s="1"/>
  <c r="Z77" i="9" a="1"/>
  <c r="Z77" i="9" s="1"/>
  <c r="AA76" i="9" a="1"/>
  <c r="AA76" i="9" s="1"/>
  <c r="AB76" i="9" a="1"/>
  <c r="AB76" i="9" s="1"/>
  <c r="Z76" i="9" a="1"/>
  <c r="Z76" i="9" s="1"/>
  <c r="AA75" i="9" a="1"/>
  <c r="AA75" i="9" s="1"/>
  <c r="Z75" i="9" a="1"/>
  <c r="Z75" i="9" s="1"/>
  <c r="AB75" i="9" a="1"/>
  <c r="AB75" i="9" s="1"/>
  <c r="Z74" i="9" a="1"/>
  <c r="Z74" i="9" s="1"/>
  <c r="AA74" i="9" a="1"/>
  <c r="AA74" i="9" s="1"/>
  <c r="AB74" i="9" a="1"/>
  <c r="AB74" i="9" s="1"/>
  <c r="Z73" i="9" a="1"/>
  <c r="Z73" i="9" s="1"/>
  <c r="AA73" i="9" a="1"/>
  <c r="AA73" i="9" s="1"/>
  <c r="AB73" i="9" a="1"/>
  <c r="AB73" i="9" s="1"/>
  <c r="Z72" i="9" a="1"/>
  <c r="Z72" i="9" s="1"/>
  <c r="AA72" i="9" a="1"/>
  <c r="AA72" i="9" s="1"/>
  <c r="AB72" i="9" a="1"/>
  <c r="AB72" i="9" s="1"/>
  <c r="Z71" i="9" a="1"/>
  <c r="Z71" i="9" s="1"/>
  <c r="AA71" i="9" a="1"/>
  <c r="AA71" i="9" s="1"/>
  <c r="AB71" i="9" a="1"/>
  <c r="AB71" i="9" s="1"/>
  <c r="AB70" i="9" a="1"/>
  <c r="AB70" i="9" s="1"/>
  <c r="Z70" i="9" a="1"/>
  <c r="Z70" i="9" s="1"/>
  <c r="AA70" i="9" a="1"/>
  <c r="AA70" i="9" s="1"/>
  <c r="AA69" i="9" a="1"/>
  <c r="AA69" i="9" s="1"/>
  <c r="Z69" i="9" a="1"/>
  <c r="Z69" i="9" s="1"/>
  <c r="AB69" i="9" a="1"/>
  <c r="AB69" i="9" s="1"/>
  <c r="AB68" i="9" a="1"/>
  <c r="AB68" i="9" s="1"/>
  <c r="AA68" i="9" a="1"/>
  <c r="AA68" i="9" s="1"/>
  <c r="Z68" i="9" a="1"/>
  <c r="Z68" i="9" s="1"/>
  <c r="AB67" i="9" a="1"/>
  <c r="AB67" i="9" s="1"/>
  <c r="AA67" i="9" a="1"/>
  <c r="AA67" i="9" s="1"/>
  <c r="Z67" i="9" a="1"/>
  <c r="Z67" i="9" s="1"/>
  <c r="AB66" i="9" a="1"/>
  <c r="AB66" i="9" s="1"/>
  <c r="AA66" i="9" a="1"/>
  <c r="AA66" i="9" s="1"/>
  <c r="Z66" i="9" a="1"/>
  <c r="Z66" i="9" s="1"/>
  <c r="AB65" i="9" a="1"/>
  <c r="AB65" i="9" s="1"/>
  <c r="AA65" i="9" a="1"/>
  <c r="AA65" i="9" s="1"/>
  <c r="Z65" i="9" a="1"/>
  <c r="Z65" i="9" s="1"/>
  <c r="AB64" i="9" a="1"/>
  <c r="AB64" i="9" s="1"/>
  <c r="AA64" i="9" a="1"/>
  <c r="AA64" i="9" s="1"/>
  <c r="Z64" i="9" a="1"/>
  <c r="Z64" i="9" s="1"/>
  <c r="Z56" i="9" a="1"/>
  <c r="Z56" i="9" s="1"/>
  <c r="Z55" i="9" a="1"/>
  <c r="Z55" i="9" s="1"/>
  <c r="Z54" i="9" a="1"/>
  <c r="Z54" i="9" s="1"/>
  <c r="Z53" i="9" a="1"/>
  <c r="Z53" i="9" s="1"/>
  <c r="Z52" i="9" a="1"/>
  <c r="Z52" i="9" s="1"/>
  <c r="Z51" i="9" a="1"/>
  <c r="Z51" i="9" s="1"/>
  <c r="Z50" i="9" a="1"/>
  <c r="Z50" i="9" s="1"/>
  <c r="Z49" i="9" a="1"/>
  <c r="Z49" i="9" s="1"/>
  <c r="Z48" i="9" a="1"/>
  <c r="Z48" i="9" s="1"/>
  <c r="T339" i="9" a="1"/>
  <c r="T339" i="9" s="1"/>
  <c r="T340" i="9" s="1"/>
  <c r="T341" i="9" s="1"/>
  <c r="Z59" i="9" s="1" a="1"/>
  <c r="Z59" i="9" s="1"/>
  <c r="T342" i="9" a="1"/>
  <c r="T342" i="9" s="1"/>
  <c r="T343" i="9" s="1"/>
  <c r="T344" i="9" s="1"/>
  <c r="Z60" i="9" s="1" a="1"/>
  <c r="Z60" i="9" s="1"/>
  <c r="Z46" i="9" a="1"/>
  <c r="Z46" i="9" s="1"/>
  <c r="Z45" i="9" a="1"/>
  <c r="Z45" i="9" s="1"/>
  <c r="Z44" i="9" a="1"/>
  <c r="Z44" i="9" s="1"/>
  <c r="Z43" i="9" a="1"/>
  <c r="Z43" i="9" s="1"/>
  <c r="Z42" i="9" a="1"/>
  <c r="Z42" i="9" s="1"/>
  <c r="Z41" i="9" a="1"/>
  <c r="Z41" i="9" s="1"/>
  <c r="Z40" i="9" a="1"/>
  <c r="Z40" i="9" s="1"/>
  <c r="Z39" i="9" a="1"/>
  <c r="Z39" i="9" s="1"/>
  <c r="Z38" i="9" a="1"/>
  <c r="Z38" i="9" s="1"/>
  <c r="Z37" i="9" a="1"/>
  <c r="Z37" i="9" s="1"/>
  <c r="Z36" i="9" a="1"/>
  <c r="Z36" i="9" s="1"/>
  <c r="Z35" i="9" a="1"/>
  <c r="Z35" i="9" s="1"/>
  <c r="Z34" i="9" a="1"/>
  <c r="Z34" i="9" s="1"/>
  <c r="Z33" i="9" a="1"/>
  <c r="Z33" i="9" s="1"/>
  <c r="Z32" i="9" a="1"/>
  <c r="Z32" i="9" s="1"/>
  <c r="Z31" i="9" a="1"/>
  <c r="Z31" i="9" s="1"/>
  <c r="Z30" i="9" a="1"/>
  <c r="Z30" i="9" s="1"/>
  <c r="Z29" i="9" a="1"/>
  <c r="Z29" i="9" s="1"/>
  <c r="Z28" i="9" a="1"/>
  <c r="Z28" i="9" s="1"/>
  <c r="Z27" i="9" a="1"/>
  <c r="Z27" i="9" s="1"/>
  <c r="Z26" i="9" a="1"/>
  <c r="Z26" i="9" s="1"/>
  <c r="Z25" i="9" a="1"/>
  <c r="Z25" i="9" s="1"/>
  <c r="Z24" i="9" a="1"/>
  <c r="Z24" i="9" s="1"/>
  <c r="Z23" i="9" a="1"/>
  <c r="Z23" i="9" s="1"/>
  <c r="Z22" i="9" a="1"/>
  <c r="Z22" i="9" s="1"/>
  <c r="Z21" i="9" a="1"/>
  <c r="Z21" i="9" s="1"/>
  <c r="Z20" i="9" a="1"/>
  <c r="Z20" i="9" s="1"/>
  <c r="Z19" i="9" a="1"/>
  <c r="Z19" i="9" s="1"/>
  <c r="Z18" i="9" a="1"/>
  <c r="Z18" i="9" s="1"/>
  <c r="T348" i="9" a="1"/>
  <c r="T348" i="9" s="1"/>
  <c r="T349" i="9" s="1"/>
  <c r="T350" i="9" s="1"/>
  <c r="Z62" i="9" s="1" a="1"/>
  <c r="Z62" i="9" s="1"/>
  <c r="T345" i="9" a="1"/>
  <c r="T345" i="9" s="1"/>
  <c r="T346" i="9" s="1"/>
  <c r="T347" i="9" s="1"/>
  <c r="Z61" i="9" s="1" a="1"/>
  <c r="Z61" i="9" s="1"/>
  <c r="Z17" i="9" a="1"/>
  <c r="Z17" i="9" s="1"/>
  <c r="Z16" i="9" a="1"/>
  <c r="Z16" i="9" s="1"/>
  <c r="Z15" i="9" a="1"/>
  <c r="Z15" i="9" s="1"/>
  <c r="Z14" i="9" a="1"/>
  <c r="Z14" i="9" s="1"/>
  <c r="Z13" i="9" a="1"/>
  <c r="Z13" i="9" s="1"/>
  <c r="Z12" i="9" a="1"/>
  <c r="Z12" i="9" s="1"/>
  <c r="Z11" i="9" a="1"/>
  <c r="Z11" i="9" s="1"/>
  <c r="Z10" i="9" a="1"/>
  <c r="Z10" i="9" s="1"/>
  <c r="Z9" i="9" a="1"/>
  <c r="Z9" i="9" s="1"/>
  <c r="Z8" i="9" a="1"/>
  <c r="Z8" i="9" s="1"/>
  <c r="Z7" i="9" a="1"/>
  <c r="Z7" i="9" s="1"/>
  <c r="T351" i="9" a="1"/>
  <c r="T351" i="9" s="1"/>
  <c r="T352" i="9" s="1"/>
  <c r="T353" i="9" s="1"/>
  <c r="Z63" i="9" s="1" a="1"/>
  <c r="Z63" i="9" s="1"/>
  <c r="AK14" i="9" l="1"/>
  <c r="AK8" i="9"/>
  <c r="C87" i="9"/>
  <c r="T87" i="9" s="1"/>
  <c r="AL39" i="3"/>
  <c r="AL38" i="3"/>
  <c r="AL101" i="12"/>
  <c r="AM101" i="12" s="1"/>
  <c r="G67" i="7"/>
  <c r="G66" i="7"/>
  <c r="G68" i="7"/>
  <c r="G65" i="7"/>
  <c r="G18" i="7"/>
  <c r="G19" i="7"/>
  <c r="E18" i="7"/>
  <c r="E19" i="7"/>
  <c r="D18" i="7"/>
  <c r="D19" i="7"/>
  <c r="AM38" i="3" l="1"/>
  <c r="H91" i="7"/>
  <c r="I91" i="7" s="1"/>
  <c r="AM39" i="3"/>
  <c r="H92" i="7"/>
  <c r="I92" i="7" s="1"/>
  <c r="Q326" i="9"/>
  <c r="Q71" i="9"/>
  <c r="P71" i="9"/>
  <c r="Q325" i="9"/>
  <c r="B87" i="9"/>
  <c r="T96" i="9"/>
  <c r="T95" i="9"/>
  <c r="T94" i="9"/>
  <c r="T93" i="9"/>
  <c r="U96" i="9"/>
  <c r="U95" i="9"/>
  <c r="U94" i="9"/>
  <c r="U93" i="9"/>
  <c r="F88" i="7" l="1"/>
  <c r="F89" i="7"/>
  <c r="F90" i="7"/>
  <c r="F87" i="7"/>
  <c r="E88" i="7"/>
  <c r="E89" i="7"/>
  <c r="E90" i="7"/>
  <c r="E87" i="7"/>
  <c r="D88" i="7"/>
  <c r="D89" i="7"/>
  <c r="D90" i="7"/>
  <c r="D87" i="7"/>
  <c r="G90" i="7"/>
  <c r="G89" i="7"/>
  <c r="AL37" i="3"/>
  <c r="AM37" i="3" s="1"/>
  <c r="AL36" i="3"/>
  <c r="AM36" i="3" s="1"/>
  <c r="AM88" i="12"/>
  <c r="AL93" i="12"/>
  <c r="AM93" i="12" s="1"/>
  <c r="AL92" i="12"/>
  <c r="AM92" i="12" s="1"/>
  <c r="AL91" i="12"/>
  <c r="AM91" i="12" s="1"/>
  <c r="AL90" i="12"/>
  <c r="AM90" i="12" s="1"/>
  <c r="AL83" i="12"/>
  <c r="AM83" i="12" s="1"/>
  <c r="AL82" i="12"/>
  <c r="AM82" i="12" s="1"/>
  <c r="AL81" i="12"/>
  <c r="AM81" i="12" s="1"/>
  <c r="D128" i="7"/>
  <c r="D114" i="7"/>
  <c r="D113" i="7"/>
  <c r="D112" i="7"/>
  <c r="D111" i="7"/>
  <c r="G80" i="7"/>
  <c r="G81" i="7"/>
  <c r="G82" i="7"/>
  <c r="G83" i="7"/>
  <c r="G84" i="7"/>
  <c r="G85" i="7"/>
  <c r="G86" i="7"/>
  <c r="G79" i="7"/>
  <c r="F80" i="7"/>
  <c r="F81" i="7"/>
  <c r="F82" i="7"/>
  <c r="F83" i="7"/>
  <c r="F84" i="7"/>
  <c r="F85" i="7"/>
  <c r="F86" i="7"/>
  <c r="F79" i="7"/>
  <c r="E80" i="7"/>
  <c r="E81" i="7"/>
  <c r="E82" i="7"/>
  <c r="E83" i="7"/>
  <c r="E84" i="7"/>
  <c r="E85" i="7"/>
  <c r="E86" i="7"/>
  <c r="E79" i="7"/>
  <c r="D80" i="7"/>
  <c r="D81" i="7"/>
  <c r="D82" i="7"/>
  <c r="D83" i="7"/>
  <c r="D84" i="7"/>
  <c r="D85" i="7"/>
  <c r="D86" i="7"/>
  <c r="F67" i="7"/>
  <c r="F68" i="7"/>
  <c r="E67" i="7"/>
  <c r="E66" i="7"/>
  <c r="E68" i="7"/>
  <c r="E65" i="7"/>
  <c r="D67" i="7"/>
  <c r="D66" i="7"/>
  <c r="D68" i="7"/>
  <c r="D65" i="7"/>
  <c r="AL21" i="3"/>
  <c r="AM21" i="3" s="1"/>
  <c r="AL20" i="3"/>
  <c r="AM20" i="3" s="1"/>
  <c r="AL236" i="11"/>
  <c r="AM236" i="11" s="1"/>
  <c r="AM235" i="11"/>
  <c r="AL234" i="11"/>
  <c r="AM234" i="11" s="1"/>
  <c r="AL233" i="11"/>
  <c r="AM233" i="11" s="1"/>
  <c r="AL232" i="11"/>
  <c r="AM232" i="11" s="1"/>
  <c r="AL231" i="11"/>
  <c r="AM231" i="11" s="1"/>
  <c r="AL230" i="11"/>
  <c r="AM230" i="11" s="1"/>
  <c r="AL229" i="11"/>
  <c r="AM229" i="11" s="1"/>
  <c r="AL228" i="11"/>
  <c r="AM228" i="11" s="1"/>
  <c r="AL227" i="11"/>
  <c r="AM227" i="11" s="1"/>
  <c r="AM226" i="11"/>
  <c r="AM225" i="11"/>
  <c r="AM224" i="11"/>
  <c r="C48" i="9"/>
  <c r="T48" i="9" s="1"/>
  <c r="C49" i="9"/>
  <c r="T49" i="9" s="1"/>
  <c r="C50" i="9"/>
  <c r="T50" i="9" s="1"/>
  <c r="C47" i="9"/>
  <c r="T47" i="9" s="1"/>
  <c r="C83" i="9"/>
  <c r="T83" i="9" s="1"/>
  <c r="C84" i="9"/>
  <c r="T84" i="9" s="1"/>
  <c r="T107" i="9"/>
  <c r="T108" i="9"/>
  <c r="T105" i="9"/>
  <c r="T103" i="9"/>
  <c r="T104" i="9"/>
  <c r="T88" i="9"/>
  <c r="C82" i="9"/>
  <c r="T82" i="9" s="1"/>
  <c r="AL48" i="10"/>
  <c r="AL47" i="10"/>
  <c r="AL46" i="10"/>
  <c r="AL84" i="10"/>
  <c r="AM84" i="10" s="1"/>
  <c r="AL85" i="10"/>
  <c r="AM85" i="10" s="1"/>
  <c r="AL86" i="10"/>
  <c r="AM86" i="10" s="1"/>
  <c r="U107" i="9"/>
  <c r="U108" i="9"/>
  <c r="U105" i="9"/>
  <c r="U103" i="9"/>
  <c r="U104" i="9"/>
  <c r="H48" i="9" l="1"/>
  <c r="U48" i="9" s="1"/>
  <c r="AM47" i="10"/>
  <c r="H49" i="9"/>
  <c r="U49" i="9" s="1"/>
  <c r="AM48" i="10"/>
  <c r="H47" i="9"/>
  <c r="U47" i="9" s="1"/>
  <c r="AM46" i="10"/>
  <c r="H83" i="9"/>
  <c r="U83" i="9" s="1"/>
  <c r="H84" i="9"/>
  <c r="U84" i="9" s="1"/>
  <c r="I103" i="9"/>
  <c r="I105" i="9"/>
  <c r="V105" i="9" s="1"/>
  <c r="I108" i="9"/>
  <c r="V108" i="9" s="1"/>
  <c r="I107" i="9"/>
  <c r="V107" i="9" s="1"/>
  <c r="I104" i="9"/>
  <c r="V104" i="9" s="1"/>
  <c r="H82" i="9"/>
  <c r="U82" i="9" s="1"/>
  <c r="H312" i="9"/>
  <c r="U312" i="9" s="1"/>
  <c r="AA56" i="9" s="1" a="1"/>
  <c r="AA56" i="9" s="1"/>
  <c r="H310" i="9"/>
  <c r="U310" i="9" s="1"/>
  <c r="AA54" i="9" s="1" a="1"/>
  <c r="AA54" i="9" s="1"/>
  <c r="H89" i="7"/>
  <c r="H90" i="7"/>
  <c r="H308" i="9"/>
  <c r="U308" i="9" s="1"/>
  <c r="H307" i="9"/>
  <c r="U307" i="9" s="1"/>
  <c r="H311" i="9"/>
  <c r="U311" i="9" s="1"/>
  <c r="AA55" i="9" s="1" a="1"/>
  <c r="AA55" i="9" s="1"/>
  <c r="H309" i="9"/>
  <c r="U309" i="9" s="1"/>
  <c r="AN90" i="12"/>
  <c r="H68" i="7"/>
  <c r="H67" i="7"/>
  <c r="AN236" i="11"/>
  <c r="AN229" i="11"/>
  <c r="AL14" i="12"/>
  <c r="AM14" i="12" s="1"/>
  <c r="F17" i="17"/>
  <c r="F11" i="17"/>
  <c r="H15" i="17"/>
  <c r="I67" i="7" l="1"/>
  <c r="I68" i="7"/>
  <c r="I90" i="7"/>
  <c r="I89" i="7"/>
  <c r="I48" i="9"/>
  <c r="V48" i="9" s="1"/>
  <c r="I49" i="9"/>
  <c r="V49" i="9" s="1"/>
  <c r="I47" i="9"/>
  <c r="V103" i="9"/>
  <c r="I82" i="9"/>
  <c r="U88" i="9"/>
  <c r="J47" i="9" l="1"/>
  <c r="L47" i="9" s="1"/>
  <c r="V47" i="9"/>
  <c r="V82" i="9"/>
  <c r="I88" i="9"/>
  <c r="V88" i="9" l="1"/>
  <c r="AK142" i="16"/>
  <c r="AL142" i="16" s="1"/>
  <c r="AK143" i="16"/>
  <c r="AL143" i="16" s="1"/>
  <c r="AK144" i="16"/>
  <c r="AL144" i="16" s="1"/>
  <c r="AK145" i="16"/>
  <c r="AL145" i="16" s="1"/>
  <c r="AK156" i="16"/>
  <c r="AL156" i="16" s="1"/>
  <c r="D79" i="7"/>
  <c r="AL27" i="3"/>
  <c r="AL26" i="3"/>
  <c r="AM26" i="3" s="1"/>
  <c r="AL105" i="12"/>
  <c r="AM105" i="12" s="1"/>
  <c r="AL106" i="12"/>
  <c r="AM106" i="12" s="1"/>
  <c r="AM27" i="3" l="1"/>
  <c r="H80" i="7"/>
  <c r="H79" i="7"/>
  <c r="AN105" i="12"/>
  <c r="AL49" i="11"/>
  <c r="H169" i="9" s="1"/>
  <c r="U169" i="9" s="1"/>
  <c r="I80" i="7" l="1"/>
  <c r="I79" i="7"/>
  <c r="I169" i="9"/>
  <c r="V169" i="9" s="1"/>
  <c r="H16" i="17"/>
  <c r="H8" i="17"/>
  <c r="F19" i="17"/>
  <c r="F20" i="17" s="1"/>
  <c r="G19" i="17"/>
  <c r="H13" i="17"/>
  <c r="H14" i="17"/>
  <c r="H10" i="17"/>
  <c r="H9" i="17"/>
  <c r="H7" i="17"/>
  <c r="H6" i="17"/>
  <c r="H5" i="17"/>
  <c r="H12" i="17" l="1"/>
  <c r="H17" i="17" s="1"/>
  <c r="G17" i="17"/>
  <c r="G20" i="17" s="1"/>
  <c r="G11" i="17"/>
  <c r="H18" i="17"/>
  <c r="H19" i="17" s="1"/>
  <c r="H20" i="17" s="1"/>
  <c r="H4" i="17"/>
  <c r="H11" i="17" s="1"/>
  <c r="G41" i="7"/>
  <c r="G40" i="7"/>
  <c r="D41" i="7"/>
  <c r="D40" i="7"/>
  <c r="AQ202" i="11" l="1"/>
  <c r="D21" i="7" l="1"/>
  <c r="D22" i="7"/>
  <c r="D23" i="7"/>
  <c r="D20" i="7"/>
  <c r="D28" i="7"/>
  <c r="D25" i="7"/>
  <c r="D26" i="7"/>
  <c r="D27" i="7"/>
  <c r="D29" i="7"/>
  <c r="D30" i="7"/>
  <c r="D31" i="7"/>
  <c r="D106" i="7"/>
  <c r="D107" i="7"/>
  <c r="D108" i="7"/>
  <c r="D109" i="7"/>
  <c r="D110" i="7"/>
  <c r="D105" i="7"/>
  <c r="AL46" i="3"/>
  <c r="AQ198" i="11"/>
  <c r="AK103" i="16"/>
  <c r="AK139" i="16"/>
  <c r="AL139" i="16" s="1"/>
  <c r="AK140" i="16"/>
  <c r="AL140" i="16" s="1"/>
  <c r="AK141" i="16"/>
  <c r="AL141" i="16" s="1"/>
  <c r="AK148" i="16"/>
  <c r="AL148" i="16" s="1"/>
  <c r="AK149" i="16"/>
  <c r="AL149" i="16" s="1"/>
  <c r="AK150" i="16"/>
  <c r="AL150" i="16" s="1"/>
  <c r="AK151" i="16"/>
  <c r="AL151" i="16" s="1"/>
  <c r="AK152" i="16"/>
  <c r="AL152" i="16" s="1"/>
  <c r="AK153" i="16"/>
  <c r="AL153" i="16" s="1"/>
  <c r="AK154" i="16"/>
  <c r="AL154" i="16" s="1"/>
  <c r="AK157" i="16"/>
  <c r="AL157" i="16" s="1"/>
  <c r="AL103" i="16" l="1"/>
  <c r="AL46" i="2"/>
  <c r="AM46" i="2" s="1"/>
  <c r="AL105" i="11" l="1"/>
  <c r="H165" i="9" s="1"/>
  <c r="U165" i="9" s="1"/>
  <c r="AA38" i="9" s="1" a="1"/>
  <c r="AA38" i="9" s="1"/>
  <c r="AL56" i="12"/>
  <c r="AM56" i="12" s="1"/>
  <c r="AL112" i="12"/>
  <c r="AM112" i="12" s="1"/>
  <c r="AL111" i="12"/>
  <c r="AM111" i="12" s="1"/>
  <c r="AL110" i="12"/>
  <c r="AM110" i="12" s="1"/>
  <c r="F9" i="7"/>
  <c r="D58" i="7"/>
  <c r="D57" i="7"/>
  <c r="D100" i="7"/>
  <c r="D101" i="7"/>
  <c r="D102" i="7"/>
  <c r="D99" i="7"/>
  <c r="D63" i="7"/>
  <c r="D64" i="7"/>
  <c r="D94" i="7"/>
  <c r="D95" i="7"/>
  <c r="D96" i="7"/>
  <c r="D97" i="7"/>
  <c r="D98" i="7"/>
  <c r="D93" i="7"/>
  <c r="D76" i="7"/>
  <c r="D77" i="7"/>
  <c r="D78" i="7"/>
  <c r="D75" i="7"/>
  <c r="D70" i="7"/>
  <c r="D69" i="7"/>
  <c r="D60" i="7"/>
  <c r="D61" i="7"/>
  <c r="D62" i="7"/>
  <c r="D59" i="7"/>
  <c r="D36" i="7"/>
  <c r="D37" i="7"/>
  <c r="D38" i="7"/>
  <c r="D39" i="7"/>
  <c r="D42" i="7"/>
  <c r="D43" i="7"/>
  <c r="D34" i="7"/>
  <c r="D35" i="7"/>
  <c r="D33" i="7"/>
  <c r="D32" i="7"/>
  <c r="D24" i="7"/>
  <c r="D15" i="7"/>
  <c r="D16" i="7"/>
  <c r="D17" i="7"/>
  <c r="D14" i="7"/>
  <c r="D11" i="7"/>
  <c r="D7" i="7"/>
  <c r="D8" i="7"/>
  <c r="D9" i="7"/>
  <c r="D10" i="7"/>
  <c r="D6" i="7"/>
  <c r="G25" i="7"/>
  <c r="G26" i="7"/>
  <c r="G27" i="7"/>
  <c r="G28" i="7"/>
  <c r="G29" i="7"/>
  <c r="G30" i="7"/>
  <c r="G31" i="7"/>
  <c r="G24" i="7"/>
  <c r="F25" i="7"/>
  <c r="F26" i="7"/>
  <c r="F27" i="7"/>
  <c r="F28" i="7"/>
  <c r="F29" i="7"/>
  <c r="F30" i="7"/>
  <c r="F31" i="7"/>
  <c r="F24" i="7"/>
  <c r="E25" i="7"/>
  <c r="E26" i="7"/>
  <c r="E27" i="7"/>
  <c r="E28" i="7"/>
  <c r="E29" i="7"/>
  <c r="E30" i="7"/>
  <c r="E31" i="7"/>
  <c r="E24" i="7"/>
  <c r="E21" i="7"/>
  <c r="E22" i="7"/>
  <c r="E23" i="7"/>
  <c r="E20" i="7"/>
  <c r="E15" i="7"/>
  <c r="E16" i="7"/>
  <c r="E17" i="7"/>
  <c r="E14" i="7"/>
  <c r="AL61" i="12"/>
  <c r="AM61" i="12" s="1"/>
  <c r="I165" i="9" l="1"/>
  <c r="V165" i="9" s="1"/>
  <c r="AB38" i="9" s="1" a="1"/>
  <c r="AB38" i="9" s="1"/>
  <c r="AK81" i="16"/>
  <c r="AK80" i="16"/>
  <c r="AK82" i="16"/>
  <c r="AK83" i="16"/>
  <c r="AL82" i="16" l="1"/>
  <c r="AL80" i="16"/>
  <c r="AL83" i="16"/>
  <c r="AL81" i="16"/>
  <c r="AL55" i="11"/>
  <c r="H196" i="9" s="1"/>
  <c r="U196" i="9" s="1"/>
  <c r="AL56" i="11"/>
  <c r="H197" i="9" s="1"/>
  <c r="U197" i="9" s="1"/>
  <c r="AL134" i="11"/>
  <c r="H195" i="9" s="1"/>
  <c r="U195" i="9" s="1"/>
  <c r="G63" i="7"/>
  <c r="G64" i="7"/>
  <c r="I197" i="9" l="1"/>
  <c r="V197" i="9" s="1"/>
  <c r="I195" i="9"/>
  <c r="V195" i="9" s="1"/>
  <c r="I196" i="9"/>
  <c r="V196" i="9" s="1"/>
  <c r="E60" i="7"/>
  <c r="E61" i="7"/>
  <c r="E62" i="7"/>
  <c r="E59" i="7"/>
  <c r="AL13" i="1" l="1"/>
  <c r="AL12" i="1"/>
  <c r="G60" i="7"/>
  <c r="G61" i="7"/>
  <c r="G62" i="7"/>
  <c r="F60" i="7"/>
  <c r="F61" i="7"/>
  <c r="F62" i="7"/>
  <c r="G59" i="7"/>
  <c r="F59" i="7"/>
  <c r="AL38" i="2"/>
  <c r="AL39" i="2"/>
  <c r="AL40" i="2"/>
  <c r="AL41" i="2"/>
  <c r="AQ211" i="11"/>
  <c r="AM12" i="1" l="1"/>
  <c r="H30" i="7"/>
  <c r="AM13" i="1"/>
  <c r="H31" i="7"/>
  <c r="AM38" i="2"/>
  <c r="H59" i="7"/>
  <c r="AM39" i="2"/>
  <c r="H60" i="7"/>
  <c r="AM41" i="2"/>
  <c r="H62" i="7"/>
  <c r="AM40" i="2"/>
  <c r="H61" i="7"/>
  <c r="AE237" i="11"/>
  <c r="AN41" i="2" l="1"/>
  <c r="AL89" i="12"/>
  <c r="AM89" i="12" s="1"/>
  <c r="AL31" i="10"/>
  <c r="AM31" i="10" s="1"/>
  <c r="AL32" i="10"/>
  <c r="AM32" i="10" s="1"/>
  <c r="AL33" i="10"/>
  <c r="AM33" i="10" s="1"/>
  <c r="AL34" i="10"/>
  <c r="AM34" i="10" s="1"/>
  <c r="AL35" i="10"/>
  <c r="AM35" i="10" s="1"/>
  <c r="AL36" i="10"/>
  <c r="AM36" i="10" s="1"/>
  <c r="AL37" i="10"/>
  <c r="AM37" i="10" s="1"/>
  <c r="AL38" i="10"/>
  <c r="AM38" i="10" s="1"/>
  <c r="AL39" i="10"/>
  <c r="AM39" i="10" s="1"/>
  <c r="AL40" i="10"/>
  <c r="AM40" i="10" s="1"/>
  <c r="AL41" i="10"/>
  <c r="AM41" i="10" s="1"/>
  <c r="AL42" i="10"/>
  <c r="AM42" i="10" s="1"/>
  <c r="AL43" i="10"/>
  <c r="AM43" i="10" s="1"/>
  <c r="AL44" i="10"/>
  <c r="AM44" i="10" s="1"/>
  <c r="AL45" i="10"/>
  <c r="AM45" i="10" s="1"/>
  <c r="AL30" i="10"/>
  <c r="AM30" i="10" s="1"/>
  <c r="AL212" i="11" l="1"/>
  <c r="H301" i="9" s="1"/>
  <c r="U301" i="9" s="1"/>
  <c r="AL55" i="12"/>
  <c r="AL121" i="12"/>
  <c r="AM121" i="12" s="1"/>
  <c r="AN121" i="12" s="1"/>
  <c r="AM46" i="3"/>
  <c r="AL47" i="3"/>
  <c r="AM47" i="3" s="1"/>
  <c r="I301" i="9" l="1"/>
  <c r="V301" i="9" s="1"/>
  <c r="AM212" i="11"/>
  <c r="H64" i="7"/>
  <c r="H63" i="7"/>
  <c r="AN47" i="3"/>
  <c r="AL113" i="12"/>
  <c r="AM113" i="12" s="1"/>
  <c r="AL114" i="12"/>
  <c r="AM114" i="12" s="1"/>
  <c r="I64" i="7" l="1"/>
  <c r="I63" i="7"/>
  <c r="J63" i="7" s="1"/>
  <c r="AO212" i="11"/>
  <c r="AR212" i="11" s="1"/>
  <c r="AS212" i="11" s="1"/>
  <c r="AL211" i="11"/>
  <c r="H300" i="9" l="1"/>
  <c r="U300" i="9" s="1"/>
  <c r="AM211" i="11"/>
  <c r="AL29" i="12"/>
  <c r="AM29" i="12" s="1"/>
  <c r="AL30" i="12"/>
  <c r="AM30" i="12" s="1"/>
  <c r="AL31" i="12"/>
  <c r="AM31" i="12" s="1"/>
  <c r="AL129" i="11"/>
  <c r="H190" i="9" s="1"/>
  <c r="U190" i="9" s="1"/>
  <c r="AL130" i="11"/>
  <c r="H191" i="9" s="1"/>
  <c r="U191" i="9" s="1"/>
  <c r="AL131" i="11"/>
  <c r="H192" i="9" s="1"/>
  <c r="U192" i="9" s="1"/>
  <c r="AL132" i="11"/>
  <c r="H193" i="9" s="1"/>
  <c r="U193" i="9" s="1"/>
  <c r="AL133" i="11"/>
  <c r="H194" i="9" s="1"/>
  <c r="U194" i="9" s="1"/>
  <c r="AL116" i="11"/>
  <c r="H177" i="9" s="1"/>
  <c r="U177" i="9" s="1"/>
  <c r="AL117" i="11"/>
  <c r="H178" i="9" s="1"/>
  <c r="U178" i="9" s="1"/>
  <c r="AL118" i="11"/>
  <c r="H179" i="9" s="1"/>
  <c r="U179" i="9" l="1"/>
  <c r="I192" i="9"/>
  <c r="V192" i="9" s="1"/>
  <c r="I177" i="9"/>
  <c r="V177" i="9" s="1"/>
  <c r="I300" i="9"/>
  <c r="V300" i="9" s="1"/>
  <c r="I194" i="9"/>
  <c r="V194" i="9" s="1"/>
  <c r="I193" i="9"/>
  <c r="V193" i="9" s="1"/>
  <c r="I191" i="9"/>
  <c r="V191" i="9" s="1"/>
  <c r="I190" i="9"/>
  <c r="V190" i="9" s="1"/>
  <c r="I179" i="9"/>
  <c r="V179" i="9" s="1"/>
  <c r="I178" i="9"/>
  <c r="V178" i="9" s="1"/>
  <c r="AR211" i="11"/>
  <c r="AO211" i="11"/>
  <c r="AS211" i="11" s="1"/>
  <c r="AK137" i="16"/>
  <c r="AQ210" i="11"/>
  <c r="AQ209" i="11"/>
  <c r="AQ208" i="11"/>
  <c r="AQ207" i="11"/>
  <c r="AQ206" i="11"/>
  <c r="AQ205" i="11"/>
  <c r="AQ204" i="11"/>
  <c r="AQ203" i="11"/>
  <c r="AQ201" i="11"/>
  <c r="AQ200" i="11"/>
  <c r="AQ199" i="11"/>
  <c r="AL222" i="11"/>
  <c r="H13" i="9" s="1"/>
  <c r="U13" i="9" s="1"/>
  <c r="AK179" i="16"/>
  <c r="AL179" i="16" s="1"/>
  <c r="AK178" i="16"/>
  <c r="AL178" i="16" s="1"/>
  <c r="AK177" i="16"/>
  <c r="AL177" i="16" s="1"/>
  <c r="AO6" i="16" s="1"/>
  <c r="AK176" i="16"/>
  <c r="AL176" i="16" s="1"/>
  <c r="AK138" i="16"/>
  <c r="AK136" i="16"/>
  <c r="AL136" i="16" s="1"/>
  <c r="AK135" i="16"/>
  <c r="AL135" i="16" s="1"/>
  <c r="AK134" i="16"/>
  <c r="AL134" i="16" s="1"/>
  <c r="AK133" i="16"/>
  <c r="AK132" i="16"/>
  <c r="AK131" i="16"/>
  <c r="AK130" i="16"/>
  <c r="AK129" i="16"/>
  <c r="AK128" i="16"/>
  <c r="AL128" i="16" s="1"/>
  <c r="AK127" i="16"/>
  <c r="AK126" i="16"/>
  <c r="AL126" i="16" s="1"/>
  <c r="AK125" i="16"/>
  <c r="AL125" i="16" s="1"/>
  <c r="AK124" i="16"/>
  <c r="AL124" i="16" s="1"/>
  <c r="AK175" i="16"/>
  <c r="AL175" i="16" s="1"/>
  <c r="AK174" i="16"/>
  <c r="AL174" i="16" s="1"/>
  <c r="AK173" i="16"/>
  <c r="AL173" i="16" s="1"/>
  <c r="AK172" i="16"/>
  <c r="AL172" i="16" s="1"/>
  <c r="AK171" i="16"/>
  <c r="AL171" i="16" s="1"/>
  <c r="AK170" i="16"/>
  <c r="AL170" i="16" s="1"/>
  <c r="AK169" i="16"/>
  <c r="AL169" i="16" s="1"/>
  <c r="AK168" i="16"/>
  <c r="AL168" i="16" s="1"/>
  <c r="AK167" i="16"/>
  <c r="AL167" i="16" s="1"/>
  <c r="AK166" i="16"/>
  <c r="AL166" i="16" s="1"/>
  <c r="AK165" i="16"/>
  <c r="AL165" i="16" s="1"/>
  <c r="AK164" i="16"/>
  <c r="AL164" i="16" s="1"/>
  <c r="AK163" i="16"/>
  <c r="AL163" i="16" s="1"/>
  <c r="AK162" i="16"/>
  <c r="AL162" i="16" s="1"/>
  <c r="AK160" i="16"/>
  <c r="AL160" i="16" s="1"/>
  <c r="AK159" i="16"/>
  <c r="AL159" i="16" s="1"/>
  <c r="AK158" i="16"/>
  <c r="AL158" i="16" s="1"/>
  <c r="AK123" i="16"/>
  <c r="AL123" i="16" s="1"/>
  <c r="AK122" i="16"/>
  <c r="AK121" i="16"/>
  <c r="AK120" i="16"/>
  <c r="AK119" i="16"/>
  <c r="AL119" i="16" s="1"/>
  <c r="AK118" i="16"/>
  <c r="AK117" i="16"/>
  <c r="AK116" i="16"/>
  <c r="AK115" i="16"/>
  <c r="AK114" i="16"/>
  <c r="AK113" i="16"/>
  <c r="AL113" i="16" s="1"/>
  <c r="AK112" i="16"/>
  <c r="AL112" i="16" s="1"/>
  <c r="AK111" i="16"/>
  <c r="AK110" i="16"/>
  <c r="AK109" i="16"/>
  <c r="AK108" i="16"/>
  <c r="AL108" i="16" s="1"/>
  <c r="AK107" i="16"/>
  <c r="AK106" i="16"/>
  <c r="AK105" i="16"/>
  <c r="AK104" i="16"/>
  <c r="AL104" i="16" s="1"/>
  <c r="AK102" i="16"/>
  <c r="AL102" i="16" s="1"/>
  <c r="AK101" i="16"/>
  <c r="AL101" i="16" s="1"/>
  <c r="AK100" i="16"/>
  <c r="AL100" i="16" s="1"/>
  <c r="AK99" i="16"/>
  <c r="AK98" i="16"/>
  <c r="AK97" i="16"/>
  <c r="AK96" i="16"/>
  <c r="AK95" i="16"/>
  <c r="AK94" i="16"/>
  <c r="AK93" i="16"/>
  <c r="AL93" i="16" s="1"/>
  <c r="AK92" i="16"/>
  <c r="AL92" i="16" s="1"/>
  <c r="AK91" i="16"/>
  <c r="AK90" i="16"/>
  <c r="AL90" i="16" s="1"/>
  <c r="AK89" i="16"/>
  <c r="AL89" i="16" s="1"/>
  <c r="AK88" i="16"/>
  <c r="AL88" i="16" s="1"/>
  <c r="AK86" i="16"/>
  <c r="AK85" i="16"/>
  <c r="AK84" i="16"/>
  <c r="AK79" i="16"/>
  <c r="AK78" i="16"/>
  <c r="AK77" i="16"/>
  <c r="AM77" i="16" s="1"/>
  <c r="AK76" i="16"/>
  <c r="AM76" i="16" s="1"/>
  <c r="AK75" i="16"/>
  <c r="AM75" i="16" s="1"/>
  <c r="AK74" i="16"/>
  <c r="AK72" i="16"/>
  <c r="AM72" i="16" s="1"/>
  <c r="AK69" i="16"/>
  <c r="AM69" i="16" s="1"/>
  <c r="AK67" i="16"/>
  <c r="AK73" i="16"/>
  <c r="AM73" i="16" s="1"/>
  <c r="AK64" i="16"/>
  <c r="AL64" i="16" s="1"/>
  <c r="AK65" i="16"/>
  <c r="AK66" i="16"/>
  <c r="AM66" i="16" s="1"/>
  <c r="AK63" i="16"/>
  <c r="AL63" i="16" s="1"/>
  <c r="AK71" i="16"/>
  <c r="AK62" i="16"/>
  <c r="AL62" i="16" s="1"/>
  <c r="AK61" i="16"/>
  <c r="AK60" i="16"/>
  <c r="AL60" i="16" s="1"/>
  <c r="AK59" i="16"/>
  <c r="AL59" i="16" s="1"/>
  <c r="AK58" i="16"/>
  <c r="AK57" i="16"/>
  <c r="AL57" i="16" s="1"/>
  <c r="AK53" i="16"/>
  <c r="AK52" i="16"/>
  <c r="AK51" i="16"/>
  <c r="AK50" i="16"/>
  <c r="AL50" i="16" s="1"/>
  <c r="AK49" i="16"/>
  <c r="AK42" i="16"/>
  <c r="AK41" i="16"/>
  <c r="AK40" i="16"/>
  <c r="AK39" i="16"/>
  <c r="AL39" i="16" s="1"/>
  <c r="AK38" i="16"/>
  <c r="AL38" i="16" s="1"/>
  <c r="AK37" i="16"/>
  <c r="AL37" i="16" s="1"/>
  <c r="AK46" i="16"/>
  <c r="AK26" i="16"/>
  <c r="AL26" i="16" s="1"/>
  <c r="AK25" i="16"/>
  <c r="AK36" i="16"/>
  <c r="AL36" i="16" s="1"/>
  <c r="AK35" i="16"/>
  <c r="AL35" i="16" s="1"/>
  <c r="AK34" i="16"/>
  <c r="AL34" i="16" s="1"/>
  <c r="AK31" i="16"/>
  <c r="AL31" i="16" s="1"/>
  <c r="AK33" i="16"/>
  <c r="AL33" i="16" s="1"/>
  <c r="AK28" i="16"/>
  <c r="AK27" i="16"/>
  <c r="AK30" i="16"/>
  <c r="AK29" i="16"/>
  <c r="AK24" i="16"/>
  <c r="AL24" i="16" s="1"/>
  <c r="AK23" i="16"/>
  <c r="AL23" i="16" s="1"/>
  <c r="AK22" i="16"/>
  <c r="AL22" i="16" s="1"/>
  <c r="AK21" i="16"/>
  <c r="AL21" i="16" s="1"/>
  <c r="AK20" i="16"/>
  <c r="AL20" i="16" s="1"/>
  <c r="AK19" i="16"/>
  <c r="AL19" i="16" s="1"/>
  <c r="AK18" i="16"/>
  <c r="AL18" i="16" s="1"/>
  <c r="AK17" i="16"/>
  <c r="AL17" i="16" s="1"/>
  <c r="AK16" i="16"/>
  <c r="AL16" i="16" s="1"/>
  <c r="AK15" i="16"/>
  <c r="AL15" i="16" s="1"/>
  <c r="AK14" i="16"/>
  <c r="AL14" i="16" s="1"/>
  <c r="AK13" i="16"/>
  <c r="AL13" i="16" s="1"/>
  <c r="AK12" i="16"/>
  <c r="AL12" i="16" s="1"/>
  <c r="AK11" i="16"/>
  <c r="AL11" i="16" s="1"/>
  <c r="AK10" i="16"/>
  <c r="AL10" i="16" s="1"/>
  <c r="AK9" i="16"/>
  <c r="AL9" i="16" s="1"/>
  <c r="AK8" i="16"/>
  <c r="AL8" i="16" s="1"/>
  <c r="AK7" i="16"/>
  <c r="AL7" i="16" s="1"/>
  <c r="AK6" i="16"/>
  <c r="AL6" i="16" s="1"/>
  <c r="AK5" i="16"/>
  <c r="AM67" i="16" l="1"/>
  <c r="AL67" i="16"/>
  <c r="AL74" i="16"/>
  <c r="AM74" i="16"/>
  <c r="AL71" i="16"/>
  <c r="AM71" i="16"/>
  <c r="AO65" i="16"/>
  <c r="AM65" i="16"/>
  <c r="AL131" i="16"/>
  <c r="AL132" i="16"/>
  <c r="AL133" i="16"/>
  <c r="AL117" i="16"/>
  <c r="AL138" i="16"/>
  <c r="AL127" i="16"/>
  <c r="AM133" i="16" s="1"/>
  <c r="AL109" i="16"/>
  <c r="AL110" i="16"/>
  <c r="AL129" i="16"/>
  <c r="AL130" i="16"/>
  <c r="AL137" i="16"/>
  <c r="AO67" i="16"/>
  <c r="AL58" i="16"/>
  <c r="AL85" i="16"/>
  <c r="AL78" i="16"/>
  <c r="AO69" i="16"/>
  <c r="AL121" i="16"/>
  <c r="AL86" i="16"/>
  <c r="AL25" i="16"/>
  <c r="I13" i="9"/>
  <c r="V13" i="9" s="1"/>
  <c r="AL27" i="16"/>
  <c r="AL61" i="16"/>
  <c r="AO75" i="16"/>
  <c r="AL105" i="16"/>
  <c r="AL42" i="16"/>
  <c r="AO76" i="16"/>
  <c r="AO77" i="16"/>
  <c r="AO73" i="16"/>
  <c r="AL66" i="16"/>
  <c r="AO66" i="16"/>
  <c r="AL65" i="16"/>
  <c r="AL46" i="16"/>
  <c r="AL53" i="16"/>
  <c r="AL73" i="16"/>
  <c r="AL99" i="16"/>
  <c r="AL30" i="16"/>
  <c r="AL41" i="16"/>
  <c r="AL75" i="16"/>
  <c r="AL76" i="16"/>
  <c r="AL106" i="16"/>
  <c r="AL118" i="16"/>
  <c r="AL115" i="16"/>
  <c r="AL77" i="16"/>
  <c r="AL94" i="16"/>
  <c r="AL107" i="16"/>
  <c r="AL29" i="16"/>
  <c r="AL69" i="16"/>
  <c r="AL114" i="16"/>
  <c r="AL72" i="16"/>
  <c r="AL91" i="16"/>
  <c r="AL95" i="16"/>
  <c r="AL120" i="16"/>
  <c r="AL116" i="16"/>
  <c r="AL79" i="16"/>
  <c r="AL96" i="16"/>
  <c r="AL28" i="16"/>
  <c r="AL40" i="16"/>
  <c r="AL51" i="16"/>
  <c r="AL84" i="16"/>
  <c r="AL97" i="16"/>
  <c r="AL122" i="16"/>
  <c r="AL52" i="16"/>
  <c r="AL98" i="16"/>
  <c r="AL111" i="16"/>
  <c r="AL49" i="16"/>
  <c r="AK180" i="16"/>
  <c r="AM20" i="16"/>
  <c r="AL5" i="16"/>
  <c r="AL180" i="16" s="1"/>
  <c r="AM38" i="16" l="1"/>
  <c r="AM108" i="16"/>
  <c r="AO78" i="16"/>
  <c r="J166" i="7"/>
  <c r="AO5" i="16"/>
  <c r="AO7" i="16" s="1"/>
  <c r="AN20" i="16"/>
  <c r="J5" i="7" l="1"/>
  <c r="K5" i="7" s="1"/>
  <c r="AL207" i="11"/>
  <c r="G45" i="7"/>
  <c r="G44" i="7"/>
  <c r="G36" i="7"/>
  <c r="G37" i="7"/>
  <c r="G38" i="7"/>
  <c r="G39" i="7"/>
  <c r="G42" i="7"/>
  <c r="G43" i="7"/>
  <c r="AL18" i="1"/>
  <c r="H45" i="7" s="1"/>
  <c r="AL19" i="1"/>
  <c r="AM19" i="1" s="1"/>
  <c r="G104" i="7"/>
  <c r="G103" i="7"/>
  <c r="G95" i="7"/>
  <c r="G96" i="7"/>
  <c r="G97" i="7"/>
  <c r="G98" i="7"/>
  <c r="G34" i="7"/>
  <c r="G128" i="7"/>
  <c r="AM207" i="11" l="1"/>
  <c r="H296" i="9"/>
  <c r="U296" i="9" s="1"/>
  <c r="I45" i="7"/>
  <c r="AM18" i="1"/>
  <c r="AN19" i="1" s="1"/>
  <c r="H44" i="7"/>
  <c r="I44" i="7" s="1"/>
  <c r="AL197" i="11"/>
  <c r="H286" i="9" s="1"/>
  <c r="U286" i="9" s="1"/>
  <c r="AA49" i="9" s="1" a="1"/>
  <c r="AA49" i="9" s="1"/>
  <c r="AL89" i="11"/>
  <c r="H207" i="9" s="1"/>
  <c r="U207" i="9" s="1"/>
  <c r="AL91" i="11"/>
  <c r="H209" i="9" s="1"/>
  <c r="U209" i="9" s="1"/>
  <c r="AL90" i="11"/>
  <c r="H208" i="9" s="1"/>
  <c r="U208" i="9" s="1"/>
  <c r="I207" i="9" l="1"/>
  <c r="V207" i="9" s="1"/>
  <c r="I296" i="9"/>
  <c r="V296" i="9" s="1"/>
  <c r="I286" i="9"/>
  <c r="V286" i="9" s="1"/>
  <c r="AB49" i="9" s="1" a="1"/>
  <c r="AB49" i="9" s="1"/>
  <c r="I208" i="9"/>
  <c r="V208" i="9" s="1"/>
  <c r="J44" i="7"/>
  <c r="AO207" i="11"/>
  <c r="AS207" i="11" s="1"/>
  <c r="AR207" i="11"/>
  <c r="I209" i="9"/>
  <c r="V209" i="9" s="1"/>
  <c r="AL208" i="11" l="1"/>
  <c r="AL209" i="11"/>
  <c r="AM209" i="11" s="1"/>
  <c r="AL210" i="11"/>
  <c r="AL28" i="10"/>
  <c r="AL7" i="3"/>
  <c r="AM7" i="3" s="1"/>
  <c r="AL6" i="3"/>
  <c r="AM6" i="3" s="1"/>
  <c r="H30" i="9" l="1"/>
  <c r="U30" i="9" s="1"/>
  <c r="AA12" i="9" s="1" a="1"/>
  <c r="AA12" i="9" s="1"/>
  <c r="AM28" i="10"/>
  <c r="H299" i="9"/>
  <c r="U299" i="9" s="1"/>
  <c r="U351" i="9" s="1" a="1"/>
  <c r="U351" i="9" s="1"/>
  <c r="AM210" i="11"/>
  <c r="AO209" i="11"/>
  <c r="AS209" i="11" s="1"/>
  <c r="AR209" i="11"/>
  <c r="H297" i="9"/>
  <c r="U297" i="9" s="1"/>
  <c r="U345" i="9" s="1" a="1"/>
  <c r="U345" i="9" s="1"/>
  <c r="AM208" i="11"/>
  <c r="H298" i="9"/>
  <c r="U298" i="9" s="1"/>
  <c r="U348" i="9" s="1" a="1"/>
  <c r="U348" i="9" s="1"/>
  <c r="H103" i="7"/>
  <c r="I103" i="7" s="1"/>
  <c r="J103" i="7" s="1"/>
  <c r="H104" i="7"/>
  <c r="I104" i="7" s="1"/>
  <c r="AN7" i="3"/>
  <c r="I30" i="9" l="1"/>
  <c r="V30" i="9" s="1"/>
  <c r="AB12" i="9" s="1" a="1"/>
  <c r="AB12" i="9" s="1"/>
  <c r="U346" i="9"/>
  <c r="U347" i="9"/>
  <c r="AA61" i="9" s="1" a="1"/>
  <c r="AA61" i="9" s="1"/>
  <c r="U350" i="9"/>
  <c r="AA62" i="9" s="1" a="1"/>
  <c r="AA62" i="9" s="1"/>
  <c r="U349" i="9"/>
  <c r="U352" i="9"/>
  <c r="U353" i="9"/>
  <c r="AA63" i="9" s="1" a="1"/>
  <c r="AA63" i="9" s="1"/>
  <c r="I297" i="9"/>
  <c r="V297" i="9" s="1"/>
  <c r="V345" i="9" s="1" a="1"/>
  <c r="V345" i="9" s="1"/>
  <c r="I299" i="9"/>
  <c r="V299" i="9" s="1"/>
  <c r="V351" i="9" s="1" a="1"/>
  <c r="V351" i="9" s="1"/>
  <c r="I298" i="9"/>
  <c r="V298" i="9" s="1"/>
  <c r="V348" i="9" s="1" a="1"/>
  <c r="V348" i="9" s="1"/>
  <c r="AO208" i="11"/>
  <c r="AS208" i="11" s="1"/>
  <c r="AR208" i="11"/>
  <c r="AO210" i="11"/>
  <c r="AS210" i="11" s="1"/>
  <c r="AR210" i="11"/>
  <c r="V346" i="9" l="1"/>
  <c r="V347" i="9"/>
  <c r="AB61" i="9" s="1" a="1"/>
  <c r="AB61" i="9" s="1"/>
  <c r="V352" i="9"/>
  <c r="V353" i="9"/>
  <c r="AB63" i="9" s="1" a="1"/>
  <c r="AB63" i="9" s="1"/>
  <c r="V350" i="9"/>
  <c r="AB62" i="9" s="1" a="1"/>
  <c r="AB62" i="9" s="1"/>
  <c r="V349" i="9"/>
  <c r="AL136" i="11"/>
  <c r="H199" i="9" s="1"/>
  <c r="U199" i="9" s="1"/>
  <c r="G50" i="7"/>
  <c r="G51" i="7"/>
  <c r="G47" i="7"/>
  <c r="G48" i="7"/>
  <c r="G46" i="7"/>
  <c r="H48" i="7"/>
  <c r="AL31" i="1"/>
  <c r="AM31" i="1" s="1"/>
  <c r="AL32" i="1"/>
  <c r="AM32" i="1" s="1"/>
  <c r="AL30" i="1"/>
  <c r="AM30" i="1" s="1"/>
  <c r="AN30" i="1" s="1"/>
  <c r="I199" i="9" l="1"/>
  <c r="V199" i="9" s="1"/>
  <c r="H47" i="7"/>
  <c r="I47" i="7" s="1"/>
  <c r="H46" i="7"/>
  <c r="I48" i="7"/>
  <c r="I46" i="7" l="1"/>
  <c r="G93" i="7"/>
  <c r="G94" i="7"/>
  <c r="AL41" i="3"/>
  <c r="AM41" i="3" s="1"/>
  <c r="AL40" i="3"/>
  <c r="AM40" i="3" s="1"/>
  <c r="H94" i="7" l="1"/>
  <c r="H93" i="7"/>
  <c r="I93" i="7" s="1"/>
  <c r="I94" i="7" l="1"/>
  <c r="J93" i="7" s="1"/>
  <c r="AL137" i="11"/>
  <c r="H200" i="9" s="1"/>
  <c r="U200" i="9" s="1"/>
  <c r="AL135" i="11"/>
  <c r="H198" i="9" s="1"/>
  <c r="U198" i="9" s="1"/>
  <c r="I200" i="9" l="1"/>
  <c r="V200" i="9" s="1"/>
  <c r="I198" i="9"/>
  <c r="V198" i="9" s="1"/>
  <c r="AL115" i="11"/>
  <c r="H176" i="9" s="1"/>
  <c r="U176" i="9" s="1"/>
  <c r="I176" i="9" l="1"/>
  <c r="V176" i="9" s="1"/>
  <c r="AL36" i="12"/>
  <c r="AM36" i="12" s="1"/>
  <c r="AL37" i="12"/>
  <c r="AM37" i="12" s="1"/>
  <c r="AL38" i="12"/>
  <c r="AM38" i="12" s="1"/>
  <c r="AL103" i="12"/>
  <c r="AM103" i="12" s="1"/>
  <c r="AN36" i="12" l="1"/>
  <c r="AL111" i="11"/>
  <c r="H172" i="9" s="1"/>
  <c r="U172" i="9" s="1"/>
  <c r="AL112" i="11"/>
  <c r="H173" i="9" s="1"/>
  <c r="U173" i="9" s="1"/>
  <c r="AL113" i="11"/>
  <c r="H174" i="9" s="1"/>
  <c r="U174" i="9" s="1"/>
  <c r="AL114" i="11"/>
  <c r="H175" i="9" s="1"/>
  <c r="U175" i="9" s="1"/>
  <c r="I175" i="9" l="1"/>
  <c r="V175" i="9" s="1"/>
  <c r="I173" i="9"/>
  <c r="V173" i="9" s="1"/>
  <c r="I172" i="9"/>
  <c r="V172" i="9" s="1"/>
  <c r="AL102" i="12"/>
  <c r="AM102" i="12" s="1"/>
  <c r="AL76" i="12"/>
  <c r="AM76" i="12" s="1"/>
  <c r="AL85" i="12" l="1"/>
  <c r="AM85" i="12" s="1"/>
  <c r="AL69" i="12"/>
  <c r="AM69" i="12" s="1"/>
  <c r="AN69" i="12" s="1"/>
  <c r="AL33" i="12"/>
  <c r="AM33" i="12" s="1"/>
  <c r="AL38" i="11"/>
  <c r="H232" i="9" s="1"/>
  <c r="U232" i="9" s="1"/>
  <c r="H43" i="9"/>
  <c r="U43" i="9" s="1"/>
  <c r="AA22" i="9" s="1" a="1"/>
  <c r="AA22" i="9" s="1"/>
  <c r="AL109" i="11"/>
  <c r="H170" i="9" s="1"/>
  <c r="U170" i="9" s="1"/>
  <c r="I170" i="9" l="1"/>
  <c r="V170" i="9" s="1"/>
  <c r="I232" i="9"/>
  <c r="V232" i="9" s="1"/>
  <c r="I43" i="9"/>
  <c r="V43" i="9" s="1"/>
  <c r="AB22" i="9" s="1" a="1"/>
  <c r="AB22" i="9" s="1"/>
  <c r="F7" i="7"/>
  <c r="F6" i="7"/>
  <c r="E7" i="7"/>
  <c r="E6" i="7"/>
  <c r="G7" i="7"/>
  <c r="G6" i="7"/>
  <c r="AL43" i="2"/>
  <c r="AM43" i="2" s="1"/>
  <c r="AL42" i="2"/>
  <c r="AM42" i="2" s="1"/>
  <c r="G8" i="7"/>
  <c r="G9" i="7"/>
  <c r="G10" i="7"/>
  <c r="G11" i="7"/>
  <c r="F8" i="7"/>
  <c r="F10" i="7"/>
  <c r="F11" i="7"/>
  <c r="E8" i="7"/>
  <c r="E9" i="7"/>
  <c r="E10" i="7"/>
  <c r="E11" i="7"/>
  <c r="H7" i="7" l="1"/>
  <c r="H6" i="7"/>
  <c r="I7" i="7" l="1"/>
  <c r="I6" i="7"/>
  <c r="AL119" i="11"/>
  <c r="AL120" i="11"/>
  <c r="AL121" i="11"/>
  <c r="AL122" i="11"/>
  <c r="AL123" i="11"/>
  <c r="AL124" i="11"/>
  <c r="AL125" i="11"/>
  <c r="AL126" i="11"/>
  <c r="AL127" i="11"/>
  <c r="AL128" i="11"/>
  <c r="H189" i="9" s="1"/>
  <c r="U189" i="9" s="1"/>
  <c r="AL110" i="11"/>
  <c r="H171" i="9" s="1"/>
  <c r="U171" i="9" s="1"/>
  <c r="AL45" i="3"/>
  <c r="AM45" i="3" s="1"/>
  <c r="AL44" i="3"/>
  <c r="AM44" i="3" s="1"/>
  <c r="AL43" i="3"/>
  <c r="AM43" i="3" s="1"/>
  <c r="AL42" i="3"/>
  <c r="AM42" i="3" s="1"/>
  <c r="I189" i="9" l="1"/>
  <c r="V189" i="9" s="1"/>
  <c r="AN45" i="3"/>
  <c r="H185" i="9"/>
  <c r="U185" i="9" s="1"/>
  <c r="H183" i="9"/>
  <c r="U183" i="9" s="1"/>
  <c r="H188" i="9"/>
  <c r="U188" i="9" s="1"/>
  <c r="H182" i="9"/>
  <c r="U182" i="9" s="1"/>
  <c r="H187" i="9"/>
  <c r="U187" i="9" s="1"/>
  <c r="H184" i="9"/>
  <c r="U184" i="9" s="1"/>
  <c r="H181" i="9"/>
  <c r="U181" i="9" s="1"/>
  <c r="H186" i="9"/>
  <c r="U186" i="9" s="1"/>
  <c r="I174" i="9"/>
  <c r="V174" i="9" s="1"/>
  <c r="H180" i="9"/>
  <c r="U180" i="9" s="1"/>
  <c r="H97" i="7"/>
  <c r="H95" i="7"/>
  <c r="H98" i="7"/>
  <c r="I171" i="9"/>
  <c r="V171" i="9" s="1"/>
  <c r="H96" i="7"/>
  <c r="I96" i="7" l="1"/>
  <c r="I95" i="7"/>
  <c r="I97" i="7"/>
  <c r="I187" i="9"/>
  <c r="V187" i="9" s="1"/>
  <c r="I182" i="9"/>
  <c r="V182" i="9" s="1"/>
  <c r="I188" i="9"/>
  <c r="V188" i="9" s="1"/>
  <c r="I180" i="9"/>
  <c r="V180" i="9" s="1"/>
  <c r="I183" i="9"/>
  <c r="V183" i="9" s="1"/>
  <c r="I185" i="9"/>
  <c r="V185" i="9" s="1"/>
  <c r="I186" i="9"/>
  <c r="V186" i="9" s="1"/>
  <c r="I181" i="9"/>
  <c r="V181" i="9" s="1"/>
  <c r="I184" i="9"/>
  <c r="V184" i="9" s="1"/>
  <c r="I98" i="7"/>
  <c r="AL34" i="12"/>
  <c r="AM34" i="12" s="1"/>
  <c r="J95" i="7" l="1"/>
  <c r="AL80" i="10"/>
  <c r="AL68" i="10"/>
  <c r="AL223" i="11"/>
  <c r="H14" i="9" s="1"/>
  <c r="U14" i="9" s="1"/>
  <c r="AL99" i="12"/>
  <c r="AM99" i="12" s="1"/>
  <c r="AL28" i="3"/>
  <c r="AL29" i="3"/>
  <c r="AM68" i="10" l="1"/>
  <c r="H69" i="9"/>
  <c r="AM80" i="10"/>
  <c r="H68" i="9"/>
  <c r="AM29" i="3"/>
  <c r="H82" i="7"/>
  <c r="I82" i="7" s="1"/>
  <c r="AM28" i="3"/>
  <c r="H81" i="7"/>
  <c r="I81" i="7" s="1"/>
  <c r="I14" i="9"/>
  <c r="V14" i="9" s="1"/>
  <c r="H45" i="9" l="1"/>
  <c r="U45" i="9" s="1"/>
  <c r="AA24" i="9" s="1" a="1"/>
  <c r="AA24" i="9" s="1"/>
  <c r="H46" i="9"/>
  <c r="U46" i="9" s="1"/>
  <c r="AA25" i="9" s="1" a="1"/>
  <c r="AA25" i="9" s="1"/>
  <c r="H44" i="9"/>
  <c r="U44" i="9" s="1"/>
  <c r="AA23" i="9" s="1" a="1"/>
  <c r="AA23" i="9" s="1"/>
  <c r="AL64" i="10"/>
  <c r="AL89" i="10"/>
  <c r="AM89" i="10" s="1"/>
  <c r="AN84" i="10" l="1"/>
  <c r="H64" i="9"/>
  <c r="U64" i="9" s="1"/>
  <c r="AA37" i="9" s="1" a="1"/>
  <c r="AA37" i="9" s="1"/>
  <c r="AM64" i="10"/>
  <c r="H87" i="9"/>
  <c r="U87" i="9" s="1"/>
  <c r="I44" i="9"/>
  <c r="V44" i="9" s="1"/>
  <c r="AB23" i="9" s="1" a="1"/>
  <c r="AB23" i="9" s="1"/>
  <c r="V46" i="9"/>
  <c r="AB25" i="9" s="1" a="1"/>
  <c r="AB25" i="9" s="1"/>
  <c r="I45" i="9"/>
  <c r="V45" i="9" s="1"/>
  <c r="AB24" i="9" s="1" a="1"/>
  <c r="AB24" i="9" s="1"/>
  <c r="I83" i="9"/>
  <c r="I84" i="9"/>
  <c r="V84" i="9" s="1"/>
  <c r="I64" i="9" l="1"/>
  <c r="V64" i="9" s="1"/>
  <c r="AB37" i="9" s="1" a="1"/>
  <c r="AB37" i="9" s="1"/>
  <c r="V83" i="9"/>
  <c r="AL55" i="10"/>
  <c r="AL52" i="10"/>
  <c r="H52" i="9" l="1"/>
  <c r="U52" i="9" s="1"/>
  <c r="AA27" i="9" s="1" a="1"/>
  <c r="AA27" i="9" s="1"/>
  <c r="AM52" i="10"/>
  <c r="H55" i="9"/>
  <c r="U55" i="9" s="1"/>
  <c r="AA30" i="9" s="1" a="1"/>
  <c r="AA30" i="9" s="1"/>
  <c r="AM55" i="10"/>
  <c r="AL187" i="11"/>
  <c r="H276" i="9" s="1"/>
  <c r="U276" i="9" s="1"/>
  <c r="AA43" i="9" s="1" a="1"/>
  <c r="AA43" i="9" s="1"/>
  <c r="AL193" i="11"/>
  <c r="H282" i="9" s="1"/>
  <c r="U282" i="9" s="1"/>
  <c r="AA47" i="9" s="1" a="1"/>
  <c r="AA47" i="9" s="1"/>
  <c r="AL190" i="11"/>
  <c r="H279" i="9" s="1"/>
  <c r="U279" i="9" s="1"/>
  <c r="AA44" i="9" s="1" a="1"/>
  <c r="AA44" i="9" s="1"/>
  <c r="AL191" i="11"/>
  <c r="H280" i="9" s="1"/>
  <c r="U280" i="9" s="1"/>
  <c r="AA45" i="9" s="1" a="1"/>
  <c r="AA45" i="9" s="1"/>
  <c r="AL192" i="11"/>
  <c r="H281" i="9" s="1"/>
  <c r="U281" i="9" s="1"/>
  <c r="AA46" i="9" s="1" a="1"/>
  <c r="AA46" i="9" s="1"/>
  <c r="AL28" i="12"/>
  <c r="AM28" i="12" s="1"/>
  <c r="I55" i="9" l="1"/>
  <c r="V55" i="9" s="1"/>
  <c r="AB30" i="9" s="1" a="1"/>
  <c r="AB30" i="9" s="1"/>
  <c r="I52" i="9"/>
  <c r="V52" i="9" s="1"/>
  <c r="AB27" i="9" s="1" a="1"/>
  <c r="AB27" i="9" s="1"/>
  <c r="I280" i="9"/>
  <c r="V280" i="9" s="1"/>
  <c r="AB45" i="9" s="1" a="1"/>
  <c r="AB45" i="9" s="1"/>
  <c r="I279" i="9"/>
  <c r="V279" i="9" s="1"/>
  <c r="AB44" i="9" s="1" a="1"/>
  <c r="AB44" i="9" s="1"/>
  <c r="I282" i="9"/>
  <c r="V282" i="9" s="1"/>
  <c r="AB47" i="9" s="1" a="1"/>
  <c r="AB47" i="9" s="1"/>
  <c r="I281" i="9"/>
  <c r="V281" i="9" s="1"/>
  <c r="AB46" i="9" s="1" a="1"/>
  <c r="AB46" i="9" s="1"/>
  <c r="I276" i="9"/>
  <c r="V276" i="9" s="1"/>
  <c r="AB43" i="9" s="1" a="1"/>
  <c r="AB43" i="9" s="1"/>
  <c r="AL189" i="11"/>
  <c r="H278" i="9" s="1"/>
  <c r="U278" i="9" s="1"/>
  <c r="AL87" i="12"/>
  <c r="AM87" i="12" s="1"/>
  <c r="AN87" i="12" s="1"/>
  <c r="I278" i="9" l="1"/>
  <c r="V278" i="9" s="1"/>
  <c r="AL20" i="2"/>
  <c r="AL21" i="2"/>
  <c r="AM20" i="2" l="1"/>
  <c r="H18" i="7"/>
  <c r="AM21" i="2"/>
  <c r="H19" i="7"/>
  <c r="AL200" i="11"/>
  <c r="AM200" i="11" s="1"/>
  <c r="AR200" i="11" s="1"/>
  <c r="I19" i="7" l="1"/>
  <c r="I18" i="7"/>
  <c r="AO200" i="11"/>
  <c r="AS200" i="11" s="1"/>
  <c r="H289" i="9"/>
  <c r="U289" i="9" s="1"/>
  <c r="U339" i="9" s="1" a="1"/>
  <c r="U339" i="9" s="1"/>
  <c r="U341" i="9" l="1"/>
  <c r="AA59" i="9" s="1" a="1"/>
  <c r="AA59" i="9" s="1"/>
  <c r="U340" i="9"/>
  <c r="AL194" i="11"/>
  <c r="H283" i="9" s="1"/>
  <c r="U283" i="9" s="1"/>
  <c r="AA48" i="9" s="1" a="1"/>
  <c r="AA48" i="9" s="1"/>
  <c r="I283" i="9" l="1"/>
  <c r="V283" i="9" s="1"/>
  <c r="AB48" i="9" s="1" a="1"/>
  <c r="AB48" i="9" s="1"/>
  <c r="H32" i="9"/>
  <c r="U32" i="9" s="1"/>
  <c r="AA14" i="9" s="1" a="1"/>
  <c r="AA14" i="9" s="1"/>
  <c r="I32" i="9" l="1"/>
  <c r="V32" i="9" s="1"/>
  <c r="AB14" i="9" s="1" a="1"/>
  <c r="AB14" i="9" s="1"/>
  <c r="G69" i="7" l="1"/>
  <c r="G70" i="7"/>
  <c r="G75" i="7"/>
  <c r="G76" i="7"/>
  <c r="G77" i="7"/>
  <c r="G78" i="7"/>
  <c r="G99" i="7"/>
  <c r="G100" i="7"/>
  <c r="G101" i="7"/>
  <c r="G102" i="7"/>
  <c r="G87" i="7"/>
  <c r="G88" i="7"/>
  <c r="AL11" i="1" l="1"/>
  <c r="AL10" i="1"/>
  <c r="AM11" i="1" l="1"/>
  <c r="H29" i="7"/>
  <c r="AM10" i="1"/>
  <c r="H28" i="7"/>
  <c r="I30" i="7"/>
  <c r="I31" i="7"/>
  <c r="I28" i="7" l="1"/>
  <c r="I29" i="7"/>
  <c r="AL51" i="10"/>
  <c r="H51" i="9" l="1"/>
  <c r="U51" i="9" s="1"/>
  <c r="AA26" i="9" s="1" a="1"/>
  <c r="AA26" i="9" s="1"/>
  <c r="AM51" i="10"/>
  <c r="AL35" i="3"/>
  <c r="AM35" i="3" s="1"/>
  <c r="AL34" i="3"/>
  <c r="AM34" i="3" s="1"/>
  <c r="AN37" i="3" s="1"/>
  <c r="AL33" i="3"/>
  <c r="AL32" i="3"/>
  <c r="AL31" i="3"/>
  <c r="H84" i="7" s="1"/>
  <c r="I84" i="7" s="1"/>
  <c r="AL30" i="3"/>
  <c r="H83" i="7" s="1"/>
  <c r="I83" i="7" s="1"/>
  <c r="I51" i="9" l="1"/>
  <c r="V51" i="9" s="1"/>
  <c r="AB26" i="9" s="1" a="1"/>
  <c r="AB26" i="9" s="1"/>
  <c r="AN39" i="3"/>
  <c r="AM32" i="3"/>
  <c r="H85" i="7"/>
  <c r="AM33" i="3"/>
  <c r="H86" i="7"/>
  <c r="AM30" i="3"/>
  <c r="AM31" i="3"/>
  <c r="H88" i="7"/>
  <c r="I88" i="7" s="1"/>
  <c r="H87" i="7"/>
  <c r="I87" i="7" s="1"/>
  <c r="AN33" i="3" l="1"/>
  <c r="I86" i="7"/>
  <c r="I85" i="7"/>
  <c r="J79" i="7" s="1"/>
  <c r="J87" i="7"/>
  <c r="AL53" i="10"/>
  <c r="AL202" i="11"/>
  <c r="AM202" i="11" s="1"/>
  <c r="AL49" i="12"/>
  <c r="AM49" i="12" s="1"/>
  <c r="AL50" i="12"/>
  <c r="AM50" i="12" s="1"/>
  <c r="AL51" i="12"/>
  <c r="H53" i="9" l="1"/>
  <c r="U53" i="9" s="1"/>
  <c r="AA28" i="9" s="1" a="1"/>
  <c r="AA28" i="9" s="1"/>
  <c r="AM53" i="10"/>
  <c r="AR202" i="11"/>
  <c r="AO202" i="11"/>
  <c r="AS202" i="11" s="1"/>
  <c r="H291" i="9"/>
  <c r="U291" i="9" s="1"/>
  <c r="AA50" i="9" s="1" a="1"/>
  <c r="AA50" i="9" s="1"/>
  <c r="AL221" i="11"/>
  <c r="AL220" i="11"/>
  <c r="I53" i="9" l="1"/>
  <c r="V53" i="9" s="1"/>
  <c r="AB28" i="9" s="1" a="1"/>
  <c r="AB28" i="9" s="1"/>
  <c r="H12" i="9"/>
  <c r="U12" i="9" s="1"/>
  <c r="H11" i="9"/>
  <c r="U11" i="9" s="1"/>
  <c r="I11" i="9" l="1"/>
  <c r="V11" i="9" s="1"/>
  <c r="I12" i="9"/>
  <c r="V12" i="9" s="1"/>
  <c r="AL219" i="11"/>
  <c r="AL218" i="11"/>
  <c r="H9" i="9" s="1"/>
  <c r="U9" i="9" s="1"/>
  <c r="AL148" i="11"/>
  <c r="AL147" i="11"/>
  <c r="AL146" i="11"/>
  <c r="H8" i="9" s="1"/>
  <c r="U8" i="9" s="1"/>
  <c r="AL145" i="11"/>
  <c r="H7" i="9" s="1"/>
  <c r="U7" i="9" s="1"/>
  <c r="AL144" i="11"/>
  <c r="H6" i="9" s="1"/>
  <c r="U6" i="9" s="1"/>
  <c r="AL143" i="11"/>
  <c r="H5" i="9" s="1"/>
  <c r="U5" i="9" s="1"/>
  <c r="H10" i="9" l="1"/>
  <c r="AM219" i="11"/>
  <c r="J11" i="9"/>
  <c r="I6" i="9"/>
  <c r="V6" i="9" s="1"/>
  <c r="I8" i="9"/>
  <c r="V8" i="9" s="1"/>
  <c r="I7" i="9"/>
  <c r="V7" i="9" s="1"/>
  <c r="I9" i="9"/>
  <c r="V9" i="9" s="1"/>
  <c r="I5" i="9"/>
  <c r="V5" i="9" s="1"/>
  <c r="AL47" i="2"/>
  <c r="AM47" i="2" s="1"/>
  <c r="AL44" i="2"/>
  <c r="AL45" i="2"/>
  <c r="AL77" i="10"/>
  <c r="H78" i="9" s="1"/>
  <c r="AL76" i="10"/>
  <c r="H77" i="9" s="1"/>
  <c r="U77" i="9" l="1"/>
  <c r="AM77" i="10"/>
  <c r="AM76" i="10"/>
  <c r="I10" i="9"/>
  <c r="V10" i="9" s="1"/>
  <c r="U10" i="9"/>
  <c r="H9" i="7"/>
  <c r="H8" i="7"/>
  <c r="AM45" i="2"/>
  <c r="H11" i="7"/>
  <c r="AM44" i="2"/>
  <c r="H10" i="7"/>
  <c r="I77" i="9"/>
  <c r="V77" i="9" s="1"/>
  <c r="J5" i="9"/>
  <c r="AL15" i="1"/>
  <c r="L5" i="9" l="1"/>
  <c r="AN49" i="2"/>
  <c r="J9" i="9"/>
  <c r="I10" i="7"/>
  <c r="I11" i="7"/>
  <c r="I9" i="7"/>
  <c r="I8" i="7"/>
  <c r="AL22" i="2"/>
  <c r="AM22" i="2" s="1"/>
  <c r="G58" i="7"/>
  <c r="G57" i="7"/>
  <c r="G17" i="7"/>
  <c r="AL195" i="11"/>
  <c r="H284" i="9" s="1"/>
  <c r="U284" i="9" s="1"/>
  <c r="L9" i="9" l="1"/>
  <c r="M10" i="9"/>
  <c r="J6" i="7"/>
  <c r="I284" i="9"/>
  <c r="V284" i="9" s="1"/>
  <c r="AL36" i="11" l="1"/>
  <c r="AL185" i="11"/>
  <c r="H274" i="9" s="1"/>
  <c r="U274" i="9" s="1"/>
  <c r="AA41" i="9" s="1" a="1"/>
  <c r="AA41" i="9" s="1"/>
  <c r="I274" i="9" l="1"/>
  <c r="V274" i="9" s="1"/>
  <c r="AB41" i="9" s="1" a="1"/>
  <c r="AB41" i="9" s="1"/>
  <c r="AL28" i="2"/>
  <c r="AM28" i="2" s="1"/>
  <c r="AL29" i="2"/>
  <c r="H58" i="7" s="1"/>
  <c r="AL138" i="11"/>
  <c r="H201" i="9" s="1"/>
  <c r="U201" i="9" s="1"/>
  <c r="AL139" i="11"/>
  <c r="H202" i="9" s="1"/>
  <c r="U202" i="9" s="1"/>
  <c r="AL140" i="11"/>
  <c r="H203" i="9" s="1"/>
  <c r="U203" i="9" s="1"/>
  <c r="AL141" i="11"/>
  <c r="H204" i="9" s="1"/>
  <c r="U204" i="9" s="1"/>
  <c r="AL35" i="11"/>
  <c r="H229" i="9" s="1"/>
  <c r="U229" i="9" s="1"/>
  <c r="I58" i="7" l="1"/>
  <c r="I203" i="9"/>
  <c r="V203" i="9" s="1"/>
  <c r="I202" i="9"/>
  <c r="V202" i="9" s="1"/>
  <c r="I229" i="9"/>
  <c r="V229" i="9" s="1"/>
  <c r="I201" i="9"/>
  <c r="V201" i="9" s="1"/>
  <c r="I204" i="9"/>
  <c r="V204" i="9" s="1"/>
  <c r="AM29" i="2"/>
  <c r="AN29" i="2" s="1"/>
  <c r="H57" i="7"/>
  <c r="AL8" i="3"/>
  <c r="AM8" i="3" s="1"/>
  <c r="AL9" i="3"/>
  <c r="H70" i="7" s="1"/>
  <c r="AL106" i="11"/>
  <c r="H166" i="9" s="1"/>
  <c r="U166" i="9" s="1"/>
  <c r="AL107" i="11"/>
  <c r="H167" i="9" s="1"/>
  <c r="U167" i="9" s="1"/>
  <c r="AL108" i="11"/>
  <c r="H168" i="9" s="1"/>
  <c r="U168" i="9" s="1"/>
  <c r="AL62" i="10"/>
  <c r="AL61" i="10"/>
  <c r="AL60" i="10"/>
  <c r="AL59" i="10"/>
  <c r="AL58" i="10"/>
  <c r="AL27" i="12"/>
  <c r="AM27" i="12" s="1"/>
  <c r="AL32" i="12"/>
  <c r="AM32" i="12" s="1"/>
  <c r="I70" i="7" l="1"/>
  <c r="H60" i="9"/>
  <c r="U60" i="9" s="1"/>
  <c r="AA33" i="9" s="1" a="1"/>
  <c r="AA33" i="9" s="1"/>
  <c r="AM60" i="10"/>
  <c r="H62" i="9"/>
  <c r="U62" i="9" s="1"/>
  <c r="AA35" i="9" s="1" a="1"/>
  <c r="AA35" i="9" s="1"/>
  <c r="AM62" i="10"/>
  <c r="H61" i="9"/>
  <c r="U61" i="9" s="1"/>
  <c r="AA34" i="9" s="1" a="1"/>
  <c r="AA34" i="9" s="1"/>
  <c r="AM61" i="10"/>
  <c r="H58" i="9"/>
  <c r="U58" i="9" s="1"/>
  <c r="AM58" i="10"/>
  <c r="H59" i="9"/>
  <c r="U59" i="9" s="1"/>
  <c r="AA32" i="9" s="1" a="1"/>
  <c r="AA32" i="9" s="1"/>
  <c r="AM59" i="10"/>
  <c r="I57" i="7"/>
  <c r="J57" i="7" s="1"/>
  <c r="I167" i="9"/>
  <c r="V167" i="9" s="1"/>
  <c r="I168" i="9"/>
  <c r="V168" i="9" s="1"/>
  <c r="I166" i="9"/>
  <c r="V166" i="9" s="1"/>
  <c r="AM9" i="3"/>
  <c r="AN8" i="3" s="1"/>
  <c r="H69" i="7"/>
  <c r="AL79" i="12"/>
  <c r="AM79" i="12" s="1"/>
  <c r="AL66" i="12"/>
  <c r="AM66" i="12" s="1"/>
  <c r="AL7" i="12"/>
  <c r="AM7" i="12" s="1"/>
  <c r="AL63" i="10"/>
  <c r="I60" i="9" l="1"/>
  <c r="V60" i="9" s="1"/>
  <c r="AB33" i="9" s="1" a="1"/>
  <c r="AB33" i="9" s="1"/>
  <c r="I62" i="9"/>
  <c r="V62" i="9" s="1"/>
  <c r="AB35" i="9" s="1" a="1"/>
  <c r="AB35" i="9" s="1"/>
  <c r="I69" i="7"/>
  <c r="J69" i="7" s="1"/>
  <c r="I59" i="9"/>
  <c r="V59" i="9" s="1"/>
  <c r="AB32" i="9" s="1" a="1"/>
  <c r="AB32" i="9" s="1"/>
  <c r="I61" i="9"/>
  <c r="V61" i="9" s="1"/>
  <c r="AB34" i="9" s="1" a="1"/>
  <c r="AB34" i="9" s="1"/>
  <c r="H63" i="9"/>
  <c r="U63" i="9" s="1"/>
  <c r="AA36" i="9" s="1" a="1"/>
  <c r="AA36" i="9" s="1"/>
  <c r="AM63" i="10"/>
  <c r="I58" i="9"/>
  <c r="V58" i="9" s="1"/>
  <c r="AL56" i="10"/>
  <c r="I63" i="9" l="1"/>
  <c r="V63" i="9" s="1"/>
  <c r="AB36" i="9" s="1" a="1"/>
  <c r="AB36" i="9" s="1"/>
  <c r="H56" i="9"/>
  <c r="U56" i="9" s="1"/>
  <c r="AA31" i="9" s="1" a="1"/>
  <c r="AA31" i="9" s="1"/>
  <c r="AM56" i="10"/>
  <c r="AL71" i="12"/>
  <c r="AM71" i="12" s="1"/>
  <c r="AL72" i="12"/>
  <c r="AM72" i="12" s="1"/>
  <c r="AL73" i="12"/>
  <c r="AM73" i="12" s="1"/>
  <c r="I56" i="9" l="1"/>
  <c r="V56" i="9" s="1"/>
  <c r="AB31" i="9" s="1" a="1"/>
  <c r="AB31" i="9" s="1"/>
  <c r="AL19" i="12"/>
  <c r="AM19" i="12" s="1"/>
  <c r="AL23" i="3"/>
  <c r="AM23" i="3" s="1"/>
  <c r="AL22" i="3"/>
  <c r="AM22" i="3" s="1"/>
  <c r="AL30" i="2"/>
  <c r="I59" i="7" s="1"/>
  <c r="AL31" i="2"/>
  <c r="I60" i="7" s="1"/>
  <c r="AL32" i="2"/>
  <c r="H115" i="7" s="1"/>
  <c r="AL33" i="2"/>
  <c r="H116" i="7" s="1"/>
  <c r="AL34" i="2"/>
  <c r="AM34" i="2" s="1"/>
  <c r="AL35" i="2"/>
  <c r="AM35" i="2" s="1"/>
  <c r="AL36" i="2"/>
  <c r="AM36" i="2" s="1"/>
  <c r="AL37" i="2"/>
  <c r="AM37" i="2" s="1"/>
  <c r="AL126" i="12"/>
  <c r="AM126" i="12" s="1"/>
  <c r="AL125" i="12"/>
  <c r="AM125" i="12" s="1"/>
  <c r="AM32" i="2" l="1"/>
  <c r="I61" i="7"/>
  <c r="AM33" i="2"/>
  <c r="I62" i="7"/>
  <c r="AN23" i="3"/>
  <c r="AP37" i="3" s="1"/>
  <c r="H76" i="7"/>
  <c r="I76" i="7" s="1"/>
  <c r="H75" i="7"/>
  <c r="I75" i="7" s="1"/>
  <c r="AM31" i="2"/>
  <c r="AM30" i="2"/>
  <c r="J59" i="7" l="1"/>
  <c r="J75" i="7"/>
  <c r="AL54" i="10"/>
  <c r="H54" i="9" l="1"/>
  <c r="U54" i="9" s="1"/>
  <c r="AA29" i="9" s="1" a="1"/>
  <c r="AA29" i="9" s="1"/>
  <c r="AM54" i="10"/>
  <c r="AL26" i="2"/>
  <c r="AM26" i="2" s="1"/>
  <c r="AN26" i="2" s="1"/>
  <c r="AL27" i="2"/>
  <c r="AM27" i="2" s="1"/>
  <c r="I54" i="9" l="1"/>
  <c r="V54" i="9" s="1"/>
  <c r="AB29" i="9" s="1" a="1"/>
  <c r="AB29" i="9" s="1"/>
  <c r="I116" i="7"/>
  <c r="I115" i="7"/>
  <c r="AL26" i="12"/>
  <c r="AM26" i="12" s="1"/>
  <c r="J115" i="7" l="1"/>
  <c r="AL57" i="10" l="1"/>
  <c r="AM57" i="10" s="1"/>
  <c r="H57" i="9" l="1"/>
  <c r="U57" i="9" s="1"/>
  <c r="AL49" i="10"/>
  <c r="H50" i="9" l="1"/>
  <c r="U50" i="9" s="1"/>
  <c r="AM49" i="10"/>
  <c r="V50" i="9"/>
  <c r="I57" i="9"/>
  <c r="V57" i="9" s="1"/>
  <c r="AL136" i="12"/>
  <c r="AM136" i="12" s="1"/>
  <c r="AL50" i="10"/>
  <c r="AM50" i="10" s="1"/>
  <c r="J51" i="9" l="1"/>
  <c r="L51" i="9" s="1"/>
  <c r="AL128" i="12"/>
  <c r="AM128" i="12" s="1"/>
  <c r="AL87" i="11" l="1"/>
  <c r="H206" i="9" l="1"/>
  <c r="U206" i="9" s="1"/>
  <c r="AL6" i="12"/>
  <c r="AM6" i="12" s="1"/>
  <c r="I206" i="9" l="1"/>
  <c r="V206" i="9" s="1"/>
  <c r="AL86" i="11"/>
  <c r="H205" i="9" l="1"/>
  <c r="U205" i="9" s="1"/>
  <c r="I205" i="9" l="1"/>
  <c r="V205" i="9" s="1"/>
  <c r="AL54" i="12"/>
  <c r="AN54" i="12" s="1"/>
  <c r="AL25" i="12" l="1"/>
  <c r="AM25" i="12" s="1"/>
  <c r="AL133" i="12" l="1"/>
  <c r="AM133" i="12" s="1"/>
  <c r="AL134" i="12"/>
  <c r="AM134" i="12" s="1"/>
  <c r="AL135" i="12"/>
  <c r="AL74" i="12" l="1"/>
  <c r="AM74" i="12" s="1"/>
  <c r="AL75" i="12"/>
  <c r="AM75" i="12" s="1"/>
  <c r="AN71" i="12" l="1"/>
  <c r="AM135" i="12"/>
  <c r="AL22" i="11" l="1"/>
  <c r="H157" i="9" s="1"/>
  <c r="U157" i="9" s="1"/>
  <c r="I157" i="9" l="1"/>
  <c r="V157" i="9" s="1"/>
  <c r="AL132" i="12"/>
  <c r="AM132" i="12" s="1"/>
  <c r="AL131" i="12"/>
  <c r="AM131" i="12" s="1"/>
  <c r="AL41" i="12" l="1"/>
  <c r="AM41" i="12" s="1"/>
  <c r="AL42" i="12"/>
  <c r="AM42" i="12" s="1"/>
  <c r="AL78" i="12" l="1"/>
  <c r="AM78" i="12" s="1"/>
  <c r="AL196" i="11" l="1"/>
  <c r="H285" i="9" s="1"/>
  <c r="U285" i="9" s="1"/>
  <c r="AL188" i="11"/>
  <c r="AL186" i="11"/>
  <c r="AL184" i="11"/>
  <c r="AL183" i="11"/>
  <c r="I285" i="9" l="1"/>
  <c r="V285" i="9" s="1"/>
  <c r="H277" i="9"/>
  <c r="U277" i="9" s="1"/>
  <c r="H275" i="9"/>
  <c r="U275" i="9" s="1"/>
  <c r="AA42" i="9" s="1" a="1"/>
  <c r="AA42" i="9" s="1"/>
  <c r="H273" i="9"/>
  <c r="U273" i="9" s="1"/>
  <c r="AA40" i="9" s="1" a="1"/>
  <c r="AA40" i="9" s="1"/>
  <c r="H272" i="9"/>
  <c r="U272" i="9" s="1"/>
  <c r="AA39" i="9" s="1" a="1"/>
  <c r="AA39" i="9" s="1"/>
  <c r="I277" i="9" l="1"/>
  <c r="V277" i="9" s="1"/>
  <c r="I272" i="9"/>
  <c r="V272" i="9" s="1"/>
  <c r="AB39" i="9" s="1" a="1"/>
  <c r="AB39" i="9" s="1"/>
  <c r="I273" i="9"/>
  <c r="V273" i="9" s="1"/>
  <c r="AB40" i="9" s="1" a="1"/>
  <c r="AB40" i="9" s="1"/>
  <c r="I275" i="9"/>
  <c r="V275" i="9" s="1"/>
  <c r="AB42" i="9" s="1" a="1"/>
  <c r="AB42" i="9" s="1"/>
  <c r="J272" i="9" l="1"/>
  <c r="L272" i="9" s="1"/>
  <c r="AL149" i="11" l="1"/>
  <c r="H251" i="9" s="1"/>
  <c r="U251" i="9" s="1"/>
  <c r="I251" i="9" l="1"/>
  <c r="V251" i="9" s="1"/>
  <c r="AL18" i="12"/>
  <c r="AM18" i="12" s="1"/>
  <c r="AL108" i="12" l="1"/>
  <c r="AM108" i="12" s="1"/>
  <c r="AL15" i="12" l="1"/>
  <c r="AM15" i="12" s="1"/>
  <c r="AL3" i="12" l="1"/>
  <c r="AM3" i="12" s="1"/>
  <c r="AL39" i="11" l="1"/>
  <c r="H233" i="9" s="1"/>
  <c r="U233" i="9" s="1"/>
  <c r="I233" i="9" l="1"/>
  <c r="V233" i="9" s="1"/>
  <c r="AL163" i="11"/>
  <c r="H255" i="9" s="1"/>
  <c r="U255" i="9" s="1"/>
  <c r="AL164" i="11"/>
  <c r="H256" i="9" s="1"/>
  <c r="U256" i="9" s="1"/>
  <c r="AL165" i="11"/>
  <c r="H257" i="9" s="1"/>
  <c r="U257" i="9" s="1"/>
  <c r="AL166" i="11"/>
  <c r="H258" i="9" s="1"/>
  <c r="U258" i="9" s="1"/>
  <c r="I258" i="9" l="1"/>
  <c r="V258" i="9" s="1"/>
  <c r="I257" i="9"/>
  <c r="V257" i="9" s="1"/>
  <c r="I255" i="9"/>
  <c r="V255" i="9" s="1"/>
  <c r="I256" i="9"/>
  <c r="V256" i="9" s="1"/>
  <c r="AL161" i="11"/>
  <c r="H253" i="9" s="1"/>
  <c r="U253" i="9" s="1"/>
  <c r="AL160" i="11"/>
  <c r="H252" i="9" s="1"/>
  <c r="U252" i="9" s="1"/>
  <c r="I253" i="9" l="1"/>
  <c r="V253" i="9" s="1"/>
  <c r="I252" i="9"/>
  <c r="V252" i="9" s="1"/>
  <c r="AL107" i="12"/>
  <c r="AM107" i="12" s="1"/>
  <c r="AL117" i="12" l="1"/>
  <c r="AM117" i="12" s="1"/>
  <c r="AL104" i="12"/>
  <c r="AM104" i="12" s="1"/>
  <c r="AL20" i="12" l="1"/>
  <c r="AL21" i="12"/>
  <c r="AL118" i="12" l="1"/>
  <c r="AM118" i="12" s="1"/>
  <c r="AL60" i="12"/>
  <c r="AM60" i="12" s="1"/>
  <c r="AL63" i="12" l="1"/>
  <c r="AM63" i="12" s="1"/>
  <c r="H39" i="9" l="1"/>
  <c r="U39" i="9" s="1"/>
  <c r="AA20" i="9" s="1" a="1"/>
  <c r="AA20" i="9" s="1"/>
  <c r="I39" i="9" l="1"/>
  <c r="V39" i="9" s="1"/>
  <c r="AB20" i="9" s="1" a="1"/>
  <c r="AB20" i="9" s="1"/>
  <c r="AL109" i="12"/>
  <c r="AM109" i="12" s="1"/>
  <c r="AL19" i="3" l="1"/>
  <c r="H66" i="7" s="1"/>
  <c r="AL18" i="3"/>
  <c r="H65" i="7" s="1"/>
  <c r="I66" i="7" l="1"/>
  <c r="I65" i="7"/>
  <c r="AM18" i="3"/>
  <c r="AM19" i="3"/>
  <c r="J65" i="7" l="1"/>
  <c r="AN21" i="3"/>
  <c r="AL67" i="12"/>
  <c r="AM67" i="12" s="1"/>
  <c r="AN67" i="12" s="1"/>
  <c r="AL35" i="12" l="1"/>
  <c r="AM35" i="12" s="1"/>
  <c r="AN25" i="12" s="1"/>
  <c r="AL58" i="12" l="1"/>
  <c r="AM58" i="12" s="1"/>
  <c r="AL5" i="12" l="1"/>
  <c r="AM5" i="12" s="1"/>
  <c r="AL100" i="12" l="1"/>
  <c r="AM100" i="12" s="1"/>
  <c r="AN100" i="12" s="1"/>
  <c r="AL84" i="12" l="1"/>
  <c r="AM84" i="12" s="1"/>
  <c r="AL86" i="12"/>
  <c r="AM86" i="12" s="1"/>
  <c r="AN84" i="12" l="1"/>
  <c r="AL120" i="12"/>
  <c r="AM120" i="12" s="1"/>
  <c r="AN120" i="12" s="1"/>
  <c r="AL62" i="12" l="1"/>
  <c r="AM62" i="12" s="1"/>
  <c r="AL80" i="12" l="1"/>
  <c r="AM80" i="12" l="1"/>
  <c r="AL39" i="12"/>
  <c r="AM39" i="12" s="1"/>
  <c r="AN39" i="12" s="1"/>
  <c r="AL116" i="12" l="1"/>
  <c r="AM116" i="12" s="1"/>
  <c r="AL95" i="12" l="1"/>
  <c r="AM95" i="12" s="1"/>
  <c r="AL96" i="12"/>
  <c r="AM96" i="12" s="1"/>
  <c r="AL97" i="12"/>
  <c r="AM97" i="12" s="1"/>
  <c r="AL98" i="12"/>
  <c r="AM98" i="12" s="1"/>
  <c r="AL64" i="12"/>
  <c r="AM64" i="12" s="1"/>
  <c r="AL65" i="12"/>
  <c r="AM65" i="12" s="1"/>
  <c r="AN65" i="12" s="1"/>
  <c r="AL68" i="12"/>
  <c r="AM68" i="12" s="1"/>
  <c r="AN68" i="12" s="1"/>
  <c r="AL70" i="12"/>
  <c r="AM70" i="12" s="1"/>
  <c r="AN70" i="12" s="1"/>
  <c r="AL129" i="12"/>
  <c r="AM129" i="12" s="1"/>
  <c r="AM20" i="12"/>
  <c r="AL8" i="12"/>
  <c r="AM8" i="12" s="1"/>
  <c r="AL10" i="12"/>
  <c r="AM10" i="12" s="1"/>
  <c r="AL17" i="3"/>
  <c r="AM17" i="3" s="1"/>
  <c r="AL24" i="3"/>
  <c r="AL94" i="12"/>
  <c r="AM94" i="12" s="1"/>
  <c r="AL59" i="12"/>
  <c r="AL4" i="12"/>
  <c r="AM4" i="12" s="1"/>
  <c r="AL122" i="12"/>
  <c r="AM122" i="12" s="1"/>
  <c r="AL123" i="12"/>
  <c r="AM123" i="12" s="1"/>
  <c r="AL127" i="12"/>
  <c r="AM127" i="12" s="1"/>
  <c r="AL43" i="12"/>
  <c r="AM43" i="12" s="1"/>
  <c r="AL57" i="12"/>
  <c r="AM57" i="12" s="1"/>
  <c r="AL47" i="12"/>
  <c r="AM47" i="12" s="1"/>
  <c r="AL119" i="12"/>
  <c r="AM119" i="12" s="1"/>
  <c r="AL81" i="10"/>
  <c r="H81" i="9" s="1"/>
  <c r="U81" i="9" s="1"/>
  <c r="AL22" i="12"/>
  <c r="AM22" i="12" s="1"/>
  <c r="AL77" i="12"/>
  <c r="AM77" i="12" s="1"/>
  <c r="AN80" i="12" s="1"/>
  <c r="AL17" i="12"/>
  <c r="AM17" i="12" s="1"/>
  <c r="AL45" i="12"/>
  <c r="AM45" i="12" s="1"/>
  <c r="AL44" i="12"/>
  <c r="AM44" i="12" s="1"/>
  <c r="AL46" i="12"/>
  <c r="AM46" i="12" s="1"/>
  <c r="AL48" i="12"/>
  <c r="AM48" i="12" s="1"/>
  <c r="AL124" i="12"/>
  <c r="AM124" i="12" s="1"/>
  <c r="AM51" i="12"/>
  <c r="AN49" i="12" s="1"/>
  <c r="AL13" i="12"/>
  <c r="AM13" i="12" s="1"/>
  <c r="AL23" i="12"/>
  <c r="AM23" i="12" s="1"/>
  <c r="AL24" i="12"/>
  <c r="AM24" i="12" s="1"/>
  <c r="AL12" i="12"/>
  <c r="AM12" i="12" s="1"/>
  <c r="AL11" i="12"/>
  <c r="AM11" i="12" s="1"/>
  <c r="AL47" i="11"/>
  <c r="H216" i="9" s="1"/>
  <c r="U216" i="9" s="1"/>
  <c r="AL75" i="10"/>
  <c r="H76" i="9" s="1"/>
  <c r="AL78" i="10"/>
  <c r="H79" i="9" s="1"/>
  <c r="AP26" i="9"/>
  <c r="AQ26" i="9" s="1"/>
  <c r="AQ20" i="9"/>
  <c r="AS20" i="9" s="1"/>
  <c r="AQ21" i="9"/>
  <c r="AS21" i="9" s="1"/>
  <c r="AQ17" i="9"/>
  <c r="AQ19" i="9"/>
  <c r="AQ18" i="9"/>
  <c r="AK6" i="4"/>
  <c r="AL6" i="4" s="1"/>
  <c r="AK7" i="4"/>
  <c r="AL7" i="4" s="1"/>
  <c r="AK8" i="4"/>
  <c r="AL8" i="4" s="1"/>
  <c r="AK9" i="4"/>
  <c r="AL9" i="4" s="1"/>
  <c r="AK10" i="4"/>
  <c r="AL10" i="4" s="1"/>
  <c r="AK11" i="4"/>
  <c r="AL11" i="4" s="1"/>
  <c r="AK12" i="4"/>
  <c r="AL12" i="4" s="1"/>
  <c r="AK13" i="4"/>
  <c r="AL13" i="4" s="1"/>
  <c r="AK14" i="4"/>
  <c r="H153" i="7" s="1"/>
  <c r="AK15" i="4"/>
  <c r="AL15" i="4" s="1"/>
  <c r="AK16" i="4"/>
  <c r="AL16" i="4" s="1"/>
  <c r="AK17" i="4"/>
  <c r="H156" i="7" s="1"/>
  <c r="AK18" i="4"/>
  <c r="AL18" i="4" s="1"/>
  <c r="AK19" i="4"/>
  <c r="AL19" i="4" s="1"/>
  <c r="AK20" i="4"/>
  <c r="AL20" i="4" s="1"/>
  <c r="AK21" i="4"/>
  <c r="AL21" i="4" s="1"/>
  <c r="AK22" i="4"/>
  <c r="AL22" i="4" s="1"/>
  <c r="AK23" i="4"/>
  <c r="AL23" i="4" s="1"/>
  <c r="AK24" i="4"/>
  <c r="H163" i="7" s="1"/>
  <c r="AK25" i="4"/>
  <c r="H164" i="7" s="1"/>
  <c r="AL71" i="10"/>
  <c r="H72" i="9" s="1"/>
  <c r="AL72" i="10"/>
  <c r="H73" i="9" s="1"/>
  <c r="AL48" i="11"/>
  <c r="AL27" i="10"/>
  <c r="AM27" i="10" s="1"/>
  <c r="AL50" i="11"/>
  <c r="H218" i="9" s="1"/>
  <c r="U218" i="9" s="1"/>
  <c r="AL45" i="11"/>
  <c r="H214" i="9" s="1"/>
  <c r="U214" i="9" s="1"/>
  <c r="AL46" i="11"/>
  <c r="H217" i="9" s="1"/>
  <c r="U217" i="9" s="1"/>
  <c r="AL51" i="11"/>
  <c r="H219" i="9" s="1"/>
  <c r="U219" i="9" s="1"/>
  <c r="AL52" i="11"/>
  <c r="H220" i="9" s="1"/>
  <c r="U220" i="9" s="1"/>
  <c r="AL53" i="11"/>
  <c r="H221" i="9" s="1"/>
  <c r="U221" i="9" s="1"/>
  <c r="AL54" i="11"/>
  <c r="H222" i="9" s="1"/>
  <c r="U222" i="9" s="1"/>
  <c r="AL81" i="11"/>
  <c r="H210" i="9" s="1"/>
  <c r="U210" i="9" s="1"/>
  <c r="AL82" i="11"/>
  <c r="H211" i="9" s="1"/>
  <c r="U211" i="9" s="1"/>
  <c r="AL83" i="11"/>
  <c r="H212" i="9" s="1"/>
  <c r="U212" i="9" s="1"/>
  <c r="AL84" i="11"/>
  <c r="H213" i="9" s="1"/>
  <c r="U213" i="9" s="1"/>
  <c r="AL9" i="12"/>
  <c r="AM9" i="12" s="1"/>
  <c r="AL74" i="10"/>
  <c r="H75" i="9" s="1"/>
  <c r="AL79" i="10"/>
  <c r="H80" i="9" s="1"/>
  <c r="AL52" i="12"/>
  <c r="AM52" i="12" s="1"/>
  <c r="G144" i="7"/>
  <c r="G143" i="7"/>
  <c r="G142" i="7"/>
  <c r="G141" i="7"/>
  <c r="G110" i="7"/>
  <c r="G35" i="7"/>
  <c r="G158" i="7"/>
  <c r="G157" i="7"/>
  <c r="G156" i="7"/>
  <c r="G154" i="7"/>
  <c r="G153" i="7"/>
  <c r="AL15" i="3"/>
  <c r="H100" i="7" s="1"/>
  <c r="G140" i="7"/>
  <c r="G139" i="7"/>
  <c r="G138" i="7"/>
  <c r="G137" i="7"/>
  <c r="G136" i="7"/>
  <c r="G135" i="7"/>
  <c r="G134" i="7"/>
  <c r="G133" i="7"/>
  <c r="G132" i="7"/>
  <c r="G131" i="7"/>
  <c r="G114" i="7"/>
  <c r="G113" i="7"/>
  <c r="G112" i="7"/>
  <c r="G111" i="7"/>
  <c r="G16" i="7"/>
  <c r="G15" i="7"/>
  <c r="G14" i="7"/>
  <c r="AL16" i="2"/>
  <c r="H14" i="7" s="1"/>
  <c r="AL152" i="11"/>
  <c r="H243" i="9" s="1"/>
  <c r="U243" i="9" s="1"/>
  <c r="AL153" i="11"/>
  <c r="H244" i="9" s="1"/>
  <c r="U244" i="9" s="1"/>
  <c r="AL137" i="12"/>
  <c r="AM137" i="12" s="1"/>
  <c r="AL53" i="12"/>
  <c r="AM53" i="12" s="1"/>
  <c r="AM21" i="12"/>
  <c r="AL40" i="12"/>
  <c r="AM40" i="12" s="1"/>
  <c r="AL156" i="11"/>
  <c r="H245" i="9" s="1"/>
  <c r="U245" i="9" s="1"/>
  <c r="AL157" i="11"/>
  <c r="H246" i="9" s="1"/>
  <c r="U246" i="9" s="1"/>
  <c r="AL155" i="11"/>
  <c r="H248" i="9" s="1"/>
  <c r="U248" i="9" s="1"/>
  <c r="AL154" i="11"/>
  <c r="H247" i="9" s="1"/>
  <c r="U247" i="9" s="1"/>
  <c r="AL26" i="10"/>
  <c r="AM26" i="10" s="1"/>
  <c r="AL22" i="10"/>
  <c r="AL17" i="10"/>
  <c r="AM17" i="10" s="1"/>
  <c r="AL73" i="10"/>
  <c r="H74" i="9" s="1"/>
  <c r="AL15" i="2"/>
  <c r="H110" i="7" s="1"/>
  <c r="AL17" i="2"/>
  <c r="H15" i="7" s="1"/>
  <c r="AL18" i="2"/>
  <c r="H16" i="7" s="1"/>
  <c r="AL19" i="2"/>
  <c r="AM19" i="2" s="1"/>
  <c r="AL151" i="11"/>
  <c r="H242" i="9" s="1"/>
  <c r="U242" i="9" s="1"/>
  <c r="AL158" i="11"/>
  <c r="H249" i="9" s="1"/>
  <c r="U249" i="9" s="1"/>
  <c r="AL150" i="11"/>
  <c r="H241" i="9" s="1"/>
  <c r="U241" i="9" s="1"/>
  <c r="AL159" i="11"/>
  <c r="H250" i="9" s="1"/>
  <c r="U250" i="9" s="1"/>
  <c r="AL69" i="10"/>
  <c r="H70" i="9" s="1"/>
  <c r="AL70" i="10"/>
  <c r="H71" i="9" s="1"/>
  <c r="AL24" i="10"/>
  <c r="AM24" i="10" s="1"/>
  <c r="AL25" i="10"/>
  <c r="AM25" i="10" s="1"/>
  <c r="AL29" i="10"/>
  <c r="AM29" i="10" s="1"/>
  <c r="AL43" i="11"/>
  <c r="H237" i="9" s="1"/>
  <c r="U237" i="9" s="1"/>
  <c r="AL44" i="11"/>
  <c r="H238" i="9" s="1"/>
  <c r="U238" i="9" s="1"/>
  <c r="H40" i="9"/>
  <c r="U40" i="9" s="1"/>
  <c r="H33" i="9"/>
  <c r="U33" i="9" s="1"/>
  <c r="AA15" i="9" s="1" a="1"/>
  <c r="AA15" i="9" s="1"/>
  <c r="H34" i="9"/>
  <c r="U34" i="9" s="1"/>
  <c r="AA16" i="9" s="1" a="1"/>
  <c r="AA16" i="9" s="1"/>
  <c r="H35" i="9"/>
  <c r="U35" i="9" s="1"/>
  <c r="AA17" i="9" s="1" a="1"/>
  <c r="AA17" i="9" s="1"/>
  <c r="H36" i="9"/>
  <c r="U36" i="9" s="1"/>
  <c r="U333" i="9" s="1" a="1"/>
  <c r="U333" i="9" s="1"/>
  <c r="H37" i="9"/>
  <c r="U37" i="9" s="1"/>
  <c r="AA18" i="9" s="1" a="1"/>
  <c r="AA18" i="9" s="1"/>
  <c r="H38" i="9"/>
  <c r="U38" i="9" s="1"/>
  <c r="AA19" i="9" s="1" a="1"/>
  <c r="AA19" i="9" s="1"/>
  <c r="H41" i="9"/>
  <c r="U41" i="9" s="1"/>
  <c r="H99" i="7"/>
  <c r="AL16" i="3"/>
  <c r="AM16" i="3" s="1"/>
  <c r="AL25" i="3"/>
  <c r="AL217" i="11"/>
  <c r="AL216" i="11"/>
  <c r="AL215" i="11"/>
  <c r="AL214" i="11"/>
  <c r="H303" i="9" s="1"/>
  <c r="U303" i="9" s="1"/>
  <c r="AL213" i="11"/>
  <c r="H302" i="9" s="1"/>
  <c r="U302" i="9" s="1"/>
  <c r="AL206" i="11"/>
  <c r="AM206" i="11" s="1"/>
  <c r="AL205" i="11"/>
  <c r="AM205" i="11" s="1"/>
  <c r="AL204" i="11"/>
  <c r="AL203" i="11"/>
  <c r="AM203" i="11" s="1"/>
  <c r="AL201" i="11"/>
  <c r="AM201" i="11" s="1"/>
  <c r="AL199" i="11"/>
  <c r="AM199" i="11" s="1"/>
  <c r="AL198" i="11"/>
  <c r="AM198" i="11" s="1"/>
  <c r="AL182" i="11"/>
  <c r="H271" i="9" s="1"/>
  <c r="U271" i="9" s="1"/>
  <c r="U330" i="9" s="1" a="1"/>
  <c r="U330" i="9" s="1"/>
  <c r="AL181" i="11"/>
  <c r="H270" i="9" s="1"/>
  <c r="U270" i="9" s="1"/>
  <c r="U327" i="9" s="1" a="1"/>
  <c r="U327" i="9" s="1"/>
  <c r="AL180" i="11"/>
  <c r="H269" i="9" s="1"/>
  <c r="U269" i="9" s="1"/>
  <c r="AL179" i="11"/>
  <c r="H268" i="9" s="1"/>
  <c r="U268" i="9" s="1"/>
  <c r="AL178" i="11"/>
  <c r="H267" i="9" s="1"/>
  <c r="U267" i="9" s="1"/>
  <c r="AL177" i="11"/>
  <c r="H266" i="9" s="1"/>
  <c r="U266" i="9" s="1"/>
  <c r="AL176" i="11"/>
  <c r="H265" i="9" s="1"/>
  <c r="U265" i="9" s="1"/>
  <c r="AL175" i="11"/>
  <c r="H264" i="9" s="1"/>
  <c r="U264" i="9" s="1"/>
  <c r="AL174" i="11"/>
  <c r="AL173" i="11"/>
  <c r="AL172" i="11"/>
  <c r="AL171" i="11"/>
  <c r="H263" i="9" s="1"/>
  <c r="U263" i="9" s="1"/>
  <c r="AL170" i="11"/>
  <c r="H262" i="9" s="1"/>
  <c r="U262" i="9" s="1"/>
  <c r="AL169" i="11"/>
  <c r="H261" i="9" s="1"/>
  <c r="U261" i="9" s="1"/>
  <c r="AL168" i="11"/>
  <c r="H260" i="9" s="1"/>
  <c r="U260" i="9" s="1"/>
  <c r="AL167" i="11"/>
  <c r="H259" i="9" s="1"/>
  <c r="U259" i="9" s="1"/>
  <c r="AL162" i="11"/>
  <c r="H254" i="9" s="1"/>
  <c r="U254" i="9" s="1"/>
  <c r="AL142" i="11"/>
  <c r="AL104" i="11"/>
  <c r="H143" i="9" s="1"/>
  <c r="U143" i="9" s="1"/>
  <c r="AL103" i="11"/>
  <c r="H142" i="9" s="1"/>
  <c r="U142" i="9" s="1"/>
  <c r="AL102" i="11"/>
  <c r="H140" i="9" s="1"/>
  <c r="U140" i="9" s="1"/>
  <c r="AL101" i="11"/>
  <c r="H141" i="9" s="1"/>
  <c r="U141" i="9" s="1"/>
  <c r="AL100" i="11"/>
  <c r="H155" i="9" s="1"/>
  <c r="U155" i="9" s="1"/>
  <c r="AL99" i="11"/>
  <c r="H154" i="9" s="1"/>
  <c r="U154" i="9" s="1"/>
  <c r="AL98" i="11"/>
  <c r="H153" i="9" s="1"/>
  <c r="U153" i="9" s="1"/>
  <c r="AL97" i="11"/>
  <c r="H144" i="9" s="1"/>
  <c r="U144" i="9" s="1"/>
  <c r="AL96" i="11"/>
  <c r="H139" i="9" s="1"/>
  <c r="U139" i="9" s="1"/>
  <c r="AL95" i="11"/>
  <c r="H138" i="9" s="1"/>
  <c r="U138" i="9" s="1"/>
  <c r="AL94" i="11"/>
  <c r="H137" i="9" s="1"/>
  <c r="U137" i="9" s="1"/>
  <c r="AL93" i="11"/>
  <c r="H136" i="9" s="1"/>
  <c r="U136" i="9" s="1"/>
  <c r="AL92" i="11"/>
  <c r="H135" i="9" s="1"/>
  <c r="U135" i="9" s="1"/>
  <c r="AL88" i="11"/>
  <c r="AL85" i="11"/>
  <c r="H130" i="9" s="1"/>
  <c r="U130" i="9" s="1"/>
  <c r="AL80" i="11"/>
  <c r="H163" i="9" s="1"/>
  <c r="U163" i="9" s="1"/>
  <c r="AL79" i="11"/>
  <c r="H132" i="9" s="1"/>
  <c r="U132" i="9" s="1"/>
  <c r="AL78" i="11"/>
  <c r="H131" i="9" s="1"/>
  <c r="U131" i="9" s="1"/>
  <c r="AL77" i="11"/>
  <c r="H129" i="9" s="1"/>
  <c r="U129" i="9" s="1"/>
  <c r="AL76" i="11"/>
  <c r="H128" i="9" s="1"/>
  <c r="U128" i="9" s="1"/>
  <c r="AL75" i="11"/>
  <c r="H127" i="9" s="1"/>
  <c r="U127" i="9" s="1"/>
  <c r="AL74" i="11"/>
  <c r="H126" i="9" s="1"/>
  <c r="U126" i="9" s="1"/>
  <c r="AL73" i="11"/>
  <c r="AL72" i="11"/>
  <c r="AL71" i="11"/>
  <c r="AL70" i="11"/>
  <c r="AL69" i="11"/>
  <c r="AL68" i="11"/>
  <c r="AL67" i="11"/>
  <c r="AL66" i="11"/>
  <c r="AL65" i="11"/>
  <c r="AL64" i="11"/>
  <c r="AL63" i="11"/>
  <c r="AL62" i="11"/>
  <c r="H125" i="9" s="1"/>
  <c r="U125" i="9" s="1"/>
  <c r="AL61" i="11"/>
  <c r="H124" i="9" s="1"/>
  <c r="U124" i="9" s="1"/>
  <c r="AL60" i="11"/>
  <c r="H123" i="9" s="1"/>
  <c r="U123" i="9" s="1"/>
  <c r="AL59" i="11"/>
  <c r="H122" i="9" s="1"/>
  <c r="U122" i="9" s="1"/>
  <c r="AL58" i="11"/>
  <c r="H121" i="9" s="1"/>
  <c r="U121" i="9" s="1"/>
  <c r="AL57" i="11"/>
  <c r="H120" i="9" s="1"/>
  <c r="U120" i="9" s="1"/>
  <c r="AL42" i="11"/>
  <c r="H236" i="9" s="1"/>
  <c r="U236" i="9" s="1"/>
  <c r="AL41" i="11"/>
  <c r="H235" i="9" s="1"/>
  <c r="U235" i="9" s="1"/>
  <c r="AL40" i="11"/>
  <c r="H234" i="9" s="1"/>
  <c r="U234" i="9" s="1"/>
  <c r="AL37" i="11"/>
  <c r="H231" i="9" s="1"/>
  <c r="U231" i="9" s="1"/>
  <c r="AL34" i="11"/>
  <c r="H228" i="9" s="1"/>
  <c r="U228" i="9" s="1"/>
  <c r="AL33" i="11"/>
  <c r="H227" i="9" s="1"/>
  <c r="U227" i="9" s="1"/>
  <c r="AL32" i="11"/>
  <c r="H226" i="9" s="1"/>
  <c r="U226" i="9" s="1"/>
  <c r="AL31" i="11"/>
  <c r="H225" i="9" s="1"/>
  <c r="U225" i="9" s="1"/>
  <c r="AL30" i="11"/>
  <c r="H224" i="9" s="1"/>
  <c r="U224" i="9" s="1"/>
  <c r="AL29" i="11"/>
  <c r="H223" i="9" s="1"/>
  <c r="U223" i="9" s="1"/>
  <c r="AL28" i="11"/>
  <c r="H164" i="9" s="1"/>
  <c r="U164" i="9" s="1"/>
  <c r="AL27" i="11"/>
  <c r="H162" i="9" s="1"/>
  <c r="U162" i="9" s="1"/>
  <c r="AL26" i="11"/>
  <c r="H161" i="9" s="1"/>
  <c r="U161" i="9" s="1"/>
  <c r="AL25" i="11"/>
  <c r="H160" i="9" s="1"/>
  <c r="U160" i="9" s="1"/>
  <c r="AL24" i="11"/>
  <c r="H159" i="9" s="1"/>
  <c r="U159" i="9" s="1"/>
  <c r="AL23" i="11"/>
  <c r="H158" i="9" s="1"/>
  <c r="U158" i="9" s="1"/>
  <c r="AL21" i="11"/>
  <c r="H156" i="9" s="1"/>
  <c r="U156" i="9" s="1"/>
  <c r="AL20" i="11"/>
  <c r="H151" i="9" s="1"/>
  <c r="U151" i="9" s="1"/>
  <c r="AL19" i="11"/>
  <c r="H150" i="9" s="1"/>
  <c r="U150" i="9" s="1"/>
  <c r="AL18" i="11"/>
  <c r="H149" i="9" s="1"/>
  <c r="U149" i="9" s="1"/>
  <c r="AL17" i="11"/>
  <c r="H148" i="9" s="1"/>
  <c r="U148" i="9" s="1"/>
  <c r="AL16" i="11"/>
  <c r="AL15" i="11"/>
  <c r="H146" i="9" s="1"/>
  <c r="U146" i="9" s="1"/>
  <c r="AL14" i="11"/>
  <c r="AL13" i="11"/>
  <c r="AL12" i="11"/>
  <c r="AL11" i="11"/>
  <c r="H118" i="9" s="1"/>
  <c r="U118" i="9" s="1"/>
  <c r="AL10" i="11"/>
  <c r="AL9" i="11"/>
  <c r="AL8" i="11"/>
  <c r="AL7" i="11"/>
  <c r="AL6" i="11"/>
  <c r="AL5" i="11"/>
  <c r="AL4" i="11"/>
  <c r="H240" i="9" s="1"/>
  <c r="U240" i="9" s="1"/>
  <c r="AL83" i="10"/>
  <c r="AM83" i="10" s="1"/>
  <c r="AL82" i="10"/>
  <c r="AM82" i="10" s="1"/>
  <c r="U68" i="9"/>
  <c r="AL67" i="10"/>
  <c r="H67" i="9" s="1"/>
  <c r="AL66" i="10"/>
  <c r="H66" i="9" s="1"/>
  <c r="AL65" i="10"/>
  <c r="H31" i="9"/>
  <c r="U31" i="9" s="1"/>
  <c r="AA13" i="9" s="1" a="1"/>
  <c r="AA13" i="9" s="1"/>
  <c r="AL23" i="10"/>
  <c r="AM23" i="10" s="1"/>
  <c r="AL21" i="10"/>
  <c r="AM21" i="10" s="1"/>
  <c r="AL20" i="10"/>
  <c r="AM20" i="10" s="1"/>
  <c r="AL19" i="10"/>
  <c r="AL18" i="10"/>
  <c r="AL16" i="10"/>
  <c r="AL15" i="10"/>
  <c r="AM15" i="10" s="1"/>
  <c r="AL14" i="10"/>
  <c r="AL13" i="10"/>
  <c r="AL12" i="10"/>
  <c r="AL11" i="10"/>
  <c r="AL10" i="10"/>
  <c r="AL9" i="10"/>
  <c r="AL8" i="10"/>
  <c r="AL7" i="10"/>
  <c r="AL6" i="10"/>
  <c r="AL5" i="10"/>
  <c r="AL4" i="10"/>
  <c r="AL3" i="10"/>
  <c r="AK8" i="5"/>
  <c r="H131" i="7" s="1"/>
  <c r="AK9" i="5"/>
  <c r="H132" i="7" s="1"/>
  <c r="AK10" i="5"/>
  <c r="H133" i="7" s="1"/>
  <c r="AK11" i="5"/>
  <c r="H134" i="7" s="1"/>
  <c r="AK12" i="5"/>
  <c r="H135" i="7" s="1"/>
  <c r="AK13" i="5"/>
  <c r="H136" i="7" s="1"/>
  <c r="AK14" i="5"/>
  <c r="AL14" i="5" s="1"/>
  <c r="AK15" i="5"/>
  <c r="AL15" i="5" s="1"/>
  <c r="AK16" i="5"/>
  <c r="H139" i="7" s="1"/>
  <c r="AK17" i="5"/>
  <c r="H140" i="7" s="1"/>
  <c r="AK18" i="5"/>
  <c r="AL18" i="5" s="1"/>
  <c r="AK19" i="5"/>
  <c r="AL19" i="5" s="1"/>
  <c r="AK20" i="5"/>
  <c r="H141" i="7" s="1"/>
  <c r="AK21" i="5"/>
  <c r="H142" i="7" s="1"/>
  <c r="AK22" i="5"/>
  <c r="H143" i="7" s="1"/>
  <c r="AK23" i="5"/>
  <c r="H144" i="7" s="1"/>
  <c r="AK7" i="5"/>
  <c r="H130" i="7" s="1"/>
  <c r="AK6" i="5"/>
  <c r="H129" i="7" s="1"/>
  <c r="AL7" i="2"/>
  <c r="AM7" i="2" s="1"/>
  <c r="AL8" i="2"/>
  <c r="AM8" i="2" s="1"/>
  <c r="AL9" i="2"/>
  <c r="H23" i="7" s="1"/>
  <c r="AL10" i="2"/>
  <c r="H105" i="7" s="1"/>
  <c r="AL11" i="2"/>
  <c r="H106" i="7" s="1"/>
  <c r="AL12" i="2"/>
  <c r="AM12" i="2" s="1"/>
  <c r="AL13" i="2"/>
  <c r="H108" i="7" s="1"/>
  <c r="AL14" i="2"/>
  <c r="H109" i="7" s="1"/>
  <c r="G109" i="7"/>
  <c r="H111" i="7"/>
  <c r="AL23" i="2"/>
  <c r="AM23" i="2" s="1"/>
  <c r="AL24" i="2"/>
  <c r="H113" i="7" s="1"/>
  <c r="AL25" i="2"/>
  <c r="H114" i="7" s="1"/>
  <c r="AL50" i="2"/>
  <c r="AL51" i="2"/>
  <c r="H117" i="7" s="1"/>
  <c r="AL52" i="2"/>
  <c r="AM52" i="2" s="1"/>
  <c r="AL53" i="2"/>
  <c r="AM53" i="2" s="1"/>
  <c r="AL54" i="2"/>
  <c r="H120" i="7" s="1"/>
  <c r="AL55" i="2"/>
  <c r="H121" i="7" s="1"/>
  <c r="AL56" i="2"/>
  <c r="AM56" i="2" s="1"/>
  <c r="AL62" i="2"/>
  <c r="AL6" i="2"/>
  <c r="AM6" i="2" s="1"/>
  <c r="AL7" i="1"/>
  <c r="H25" i="7" s="1"/>
  <c r="AL8" i="1"/>
  <c r="H26" i="7" s="1"/>
  <c r="AL9" i="1"/>
  <c r="AM9" i="1" s="1"/>
  <c r="AL14" i="1"/>
  <c r="H32" i="7" s="1"/>
  <c r="H33" i="7"/>
  <c r="AL16" i="1"/>
  <c r="H34" i="7" s="1"/>
  <c r="AL17" i="1"/>
  <c r="H35" i="7" s="1"/>
  <c r="AL20" i="1"/>
  <c r="AL21" i="1"/>
  <c r="AL22" i="1"/>
  <c r="AL23" i="1"/>
  <c r="AL24" i="1"/>
  <c r="AL25" i="1"/>
  <c r="AL26" i="1"/>
  <c r="AL27" i="1"/>
  <c r="AL28" i="1"/>
  <c r="AM28" i="1" s="1"/>
  <c r="AL29" i="1"/>
  <c r="AM29" i="1" s="1"/>
  <c r="AL33" i="1"/>
  <c r="H49" i="7" s="1"/>
  <c r="AL34" i="1"/>
  <c r="H50" i="7" s="1"/>
  <c r="AL35" i="1"/>
  <c r="AM35" i="1" s="1"/>
  <c r="AL36" i="1"/>
  <c r="H52" i="7" s="1"/>
  <c r="AL37" i="1"/>
  <c r="H53" i="7" s="1"/>
  <c r="AL38" i="1"/>
  <c r="AL39" i="1"/>
  <c r="AL40" i="1"/>
  <c r="AL41" i="1"/>
  <c r="AL42" i="1"/>
  <c r="AL43" i="1"/>
  <c r="AL44" i="1"/>
  <c r="AL45" i="1"/>
  <c r="AM45" i="1" s="1"/>
  <c r="AL46" i="1"/>
  <c r="AL47" i="1"/>
  <c r="AM47" i="1" s="1"/>
  <c r="AL48" i="1"/>
  <c r="AM48" i="1" s="1"/>
  <c r="AL49" i="1"/>
  <c r="AL50" i="1"/>
  <c r="AM50" i="1" s="1"/>
  <c r="AL51" i="1"/>
  <c r="AM51" i="1" s="1"/>
  <c r="AL52" i="1"/>
  <c r="AL53" i="1"/>
  <c r="AL54" i="1"/>
  <c r="AM54" i="1" s="1"/>
  <c r="AL55" i="1"/>
  <c r="AL56" i="1"/>
  <c r="AM56" i="1" s="1"/>
  <c r="AL57" i="1"/>
  <c r="AM57" i="1" s="1"/>
  <c r="AL58" i="1"/>
  <c r="AL59" i="1"/>
  <c r="AL60" i="1"/>
  <c r="AL61" i="1"/>
  <c r="AL62" i="1"/>
  <c r="AL63" i="1"/>
  <c r="AL64" i="1"/>
  <c r="AL65" i="1"/>
  <c r="AM65" i="1" s="1"/>
  <c r="AL66" i="1"/>
  <c r="H55" i="7" s="1"/>
  <c r="AL67" i="1"/>
  <c r="H56" i="7" s="1"/>
  <c r="AL68" i="1"/>
  <c r="AL69" i="1"/>
  <c r="AM69" i="1" s="1"/>
  <c r="AL70" i="1"/>
  <c r="AL71" i="1"/>
  <c r="AM71" i="1" s="1"/>
  <c r="H24" i="7"/>
  <c r="G20" i="7"/>
  <c r="G21" i="7"/>
  <c r="G22" i="7"/>
  <c r="G23" i="7"/>
  <c r="G105" i="7"/>
  <c r="G106" i="7"/>
  <c r="G107" i="7"/>
  <c r="G108" i="7"/>
  <c r="G117" i="7"/>
  <c r="G118" i="7"/>
  <c r="G119" i="7"/>
  <c r="G120" i="7"/>
  <c r="G121" i="7"/>
  <c r="G122" i="7"/>
  <c r="G32" i="7"/>
  <c r="G33" i="7"/>
  <c r="G49" i="7"/>
  <c r="G52" i="7"/>
  <c r="G53" i="7"/>
  <c r="G54" i="7"/>
  <c r="G55" i="7"/>
  <c r="G56" i="7"/>
  <c r="G145" i="7"/>
  <c r="G146" i="7"/>
  <c r="G147" i="7"/>
  <c r="G148" i="7"/>
  <c r="G149" i="7"/>
  <c r="G150" i="7"/>
  <c r="G151" i="7"/>
  <c r="G152" i="7"/>
  <c r="G159" i="7"/>
  <c r="G160" i="7"/>
  <c r="G161" i="7"/>
  <c r="G162" i="7"/>
  <c r="G163" i="7"/>
  <c r="G164" i="7"/>
  <c r="AN11" i="12" l="1"/>
  <c r="AN45" i="12"/>
  <c r="AN52" i="12"/>
  <c r="U76" i="9"/>
  <c r="I76" i="9"/>
  <c r="V76" i="9" s="1"/>
  <c r="AO199" i="11"/>
  <c r="AS199" i="11" s="1"/>
  <c r="AR199" i="11"/>
  <c r="H17" i="9"/>
  <c r="U17" i="9" s="1"/>
  <c r="AM5" i="10"/>
  <c r="H23" i="9"/>
  <c r="U23" i="9" s="1"/>
  <c r="AA11" i="9" s="1" a="1"/>
  <c r="AA11" i="9" s="1"/>
  <c r="AM13" i="10"/>
  <c r="U70" i="9"/>
  <c r="AM70" i="10"/>
  <c r="U79" i="9"/>
  <c r="AM79" i="10"/>
  <c r="U72" i="9"/>
  <c r="AM72" i="10"/>
  <c r="U69" i="9"/>
  <c r="AM69" i="10"/>
  <c r="U74" i="9"/>
  <c r="AM74" i="10"/>
  <c r="U71" i="9"/>
  <c r="U324" i="9" s="1" a="1"/>
  <c r="U324" i="9" s="1"/>
  <c r="U325" i="9" s="1"/>
  <c r="AM71" i="10"/>
  <c r="H4" i="9"/>
  <c r="U4" i="9" s="1"/>
  <c r="AM8" i="10"/>
  <c r="H25" i="9"/>
  <c r="U25" i="9" s="1"/>
  <c r="AM16" i="10"/>
  <c r="U73" i="9"/>
  <c r="AM73" i="10"/>
  <c r="H18" i="9"/>
  <c r="U18" i="9" s="1"/>
  <c r="AM6" i="10"/>
  <c r="H19" i="9"/>
  <c r="U19" i="9" s="1"/>
  <c r="AA7" i="9" s="1" a="1"/>
  <c r="AA7" i="9" s="1"/>
  <c r="AM9" i="10"/>
  <c r="H26" i="9"/>
  <c r="U26" i="9" s="1"/>
  <c r="AM18" i="10"/>
  <c r="H65" i="9"/>
  <c r="AM65" i="10"/>
  <c r="H20" i="9"/>
  <c r="U20" i="9" s="1"/>
  <c r="AA8" i="9" s="1" a="1"/>
  <c r="AA8" i="9" s="1"/>
  <c r="AM10" i="10"/>
  <c r="H27" i="9"/>
  <c r="U27" i="9" s="1"/>
  <c r="AM19" i="10"/>
  <c r="U66" i="9"/>
  <c r="AM66" i="10"/>
  <c r="H28" i="9"/>
  <c r="U28" i="9" s="1"/>
  <c r="AM22" i="10"/>
  <c r="U78" i="9"/>
  <c r="AM78" i="10"/>
  <c r="H15" i="9"/>
  <c r="U15" i="9" s="1"/>
  <c r="AM3" i="10"/>
  <c r="H21" i="9"/>
  <c r="U21" i="9" s="1"/>
  <c r="AA9" i="9" s="1" a="1"/>
  <c r="AA9" i="9" s="1"/>
  <c r="AM11" i="10"/>
  <c r="U67" i="9"/>
  <c r="AM67" i="10"/>
  <c r="U75" i="9"/>
  <c r="AM75" i="10"/>
  <c r="H3" i="9"/>
  <c r="U3" i="9" s="1"/>
  <c r="AM7" i="10"/>
  <c r="H16" i="9"/>
  <c r="U16" i="9" s="1"/>
  <c r="AM4" i="10"/>
  <c r="H22" i="9"/>
  <c r="U22" i="9" s="1"/>
  <c r="AA10" i="9" s="1" a="1"/>
  <c r="AA10" i="9" s="1"/>
  <c r="AM12" i="10"/>
  <c r="U80" i="9"/>
  <c r="AM81" i="10"/>
  <c r="H24" i="9"/>
  <c r="U24" i="9" s="1"/>
  <c r="AM14" i="10"/>
  <c r="U332" i="9"/>
  <c r="U331" i="9"/>
  <c r="U329" i="9"/>
  <c r="U328" i="9"/>
  <c r="U334" i="9"/>
  <c r="U335" i="9"/>
  <c r="AA57" i="9" s="1" a="1"/>
  <c r="AA57" i="9" s="1"/>
  <c r="I87" i="9"/>
  <c r="J82" i="9" s="1"/>
  <c r="L82" i="9" s="1"/>
  <c r="AN3" i="12"/>
  <c r="I15" i="7"/>
  <c r="I43" i="7"/>
  <c r="H41" i="7"/>
  <c r="I42" i="7"/>
  <c r="H40" i="7"/>
  <c r="I14" i="7"/>
  <c r="I16" i="7"/>
  <c r="H38" i="7"/>
  <c r="I38" i="7" s="1"/>
  <c r="H37" i="7"/>
  <c r="H36" i="7"/>
  <c r="H293" i="9"/>
  <c r="U293" i="9" s="1"/>
  <c r="AA52" i="9" s="1" a="1"/>
  <c r="AA52" i="9" s="1"/>
  <c r="AM204" i="11"/>
  <c r="AO205" i="11"/>
  <c r="AS205" i="11" s="1"/>
  <c r="AR205" i="11"/>
  <c r="AO206" i="11"/>
  <c r="AS206" i="11" s="1"/>
  <c r="AR206" i="11"/>
  <c r="AO201" i="11"/>
  <c r="AS201" i="11" s="1"/>
  <c r="AR201" i="11"/>
  <c r="AR203" i="11"/>
  <c r="AO203" i="11"/>
  <c r="AS203" i="11" s="1"/>
  <c r="AO198" i="11"/>
  <c r="AS198" i="11" s="1"/>
  <c r="AR198" i="11"/>
  <c r="H115" i="9"/>
  <c r="U115" i="9" s="1"/>
  <c r="H117" i="9"/>
  <c r="U117" i="9" s="1"/>
  <c r="H119" i="9"/>
  <c r="U119" i="9" s="1"/>
  <c r="H113" i="9"/>
  <c r="U113" i="9" s="1"/>
  <c r="H145" i="9"/>
  <c r="U145" i="9" s="1"/>
  <c r="H134" i="9"/>
  <c r="U134" i="9" s="1"/>
  <c r="H114" i="9"/>
  <c r="U114" i="9" s="1"/>
  <c r="H116" i="9"/>
  <c r="U116" i="9" s="1"/>
  <c r="H147" i="9"/>
  <c r="U147" i="9" s="1"/>
  <c r="H294" i="9"/>
  <c r="U294" i="9" s="1"/>
  <c r="AM21" i="1"/>
  <c r="H39" i="7"/>
  <c r="I39" i="7" s="1"/>
  <c r="AM62" i="2"/>
  <c r="AN62" i="2" s="1"/>
  <c r="H128" i="7"/>
  <c r="I118" i="9"/>
  <c r="V118" i="9" s="1"/>
  <c r="I261" i="9"/>
  <c r="V261" i="9" s="1"/>
  <c r="I269" i="9"/>
  <c r="V269" i="9" s="1"/>
  <c r="I234" i="9"/>
  <c r="V234" i="9" s="1"/>
  <c r="I154" i="9"/>
  <c r="V154" i="9" s="1"/>
  <c r="I235" i="9"/>
  <c r="V235" i="9" s="1"/>
  <c r="I132" i="9"/>
  <c r="V132" i="9" s="1"/>
  <c r="I270" i="9"/>
  <c r="V270" i="9" s="1"/>
  <c r="V327" i="9" s="1" a="1"/>
  <c r="V327" i="9" s="1"/>
  <c r="I231" i="9"/>
  <c r="V231" i="9" s="1"/>
  <c r="I262" i="9"/>
  <c r="V262" i="9" s="1"/>
  <c r="I34" i="9"/>
  <c r="V34" i="9" s="1"/>
  <c r="AB16" i="9" s="1" a="1"/>
  <c r="AB16" i="9" s="1"/>
  <c r="I212" i="9"/>
  <c r="V212" i="9" s="1"/>
  <c r="I161" i="9"/>
  <c r="V161" i="9" s="1"/>
  <c r="I271" i="9"/>
  <c r="V271" i="9" s="1"/>
  <c r="V330" i="9" s="1" a="1"/>
  <c r="V330" i="9" s="1"/>
  <c r="I120" i="9"/>
  <c r="V120" i="9" s="1"/>
  <c r="I130" i="9"/>
  <c r="V130" i="9" s="1"/>
  <c r="I140" i="9"/>
  <c r="V140" i="9" s="1"/>
  <c r="I222" i="9"/>
  <c r="V222" i="9" s="1"/>
  <c r="I22" i="9"/>
  <c r="V22" i="9" s="1"/>
  <c r="AB10" i="9" s="1" a="1"/>
  <c r="AB10" i="9" s="1"/>
  <c r="I122" i="9"/>
  <c r="V122" i="9" s="1"/>
  <c r="I143" i="9"/>
  <c r="V143" i="9" s="1"/>
  <c r="I224" i="9"/>
  <c r="V224" i="9" s="1"/>
  <c r="I136" i="9"/>
  <c r="V136" i="9" s="1"/>
  <c r="I264" i="9"/>
  <c r="V264" i="9" s="1"/>
  <c r="I38" i="9"/>
  <c r="V38" i="9" s="1"/>
  <c r="AB19" i="9" s="1" a="1"/>
  <c r="AB19" i="9" s="1"/>
  <c r="I81" i="9"/>
  <c r="V81" i="9" s="1"/>
  <c r="I150" i="9"/>
  <c r="V150" i="9" s="1"/>
  <c r="I225" i="9"/>
  <c r="V225" i="9" s="1"/>
  <c r="I265" i="9"/>
  <c r="V265" i="9" s="1"/>
  <c r="I37" i="9"/>
  <c r="V37" i="9" s="1"/>
  <c r="AB18" i="9" s="1" a="1"/>
  <c r="AB18" i="9" s="1"/>
  <c r="I74" i="9"/>
  <c r="V74" i="9" s="1"/>
  <c r="I151" i="9"/>
  <c r="V151" i="9" s="1"/>
  <c r="I226" i="9"/>
  <c r="V226" i="9" s="1"/>
  <c r="I125" i="9"/>
  <c r="V125" i="9" s="1"/>
  <c r="I126" i="9"/>
  <c r="V126" i="9" s="1"/>
  <c r="I138" i="9"/>
  <c r="V138" i="9" s="1"/>
  <c r="I266" i="9"/>
  <c r="V266" i="9" s="1"/>
  <c r="I214" i="9"/>
  <c r="V214" i="9" s="1"/>
  <c r="I240" i="9"/>
  <c r="V240" i="9" s="1"/>
  <c r="I237" i="9"/>
  <c r="V237" i="9" s="1"/>
  <c r="I221" i="9"/>
  <c r="V221" i="9" s="1"/>
  <c r="I148" i="9"/>
  <c r="V148" i="9" s="1"/>
  <c r="I223" i="9"/>
  <c r="V223" i="9" s="1"/>
  <c r="I135" i="9"/>
  <c r="V135" i="9" s="1"/>
  <c r="I41" i="9"/>
  <c r="V41" i="9" s="1"/>
  <c r="I220" i="9"/>
  <c r="V220" i="9" s="1"/>
  <c r="I216" i="9"/>
  <c r="V216" i="9" s="1"/>
  <c r="I149" i="9"/>
  <c r="V149" i="9" s="1"/>
  <c r="I219" i="9"/>
  <c r="V219" i="9" s="1"/>
  <c r="I124" i="9"/>
  <c r="V124" i="9" s="1"/>
  <c r="I137" i="9"/>
  <c r="V137" i="9" s="1"/>
  <c r="I302" i="9"/>
  <c r="V302" i="9" s="1"/>
  <c r="I156" i="9"/>
  <c r="V156" i="9" s="1"/>
  <c r="I227" i="9"/>
  <c r="V227" i="9" s="1"/>
  <c r="I127" i="9"/>
  <c r="V127" i="9" s="1"/>
  <c r="I139" i="9"/>
  <c r="V139" i="9" s="1"/>
  <c r="I259" i="9"/>
  <c r="V259" i="9" s="1"/>
  <c r="I267" i="9"/>
  <c r="V267" i="9" s="1"/>
  <c r="I218" i="9"/>
  <c r="V218" i="9" s="1"/>
  <c r="I159" i="9"/>
  <c r="V159" i="9" s="1"/>
  <c r="I153" i="9"/>
  <c r="V153" i="9" s="1"/>
  <c r="I35" i="9"/>
  <c r="V35" i="9" s="1"/>
  <c r="AB17" i="9" s="1" a="1"/>
  <c r="AB17" i="9" s="1"/>
  <c r="I131" i="9"/>
  <c r="V131" i="9" s="1"/>
  <c r="I68" i="9"/>
  <c r="V68" i="9" s="1"/>
  <c r="I228" i="9"/>
  <c r="V228" i="9" s="1"/>
  <c r="I260" i="9"/>
  <c r="V260" i="9" s="1"/>
  <c r="I263" i="9"/>
  <c r="V263" i="9" s="1"/>
  <c r="I268" i="9"/>
  <c r="V268" i="9" s="1"/>
  <c r="I247" i="9"/>
  <c r="V247" i="9" s="1"/>
  <c r="I243" i="9"/>
  <c r="V243" i="9" s="1"/>
  <c r="I248" i="9"/>
  <c r="V248" i="9" s="1"/>
  <c r="I213" i="9"/>
  <c r="V213" i="9" s="1"/>
  <c r="I33" i="9"/>
  <c r="V33" i="9" s="1"/>
  <c r="AB15" i="9" s="1" a="1"/>
  <c r="AB15" i="9" s="1"/>
  <c r="I242" i="9"/>
  <c r="V242" i="9" s="1"/>
  <c r="I245" i="9"/>
  <c r="V245" i="9" s="1"/>
  <c r="I211" i="9"/>
  <c r="V211" i="9" s="1"/>
  <c r="I162" i="9"/>
  <c r="V162" i="9" s="1"/>
  <c r="I236" i="9"/>
  <c r="V236" i="9" s="1"/>
  <c r="I163" i="9"/>
  <c r="V163" i="9" s="1"/>
  <c r="I40" i="9"/>
  <c r="V40" i="9" s="1"/>
  <c r="I210" i="9"/>
  <c r="V210" i="9" s="1"/>
  <c r="I146" i="9"/>
  <c r="V146" i="9" s="1"/>
  <c r="H295" i="9"/>
  <c r="U295" i="9" s="1"/>
  <c r="AA53" i="9" s="1" a="1"/>
  <c r="AA53" i="9" s="1"/>
  <c r="H290" i="9"/>
  <c r="U290" i="9" s="1"/>
  <c r="U342" i="9" s="1" a="1"/>
  <c r="U342" i="9" s="1"/>
  <c r="AN18" i="12"/>
  <c r="AN22" i="12"/>
  <c r="H29" i="9"/>
  <c r="U29" i="9" s="1"/>
  <c r="H287" i="9"/>
  <c r="U287" i="9" s="1"/>
  <c r="H292" i="9"/>
  <c r="U292" i="9" s="1"/>
  <c r="AA51" i="9" s="1" a="1"/>
  <c r="AA51" i="9" s="1"/>
  <c r="I291" i="9"/>
  <c r="V291" i="9" s="1"/>
  <c r="AB50" i="9" s="1" a="1"/>
  <c r="AB50" i="9" s="1"/>
  <c r="I215" i="9"/>
  <c r="V215" i="9" s="1"/>
  <c r="I217" i="9"/>
  <c r="V217" i="9" s="1"/>
  <c r="H152" i="9"/>
  <c r="U152" i="9" s="1"/>
  <c r="H112" i="9"/>
  <c r="U112" i="9" s="1"/>
  <c r="AM24" i="3"/>
  <c r="H77" i="7"/>
  <c r="I77" i="7" s="1"/>
  <c r="H78" i="7"/>
  <c r="I78" i="7" s="1"/>
  <c r="H133" i="9"/>
  <c r="U133" i="9" s="1"/>
  <c r="H230" i="9"/>
  <c r="U230" i="9" s="1"/>
  <c r="H288" i="9"/>
  <c r="U288" i="9" s="1"/>
  <c r="U336" i="9" s="1" a="1"/>
  <c r="U336" i="9" s="1"/>
  <c r="H148" i="7"/>
  <c r="I148" i="7" s="1"/>
  <c r="I31" i="9"/>
  <c r="H42" i="9"/>
  <c r="U42" i="9" s="1"/>
  <c r="AA21" i="9" s="1" a="1"/>
  <c r="AA21" i="9" s="1"/>
  <c r="H162" i="7"/>
  <c r="I162" i="7" s="1"/>
  <c r="H146" i="7"/>
  <c r="I146" i="7" s="1"/>
  <c r="AL17" i="5"/>
  <c r="AQ22" i="9"/>
  <c r="H138" i="7"/>
  <c r="I138" i="7" s="1"/>
  <c r="H147" i="7"/>
  <c r="I147" i="7" s="1"/>
  <c r="H137" i="7"/>
  <c r="I137" i="7" s="1"/>
  <c r="AL20" i="5"/>
  <c r="H161" i="7"/>
  <c r="I161" i="7" s="1"/>
  <c r="AM63" i="1"/>
  <c r="H158" i="7"/>
  <c r="I158" i="7" s="1"/>
  <c r="AL16" i="5"/>
  <c r="AM41" i="1"/>
  <c r="H160" i="7"/>
  <c r="I160" i="7" s="1"/>
  <c r="AL13" i="5"/>
  <c r="H151" i="7"/>
  <c r="I151" i="7" s="1"/>
  <c r="J151" i="7" s="1"/>
  <c r="AL12" i="5"/>
  <c r="AL25" i="4"/>
  <c r="AM55" i="1"/>
  <c r="AM34" i="1"/>
  <c r="H150" i="7"/>
  <c r="I150" i="7" s="1"/>
  <c r="H159" i="7"/>
  <c r="I159" i="7" s="1"/>
  <c r="AL21" i="5"/>
  <c r="AM40" i="1"/>
  <c r="AL7" i="5"/>
  <c r="H152" i="7"/>
  <c r="I152" i="7" s="1"/>
  <c r="AL24" i="4"/>
  <c r="AM33" i="1"/>
  <c r="AM68" i="1"/>
  <c r="AL9" i="5"/>
  <c r="AM67" i="1"/>
  <c r="AL8" i="5"/>
  <c r="AM49" i="1"/>
  <c r="I144" i="7"/>
  <c r="I108" i="7"/>
  <c r="AM13" i="4"/>
  <c r="I113" i="7"/>
  <c r="I134" i="7"/>
  <c r="I130" i="7"/>
  <c r="I164" i="7"/>
  <c r="I142" i="7"/>
  <c r="H54" i="7"/>
  <c r="I54" i="7" s="1"/>
  <c r="AM26" i="1"/>
  <c r="AM61" i="1"/>
  <c r="AM36" i="1"/>
  <c r="AM66" i="1"/>
  <c r="AM9" i="4"/>
  <c r="H107" i="7"/>
  <c r="H149" i="7"/>
  <c r="I149" i="7" s="1"/>
  <c r="AM70" i="1"/>
  <c r="H145" i="7"/>
  <c r="I145" i="7" s="1"/>
  <c r="I131" i="7"/>
  <c r="I56" i="7"/>
  <c r="H118" i="7"/>
  <c r="AL23" i="5"/>
  <c r="H305" i="9"/>
  <c r="U305" i="9" s="1"/>
  <c r="AL6" i="5"/>
  <c r="I143" i="7"/>
  <c r="H102" i="7"/>
  <c r="I102" i="7" s="1"/>
  <c r="I117" i="7"/>
  <c r="I52" i="7"/>
  <c r="J49" i="7" s="1"/>
  <c r="I109" i="7"/>
  <c r="I140" i="7"/>
  <c r="I139" i="7"/>
  <c r="I153" i="7"/>
  <c r="I50" i="7"/>
  <c r="I120" i="7"/>
  <c r="I129" i="7"/>
  <c r="AL22" i="5"/>
  <c r="AM54" i="2"/>
  <c r="AM23" i="1"/>
  <c r="AM59" i="12"/>
  <c r="H306" i="9"/>
  <c r="U306" i="9" s="1"/>
  <c r="H154" i="7"/>
  <c r="I154" i="7" s="1"/>
  <c r="H112" i="7"/>
  <c r="I112" i="7" s="1"/>
  <c r="AM15" i="2"/>
  <c r="AM13" i="2"/>
  <c r="AM39" i="1"/>
  <c r="AM44" i="1"/>
  <c r="AM27" i="1"/>
  <c r="AM38" i="1"/>
  <c r="AM20" i="1"/>
  <c r="AM17" i="1"/>
  <c r="AM16" i="1"/>
  <c r="H155" i="7"/>
  <c r="H157" i="7"/>
  <c r="I157" i="7" s="1"/>
  <c r="AL17" i="4"/>
  <c r="AM15" i="1"/>
  <c r="H304" i="9"/>
  <c r="U304" i="9" s="1"/>
  <c r="I136" i="7"/>
  <c r="H101" i="7"/>
  <c r="I101" i="7" s="1"/>
  <c r="AM51" i="2"/>
  <c r="AM10" i="2"/>
  <c r="H119" i="7"/>
  <c r="AM62" i="1"/>
  <c r="AM64" i="1"/>
  <c r="AM22" i="1"/>
  <c r="AM60" i="1"/>
  <c r="AM43" i="1"/>
  <c r="AM46" i="1"/>
  <c r="AM14" i="1"/>
  <c r="AK24" i="5"/>
  <c r="AL11" i="5"/>
  <c r="AM37" i="1"/>
  <c r="AL10" i="5"/>
  <c r="AM15" i="3"/>
  <c r="AM17" i="2"/>
  <c r="H21" i="7"/>
  <c r="I156" i="7"/>
  <c r="H51" i="7"/>
  <c r="I51" i="7" s="1"/>
  <c r="I164" i="9"/>
  <c r="V164" i="9" s="1"/>
  <c r="I155" i="9"/>
  <c r="V155" i="9" s="1"/>
  <c r="I241" i="9"/>
  <c r="V241" i="9" s="1"/>
  <c r="I133" i="7"/>
  <c r="AL48" i="3"/>
  <c r="AM25" i="3"/>
  <c r="I121" i="7"/>
  <c r="I105" i="7"/>
  <c r="I114" i="7"/>
  <c r="AM25" i="2"/>
  <c r="AM24" i="2"/>
  <c r="AM14" i="2"/>
  <c r="AM18" i="2"/>
  <c r="AM55" i="2"/>
  <c r="H122" i="7"/>
  <c r="I122" i="7" s="1"/>
  <c r="AM11" i="2"/>
  <c r="AM50" i="2"/>
  <c r="I106" i="7"/>
  <c r="I35" i="7"/>
  <c r="AM42" i="1"/>
  <c r="AM24" i="1"/>
  <c r="AM53" i="1"/>
  <c r="AM52" i="1"/>
  <c r="AM58" i="1"/>
  <c r="AM25" i="1"/>
  <c r="AM59" i="1"/>
  <c r="AM7" i="1"/>
  <c r="AM74" i="1" s="1"/>
  <c r="I55" i="7"/>
  <c r="I32" i="7"/>
  <c r="I34" i="7"/>
  <c r="AM16" i="2"/>
  <c r="H22" i="7"/>
  <c r="H27" i="7"/>
  <c r="AK26" i="4"/>
  <c r="AL14" i="4"/>
  <c r="AM14" i="3"/>
  <c r="H17" i="7"/>
  <c r="AM9" i="2"/>
  <c r="AN9" i="2" s="1"/>
  <c r="AL63" i="2"/>
  <c r="H20" i="7"/>
  <c r="AM8" i="1"/>
  <c r="I141" i="7"/>
  <c r="I163" i="7"/>
  <c r="I33" i="7"/>
  <c r="I26" i="7"/>
  <c r="I49" i="7"/>
  <c r="I111" i="7"/>
  <c r="I132" i="7"/>
  <c r="I135" i="7"/>
  <c r="I100" i="7"/>
  <c r="I110" i="7"/>
  <c r="I53" i="7"/>
  <c r="I24" i="7"/>
  <c r="I25" i="7"/>
  <c r="I23" i="7"/>
  <c r="I99" i="7"/>
  <c r="I66" i="9"/>
  <c r="V66" i="9" s="1"/>
  <c r="I303" i="9"/>
  <c r="V303" i="9" s="1"/>
  <c r="I36" i="9"/>
  <c r="V36" i="9" s="1"/>
  <c r="V333" i="9" s="1" a="1"/>
  <c r="V333" i="9" s="1"/>
  <c r="I141" i="9"/>
  <c r="V141" i="9" s="1"/>
  <c r="I250" i="9"/>
  <c r="V250" i="9" s="1"/>
  <c r="I129" i="9"/>
  <c r="V129" i="9" s="1"/>
  <c r="I246" i="9"/>
  <c r="V246" i="9" s="1"/>
  <c r="I142" i="9"/>
  <c r="V142" i="9" s="1"/>
  <c r="I244" i="9"/>
  <c r="V244" i="9" s="1"/>
  <c r="I158" i="9"/>
  <c r="V158" i="9" s="1"/>
  <c r="I123" i="9"/>
  <c r="V123" i="9" s="1"/>
  <c r="I160" i="9"/>
  <c r="V160" i="9" s="1"/>
  <c r="I128" i="9"/>
  <c r="V128" i="9" s="1"/>
  <c r="I254" i="9"/>
  <c r="V254" i="9" s="1"/>
  <c r="I144" i="9"/>
  <c r="V144" i="9" s="1"/>
  <c r="I249" i="9"/>
  <c r="V249" i="9" s="1"/>
  <c r="I121" i="9"/>
  <c r="V121" i="9" s="1"/>
  <c r="I238" i="9"/>
  <c r="V238" i="9" s="1"/>
  <c r="J99" i="7" l="1"/>
  <c r="I155" i="7"/>
  <c r="J153" i="7" s="1"/>
  <c r="K153" i="7" s="1"/>
  <c r="I4" i="9"/>
  <c r="V4" i="9" s="1"/>
  <c r="I24" i="9"/>
  <c r="I17" i="9"/>
  <c r="V17" i="9" s="1"/>
  <c r="V31" i="9"/>
  <c r="AB13" i="9" s="1" a="1"/>
  <c r="AB13" i="9" s="1"/>
  <c r="I19" i="9"/>
  <c r="V19" i="9" s="1"/>
  <c r="AB7" i="9" s="1" a="1"/>
  <c r="AB7" i="9" s="1"/>
  <c r="I23" i="9"/>
  <c r="V23" i="9" s="1"/>
  <c r="AB11" i="9" s="1" a="1"/>
  <c r="AB11" i="9" s="1"/>
  <c r="U65" i="9"/>
  <c r="I65" i="9"/>
  <c r="V65" i="9" s="1"/>
  <c r="I26" i="9"/>
  <c r="I21" i="9"/>
  <c r="V21" i="9" s="1"/>
  <c r="AB9" i="9" s="1" a="1"/>
  <c r="AB9" i="9" s="1"/>
  <c r="I27" i="9"/>
  <c r="V27" i="9" s="1"/>
  <c r="I73" i="9"/>
  <c r="V73" i="9" s="1"/>
  <c r="I72" i="9"/>
  <c r="V72" i="9" s="1"/>
  <c r="I128" i="7"/>
  <c r="J128" i="7" s="1"/>
  <c r="I36" i="7"/>
  <c r="I37" i="7"/>
  <c r="I107" i="7"/>
  <c r="J105" i="7" s="1"/>
  <c r="I67" i="9"/>
  <c r="V67" i="9" s="1"/>
  <c r="J77" i="7"/>
  <c r="K75" i="7" s="1"/>
  <c r="AN38" i="16" s="1"/>
  <c r="I115" i="9"/>
  <c r="V115" i="9" s="1"/>
  <c r="I28" i="9"/>
  <c r="V28" i="9" s="1"/>
  <c r="I70" i="9"/>
  <c r="V70" i="9" s="1"/>
  <c r="I79" i="9"/>
  <c r="V79" i="9" s="1"/>
  <c r="I3" i="9"/>
  <c r="V3" i="9" s="1"/>
  <c r="I20" i="9"/>
  <c r="V20" i="9" s="1"/>
  <c r="AB8" i="9" s="1" a="1"/>
  <c r="AB8" i="9" s="1"/>
  <c r="I18" i="9"/>
  <c r="V18" i="9" s="1"/>
  <c r="I78" i="9"/>
  <c r="V78" i="9" s="1"/>
  <c r="I25" i="9"/>
  <c r="V25" i="9" s="1"/>
  <c r="I69" i="9"/>
  <c r="V69" i="9" s="1"/>
  <c r="I71" i="9"/>
  <c r="V71" i="9" s="1"/>
  <c r="V324" i="9" s="1" a="1"/>
  <c r="V324" i="9" s="1"/>
  <c r="V325" i="9" s="1"/>
  <c r="I75" i="9"/>
  <c r="V75" i="9" s="1"/>
  <c r="I16" i="9"/>
  <c r="V16" i="9" s="1"/>
  <c r="U326" i="9"/>
  <c r="I15" i="9"/>
  <c r="V15" i="9" s="1"/>
  <c r="I80" i="9"/>
  <c r="V80" i="9" s="1"/>
  <c r="V331" i="9"/>
  <c r="V332" i="9"/>
  <c r="U344" i="9"/>
  <c r="AA60" i="9" s="1" a="1"/>
  <c r="AA60" i="9" s="1"/>
  <c r="U343" i="9"/>
  <c r="U337" i="9"/>
  <c r="U338" i="9"/>
  <c r="AA58" i="9" s="1" a="1"/>
  <c r="AA58" i="9" s="1"/>
  <c r="V329" i="9"/>
  <c r="V328" i="9"/>
  <c r="V334" i="9"/>
  <c r="V335" i="9"/>
  <c r="AB57" i="9" s="1" a="1"/>
  <c r="AB57" i="9" s="1"/>
  <c r="V87" i="9"/>
  <c r="I147" i="9"/>
  <c r="V147" i="9" s="1"/>
  <c r="I114" i="9"/>
  <c r="V114" i="9" s="1"/>
  <c r="I21" i="7"/>
  <c r="I22" i="7"/>
  <c r="I40" i="7"/>
  <c r="I119" i="7"/>
  <c r="I20" i="7"/>
  <c r="I41" i="7"/>
  <c r="I17" i="7"/>
  <c r="J14" i="7" s="1"/>
  <c r="I118" i="7"/>
  <c r="AM139" i="12"/>
  <c r="I27" i="7"/>
  <c r="J24" i="7" s="1"/>
  <c r="I293" i="9"/>
  <c r="V293" i="9" s="1"/>
  <c r="AB52" i="9" s="1" a="1"/>
  <c r="AB52" i="9" s="1"/>
  <c r="I119" i="9"/>
  <c r="V119" i="9" s="1"/>
  <c r="AN25" i="1"/>
  <c r="AM72" i="1"/>
  <c r="J46" i="7"/>
  <c r="AM73" i="1"/>
  <c r="I117" i="9"/>
  <c r="V117" i="9" s="1"/>
  <c r="J259" i="9"/>
  <c r="L259" i="9" s="1"/>
  <c r="AM48" i="3"/>
  <c r="I145" i="9"/>
  <c r="V145" i="9" s="1"/>
  <c r="I294" i="9"/>
  <c r="V294" i="9" s="1"/>
  <c r="AO204" i="11"/>
  <c r="AS204" i="11" s="1"/>
  <c r="AS213" i="11" s="1"/>
  <c r="AR204" i="11"/>
  <c r="AR213" i="11" s="1"/>
  <c r="I116" i="9"/>
  <c r="V116" i="9" s="1"/>
  <c r="I113" i="9"/>
  <c r="V113" i="9" s="1"/>
  <c r="I134" i="9"/>
  <c r="V134" i="9" s="1"/>
  <c r="J241" i="9"/>
  <c r="L241" i="9" s="1"/>
  <c r="I288" i="9"/>
  <c r="V288" i="9" s="1"/>
  <c r="V336" i="9" s="1" a="1"/>
  <c r="V336" i="9" s="1"/>
  <c r="I295" i="9"/>
  <c r="V295" i="9" s="1"/>
  <c r="AB53" i="9" s="1" a="1"/>
  <c r="AB53" i="9" s="1"/>
  <c r="I230" i="9"/>
  <c r="V230" i="9" s="1"/>
  <c r="I133" i="9"/>
  <c r="V133" i="9" s="1"/>
  <c r="I292" i="9"/>
  <c r="V292" i="9" s="1"/>
  <c r="AB51" i="9" s="1" a="1"/>
  <c r="AB51" i="9" s="1"/>
  <c r="I290" i="9"/>
  <c r="V290" i="9" s="1"/>
  <c r="V342" i="9" s="1" a="1"/>
  <c r="V342" i="9" s="1"/>
  <c r="I305" i="9"/>
  <c r="V305" i="9" s="1"/>
  <c r="I287" i="9"/>
  <c r="V287" i="9" s="1"/>
  <c r="I289" i="9"/>
  <c r="V289" i="9" s="1"/>
  <c r="V339" i="9" s="1" a="1"/>
  <c r="V339" i="9" s="1"/>
  <c r="I42" i="9"/>
  <c r="V42" i="9" s="1"/>
  <c r="AB21" i="9" s="1" a="1"/>
  <c r="AB21" i="9" s="1"/>
  <c r="J252" i="9"/>
  <c r="L252" i="9" s="1"/>
  <c r="I112" i="9"/>
  <c r="V112" i="9" s="1"/>
  <c r="I29" i="9"/>
  <c r="V29" i="9" s="1"/>
  <c r="AN21" i="2"/>
  <c r="AN15" i="1"/>
  <c r="AN15" i="2"/>
  <c r="AN11" i="1"/>
  <c r="AN17" i="1"/>
  <c r="J54" i="7"/>
  <c r="J42" i="7"/>
  <c r="J34" i="7"/>
  <c r="J32" i="7"/>
  <c r="I152" i="9"/>
  <c r="V152" i="9" s="1"/>
  <c r="J111" i="7"/>
  <c r="AN25" i="3"/>
  <c r="AO18" i="9" s="1"/>
  <c r="AM19" i="5"/>
  <c r="J157" i="7"/>
  <c r="AM25" i="4"/>
  <c r="J163" i="7"/>
  <c r="AM9" i="5"/>
  <c r="AM23" i="5"/>
  <c r="I304" i="9"/>
  <c r="V304" i="9" s="1"/>
  <c r="J137" i="7"/>
  <c r="J145" i="7"/>
  <c r="J159" i="7"/>
  <c r="J129" i="7"/>
  <c r="I306" i="9"/>
  <c r="V306" i="9" s="1"/>
  <c r="J141" i="7"/>
  <c r="AN25" i="2"/>
  <c r="AN56" i="2"/>
  <c r="AN17" i="3"/>
  <c r="J133" i="7"/>
  <c r="AL24" i="5"/>
  <c r="AM13" i="5"/>
  <c r="AP17" i="9"/>
  <c r="AM63" i="2"/>
  <c r="AO17" i="9"/>
  <c r="AM19" i="4"/>
  <c r="AL26" i="4"/>
  <c r="AO19" i="9"/>
  <c r="AM40" i="16" l="1"/>
  <c r="J26" i="9"/>
  <c r="L26" i="9" s="1"/>
  <c r="V24" i="9"/>
  <c r="J24" i="9"/>
  <c r="J31" i="9"/>
  <c r="L31" i="9" s="1"/>
  <c r="J36" i="7"/>
  <c r="V26" i="9"/>
  <c r="J19" i="9"/>
  <c r="L19" i="9" s="1"/>
  <c r="AE7" i="9"/>
  <c r="J15" i="9"/>
  <c r="L17" i="9" s="1"/>
  <c r="J3" i="9"/>
  <c r="L3" i="9" s="1"/>
  <c r="J65" i="9"/>
  <c r="L65" i="9" s="1"/>
  <c r="J25" i="9"/>
  <c r="L25" i="9" s="1"/>
  <c r="V326" i="9"/>
  <c r="AE8" i="9" s="1"/>
  <c r="V341" i="9"/>
  <c r="AB59" i="9" s="1" a="1"/>
  <c r="AB59" i="9" s="1"/>
  <c r="V340" i="9"/>
  <c r="V343" i="9"/>
  <c r="V344" i="9"/>
  <c r="AB60" i="9" s="1" a="1"/>
  <c r="AB60" i="9" s="1"/>
  <c r="V338" i="9"/>
  <c r="AB58" i="9" s="1" a="1"/>
  <c r="AB58" i="9" s="1"/>
  <c r="V337" i="9"/>
  <c r="J20" i="7"/>
  <c r="J321" i="9"/>
  <c r="L321" i="9" s="1"/>
  <c r="I321" i="9"/>
  <c r="J38" i="7"/>
  <c r="J117" i="7"/>
  <c r="K118" i="7" s="1"/>
  <c r="L117" i="7" s="1"/>
  <c r="J112" i="9"/>
  <c r="M5" i="9" s="1"/>
  <c r="J287" i="9"/>
  <c r="L287" i="9" s="1"/>
  <c r="AS19" i="9"/>
  <c r="AS18" i="9"/>
  <c r="AS17" i="9"/>
  <c r="AK28" i="4"/>
  <c r="AP18" i="9"/>
  <c r="J165" i="7" l="1"/>
  <c r="J167" i="7" s="1"/>
  <c r="N5" i="7" s="1"/>
  <c r="P5" i="7" s="1"/>
  <c r="L112" i="9"/>
  <c r="L24" i="9"/>
  <c r="M22" i="9"/>
  <c r="K6" i="7"/>
  <c r="L34" i="7" s="1"/>
  <c r="M15" i="9"/>
  <c r="AP19" i="9"/>
  <c r="AP22" i="9" s="1"/>
  <c r="AO22" i="9"/>
  <c r="AS22" i="9"/>
  <c r="K165" i="7" l="1"/>
  <c r="AT22" i="9"/>
  <c r="AT24" i="9" s="1"/>
  <c r="AL3" i="11" l="1"/>
  <c r="H239" i="9" s="1"/>
  <c r="U239" i="9" s="1"/>
  <c r="I239" i="9" l="1"/>
  <c r="V239" i="9" s="1"/>
  <c r="AE10" i="9" s="1"/>
  <c r="J239" i="9" l="1"/>
  <c r="L239" i="9" s="1"/>
  <c r="I308" i="9" l="1"/>
  <c r="V308" i="9" s="1"/>
  <c r="I307" i="9"/>
  <c r="V307" i="9" s="1"/>
  <c r="I311" i="9"/>
  <c r="V311" i="9" s="1"/>
  <c r="AB55" i="9" s="1" a="1"/>
  <c r="AB55" i="9" s="1"/>
  <c r="I310" i="9"/>
  <c r="V310" i="9" s="1"/>
  <c r="I309" i="9"/>
  <c r="V309" i="9" s="1"/>
  <c r="I312" i="9"/>
  <c r="V312" i="9" s="1"/>
  <c r="AB56" i="9" s="1" a="1"/>
  <c r="AB56" i="9" s="1"/>
  <c r="AB54" i="9" l="1" a="1"/>
  <c r="AB54" i="9" s="1"/>
  <c r="Z4" i="9" s="1"/>
  <c r="AE9" i="9"/>
  <c r="J307" i="9"/>
  <c r="I323" i="9" l="1"/>
  <c r="L307" i="9"/>
  <c r="L323" i="9"/>
  <c r="I95" i="9" l="1"/>
  <c r="V95" i="9" l="1"/>
  <c r="I96" i="9"/>
  <c r="V96" i="9" s="1"/>
  <c r="J91" i="9" l="1"/>
  <c r="M91" i="9" s="1"/>
  <c r="V94" i="9"/>
  <c r="L91" i="9" l="1"/>
  <c r="V93" i="9"/>
  <c r="AE11" i="9" s="1"/>
  <c r="AE12" i="9" s="1"/>
  <c r="L320" i="9"/>
  <c r="I320" i="9"/>
  <c r="I322" i="9" l="1"/>
  <c r="V320" i="9"/>
  <c r="J320" i="9"/>
  <c r="J322" i="9" s="1"/>
  <c r="K320" i="9"/>
  <c r="K322" i="9" s="1"/>
  <c r="N8" i="7" l="1"/>
  <c r="P8" i="7" s="1"/>
  <c r="L32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오륙</author>
  </authors>
  <commentList>
    <comment ref="G25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대표님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보고</t>
        </r>
      </text>
    </comment>
    <comment ref="F82" authorId="0" shapeId="0" xr:uid="{421F5D3D-21D9-44B4-847B-61AD47DD468C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불량소재외는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정상소재로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재입고예정</t>
        </r>
      </text>
    </comment>
    <comment ref="H90" authorId="0" shapeId="0" xr:uid="{FB795C7A-9738-4622-AF33-80322CDD18E9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
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소재매입분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이월
이월기간</t>
        </r>
        <r>
          <rPr>
            <b/>
            <sz val="9"/>
            <color indexed="81"/>
            <rFont val="Tahoma"/>
            <family val="2"/>
          </rPr>
          <t>-26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-27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 xml:space="preserve">월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회분할로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매월소재마감시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  <r>
          <rPr>
            <b/>
            <sz val="9"/>
            <color indexed="81"/>
            <rFont val="Tahoma"/>
            <family val="2"/>
          </rPr>
          <t>-6</t>
        </r>
        <r>
          <rPr>
            <b/>
            <sz val="9"/>
            <color indexed="81"/>
            <rFont val="돋움"/>
            <family val="3"/>
            <charset val="129"/>
          </rPr>
          <t>월부터금액은고정</t>
        </r>
        <r>
          <rPr>
            <b/>
            <sz val="9"/>
            <color indexed="81"/>
            <rFont val="Tahoma"/>
            <family val="2"/>
          </rPr>
          <t xml:space="preserve">-
</t>
        </r>
        <r>
          <rPr>
            <b/>
            <sz val="9"/>
            <color indexed="81"/>
            <rFont val="돋움"/>
            <family val="3"/>
            <charset val="129"/>
          </rPr>
          <t>김명진마감금액</t>
        </r>
        <r>
          <rPr>
            <b/>
            <sz val="9"/>
            <color indexed="81"/>
            <rFont val="Tahoma"/>
            <family val="2"/>
          </rPr>
          <t xml:space="preserve">   5,550,615
</t>
        </r>
        <r>
          <rPr>
            <b/>
            <sz val="9"/>
            <color indexed="81"/>
            <rFont val="돋움"/>
            <family val="3"/>
            <charset val="129"/>
          </rPr>
          <t>박수진마감금액</t>
        </r>
        <r>
          <rPr>
            <b/>
            <sz val="9"/>
            <color indexed="81"/>
            <rFont val="Tahoma"/>
            <family val="2"/>
          </rPr>
          <t xml:space="preserve"> 28,726,880
</t>
        </r>
        <r>
          <rPr>
            <b/>
            <sz val="9"/>
            <color indexed="81"/>
            <rFont val="돋움"/>
            <family val="3"/>
            <charset val="129"/>
          </rPr>
          <t>월합계</t>
        </r>
        <r>
          <rPr>
            <b/>
            <sz val="9"/>
            <color indexed="81"/>
            <rFont val="Tahoma"/>
            <family val="2"/>
          </rPr>
          <t>=34,277,496</t>
        </r>
      </text>
    </comment>
    <comment ref="F272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양선임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네트웍스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입력하기
오선임</t>
        </r>
        <r>
          <rPr>
            <sz val="9"/>
            <color indexed="81"/>
            <rFont val="Tahoma"/>
            <family val="2"/>
          </rPr>
          <t>--</t>
        </r>
        <r>
          <rPr>
            <sz val="9"/>
            <color indexed="81"/>
            <rFont val="돋움"/>
            <family val="3"/>
            <charset val="129"/>
          </rPr>
          <t>네트웍스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입력하기</t>
        </r>
      </text>
    </comment>
    <comment ref="G282" authorId="0" shapeId="0" xr:uid="{3FBB587A-AE87-44DD-B860-9CBE6E1BCD1D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26.7.1 </t>
        </r>
        <r>
          <rPr>
            <sz val="9"/>
            <color indexed="81"/>
            <rFont val="돋움"/>
            <family val="3"/>
            <charset val="129"/>
          </rPr>
          <t>단가인상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오륙</author>
  </authors>
  <commentList>
    <comment ref="B18" authorId="0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네트웍스로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</text>
    </comment>
    <comment ref="F24" authorId="0" shapeId="0" xr:uid="{F0A09C1B-2DF1-42F9-A756-9A7C26FCC26A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187-213 26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B120" authorId="0" shapeId="0" xr:uid="{00000000-0006-0000-0A00-000001000000}">
      <text>
        <r>
          <rPr>
            <b/>
            <sz val="9"/>
            <color indexed="81"/>
            <rFont val="돋움"/>
            <family val="3"/>
            <charset val="129"/>
          </rPr>
          <t>오륙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유한인터텍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타스인터내셔널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상호변경</t>
        </r>
      </text>
    </comment>
  </commentList>
</comments>
</file>

<file path=xl/sharedStrings.xml><?xml version="1.0" encoding="utf-8"?>
<sst xmlns="http://schemas.openxmlformats.org/spreadsheetml/2006/main" count="4713" uniqueCount="2282">
  <si>
    <t>Q65034087</t>
  </si>
  <si>
    <t>Q65034097</t>
  </si>
  <si>
    <t>군수10톤 OTR BELT RH</t>
  </si>
  <si>
    <t>MDX5068912</t>
  </si>
  <si>
    <t>MDX5068913</t>
  </si>
  <si>
    <t>MDX5068914</t>
  </si>
  <si>
    <t>구분</t>
    <phoneticPr fontId="8" type="noConversion"/>
  </si>
  <si>
    <t>TOTAL</t>
    <phoneticPr fontId="8" type="noConversion"/>
  </si>
  <si>
    <t>FRT LH</t>
    <phoneticPr fontId="8" type="noConversion"/>
  </si>
  <si>
    <t>82540-2P000</t>
    <phoneticPr fontId="8" type="noConversion"/>
  </si>
  <si>
    <t>RR RH</t>
    <phoneticPr fontId="8" type="noConversion"/>
  </si>
  <si>
    <t>803310407R</t>
    <phoneticPr fontId="11" type="noConversion"/>
  </si>
  <si>
    <t>823314048R</t>
    <phoneticPr fontId="8" type="noConversion"/>
  </si>
  <si>
    <t>VI</t>
    <phoneticPr fontId="8" type="noConversion"/>
  </si>
  <si>
    <t>82241-3N000</t>
    <phoneticPr fontId="8" type="noConversion"/>
  </si>
  <si>
    <t>83231-3N000</t>
    <phoneticPr fontId="8" type="noConversion"/>
  </si>
  <si>
    <t>83241-3N000</t>
    <phoneticPr fontId="8" type="noConversion"/>
  </si>
  <si>
    <t>업체명</t>
    <phoneticPr fontId="8" type="noConversion"/>
  </si>
  <si>
    <t>PCM 1호</t>
    <phoneticPr fontId="8" type="noConversion"/>
  </si>
  <si>
    <t>PCM 2호</t>
  </si>
  <si>
    <t>83441-8K601</t>
  </si>
  <si>
    <t>군수10톤 OTR BELT LH</t>
  </si>
  <si>
    <t>M300F</t>
  </si>
  <si>
    <t>자재코드</t>
  </si>
  <si>
    <t>품명 및 규격</t>
  </si>
  <si>
    <t>단위</t>
  </si>
  <si>
    <t>구매처</t>
  </si>
  <si>
    <t>Kg</t>
  </si>
  <si>
    <t>M</t>
  </si>
  <si>
    <t>심금STS430A 0.4*45.5</t>
  </si>
  <si>
    <t>SANTOPRENE 123-52W242</t>
  </si>
  <si>
    <t>순서</t>
  </si>
  <si>
    <t>EA</t>
  </si>
  <si>
    <t>CLIP 82210-4E000(WHITE)</t>
  </si>
  <si>
    <t>CLIP 82220-4E000(YELLOW)</t>
  </si>
  <si>
    <t>EG END CAP ①</t>
  </si>
  <si>
    <t>거승플라테크</t>
  </si>
  <si>
    <t>EG END CAP ②</t>
  </si>
  <si>
    <t>EG END CAP ③</t>
  </si>
  <si>
    <t>EG END CAP ④</t>
  </si>
  <si>
    <t>W-3 END CAP 大 (LH)</t>
  </si>
  <si>
    <t>W-3 END CAP 大 (RH)</t>
  </si>
  <si>
    <t>W-3 D/CAB END CAP ①</t>
  </si>
  <si>
    <t>W-3 D/CAB END CAP ②</t>
  </si>
  <si>
    <t>철CLIP(84379-43001)</t>
  </si>
  <si>
    <t>한텍테크놀리지</t>
  </si>
  <si>
    <t>건화플라테크</t>
  </si>
  <si>
    <t>EA</t>
    <phoneticPr fontId="8" type="noConversion"/>
  </si>
  <si>
    <t>QZ CORNER COVER LH</t>
  </si>
  <si>
    <t>QZ CORNER COVER RH</t>
  </si>
  <si>
    <t>박스</t>
    <phoneticPr fontId="8" type="noConversion"/>
  </si>
  <si>
    <t>스폰지패드 5*8*40</t>
    <phoneticPr fontId="8" type="noConversion"/>
  </si>
  <si>
    <t>비  고</t>
    <phoneticPr fontId="8" type="noConversion"/>
  </si>
  <si>
    <t>QZ</t>
    <phoneticPr fontId="8" type="noConversion"/>
  </si>
  <si>
    <t>PCM</t>
    <phoneticPr fontId="8" type="noConversion"/>
  </si>
  <si>
    <t>Excel OPEning</t>
  </si>
  <si>
    <t>W-3</t>
    <phoneticPr fontId="8" type="noConversion"/>
  </si>
  <si>
    <t>PU</t>
    <phoneticPr fontId="8" type="noConversion"/>
  </si>
  <si>
    <t>우진금속</t>
  </si>
  <si>
    <t>121-70B230</t>
  </si>
  <si>
    <t>㈜화승 T&amp;C</t>
  </si>
  <si>
    <t>㈜ 화승알앤에이</t>
  </si>
  <si>
    <t>청구</t>
  </si>
  <si>
    <t>EPDM PAD (10T*10W*40L)</t>
  </si>
  <si>
    <t>EPDM PAD (10T*15W*20L)</t>
  </si>
  <si>
    <t>NBR PAD (2x6x115)</t>
  </si>
  <si>
    <t>NBR PAD (2x6x85)</t>
  </si>
  <si>
    <t>EPDM PAD (5T*7W*35L)</t>
  </si>
  <si>
    <t>EPDM PAD (10T*4W*14L)</t>
  </si>
  <si>
    <t>JA</t>
    <phoneticPr fontId="8" type="noConversion"/>
  </si>
  <si>
    <t>121-62M100</t>
  </si>
  <si>
    <t>PD</t>
    <phoneticPr fontId="8" type="noConversion"/>
  </si>
  <si>
    <t>G/RUN FRT LH</t>
  </si>
  <si>
    <t>G/RUN FRT RH</t>
  </si>
  <si>
    <t>삼랑진</t>
  </si>
  <si>
    <t>121-80W175</t>
  </si>
  <si>
    <t>납품실적</t>
    <phoneticPr fontId="8" type="noConversion"/>
  </si>
  <si>
    <t>공정</t>
    <phoneticPr fontId="8" type="noConversion"/>
  </si>
  <si>
    <t>차종</t>
    <phoneticPr fontId="8" type="noConversion"/>
  </si>
  <si>
    <t>고객품번</t>
    <phoneticPr fontId="8" type="noConversion"/>
  </si>
  <si>
    <t>P/NAME</t>
    <phoneticPr fontId="8" type="noConversion"/>
  </si>
  <si>
    <t>판매단가</t>
    <phoneticPr fontId="11" type="noConversion"/>
  </si>
  <si>
    <t>매출금액</t>
    <phoneticPr fontId="8" type="noConversion"/>
  </si>
  <si>
    <t>PVC</t>
    <phoneticPr fontId="8" type="noConversion"/>
  </si>
  <si>
    <t>OTR CHAN LH</t>
    <phoneticPr fontId="8" type="noConversion"/>
  </si>
  <si>
    <t>OTR CHAN RH</t>
    <phoneticPr fontId="8" type="noConversion"/>
  </si>
  <si>
    <t>GV</t>
    <phoneticPr fontId="8" type="noConversion"/>
  </si>
  <si>
    <t>QZ CAR OUT BELT</t>
    <phoneticPr fontId="8" type="noConversion"/>
  </si>
  <si>
    <t>VT</t>
    <phoneticPr fontId="8" type="noConversion"/>
  </si>
  <si>
    <t>81151-5H000</t>
    <phoneticPr fontId="8" type="noConversion"/>
  </si>
  <si>
    <t>INR CHAN LH</t>
    <phoneticPr fontId="8" type="noConversion"/>
  </si>
  <si>
    <t>81161-5H000</t>
    <phoneticPr fontId="8" type="noConversion"/>
  </si>
  <si>
    <t>INR CHAN RH</t>
    <phoneticPr fontId="8" type="noConversion"/>
  </si>
  <si>
    <t>EG</t>
    <phoneticPr fontId="8" type="noConversion"/>
  </si>
  <si>
    <t>81151-7A000</t>
    <phoneticPr fontId="8" type="noConversion"/>
  </si>
  <si>
    <t>81161-7A000</t>
    <phoneticPr fontId="8" type="noConversion"/>
  </si>
  <si>
    <t>A-1</t>
    <phoneticPr fontId="8" type="noConversion"/>
  </si>
  <si>
    <t>87857-4A100</t>
    <phoneticPr fontId="8" type="noConversion"/>
  </si>
  <si>
    <t>TRIM OP'G LH(신)</t>
    <phoneticPr fontId="8" type="noConversion"/>
  </si>
  <si>
    <t>87867-4A100</t>
    <phoneticPr fontId="8" type="noConversion"/>
  </si>
  <si>
    <t>TRIM OP'G RH(신)</t>
    <phoneticPr fontId="8" type="noConversion"/>
  </si>
  <si>
    <t>87857-4A000</t>
    <phoneticPr fontId="8" type="noConversion"/>
  </si>
  <si>
    <t>TRIM OP'G LH(구)</t>
    <phoneticPr fontId="8" type="noConversion"/>
  </si>
  <si>
    <t>87867-4A000</t>
    <phoneticPr fontId="8" type="noConversion"/>
  </si>
  <si>
    <t>TRIM OP'G RH(구)</t>
    <phoneticPr fontId="8" type="noConversion"/>
  </si>
  <si>
    <t>DA/LA</t>
    <phoneticPr fontId="8" type="noConversion"/>
  </si>
  <si>
    <t>P94 581 950</t>
    <phoneticPr fontId="8" type="noConversion"/>
  </si>
  <si>
    <t>PROT HEATER</t>
    <phoneticPr fontId="8" type="noConversion"/>
  </si>
  <si>
    <t>P94 588 239</t>
    <phoneticPr fontId="8" type="noConversion"/>
  </si>
  <si>
    <t>PROT DRYER</t>
    <phoneticPr fontId="8" type="noConversion"/>
  </si>
  <si>
    <t>P94 586 275</t>
    <phoneticPr fontId="8" type="noConversion"/>
  </si>
  <si>
    <t>CTR PLR OP'G</t>
    <phoneticPr fontId="8" type="noConversion"/>
  </si>
  <si>
    <t>P94 586 535</t>
    <phoneticPr fontId="8" type="noConversion"/>
  </si>
  <si>
    <t>ROOF RAIL(소)</t>
    <phoneticPr fontId="8" type="noConversion"/>
  </si>
  <si>
    <t>P94 586 532</t>
    <phoneticPr fontId="8" type="noConversion"/>
  </si>
  <si>
    <t>ROOF RAIL(대)</t>
    <phoneticPr fontId="8" type="noConversion"/>
  </si>
  <si>
    <t>0K60A 58 810</t>
    <phoneticPr fontId="8" type="noConversion"/>
  </si>
  <si>
    <t>OTR CHAN  RH</t>
    <phoneticPr fontId="8" type="noConversion"/>
  </si>
  <si>
    <t>0K60A 59 810</t>
    <phoneticPr fontId="8" type="noConversion"/>
  </si>
  <si>
    <t>OTR CHAN  LH</t>
    <phoneticPr fontId="8" type="noConversion"/>
  </si>
  <si>
    <t>0K60N 72 810</t>
    <phoneticPr fontId="8" type="noConversion"/>
  </si>
  <si>
    <t>OTR CHAN  RH(D/C)</t>
    <phoneticPr fontId="8" type="noConversion"/>
  </si>
  <si>
    <t>0K60N 73 810</t>
    <phoneticPr fontId="8" type="noConversion"/>
  </si>
  <si>
    <t>OTR CHAN  LH(D/C)</t>
    <phoneticPr fontId="8" type="noConversion"/>
  </si>
  <si>
    <t>0K60N 72 820</t>
    <phoneticPr fontId="8" type="noConversion"/>
  </si>
  <si>
    <t>0K60N 73 820</t>
    <phoneticPr fontId="8" type="noConversion"/>
  </si>
  <si>
    <t>TOWNER</t>
    <phoneticPr fontId="8" type="noConversion"/>
  </si>
  <si>
    <t>AA110 58 821</t>
    <phoneticPr fontId="8" type="noConversion"/>
  </si>
  <si>
    <t>INR CHAN FRT</t>
    <phoneticPr fontId="8" type="noConversion"/>
  </si>
  <si>
    <t>AA112 72 821</t>
    <phoneticPr fontId="8" type="noConversion"/>
  </si>
  <si>
    <t>INR CHAN RR LH</t>
    <phoneticPr fontId="8" type="noConversion"/>
  </si>
  <si>
    <t>AA112 73 821</t>
    <phoneticPr fontId="8" type="noConversion"/>
  </si>
  <si>
    <t>INR CHAN RR RH</t>
    <phoneticPr fontId="8" type="noConversion"/>
  </si>
  <si>
    <t>AA110 58 811</t>
    <phoneticPr fontId="8" type="noConversion"/>
  </si>
  <si>
    <t>OTR CHAN FRT LH</t>
    <phoneticPr fontId="8" type="noConversion"/>
  </si>
  <si>
    <t>AA110 59 811</t>
    <phoneticPr fontId="8" type="noConversion"/>
  </si>
  <si>
    <t>OTR CHAN FRT RH</t>
    <phoneticPr fontId="8" type="noConversion"/>
  </si>
  <si>
    <t>AA112 72 811</t>
    <phoneticPr fontId="8" type="noConversion"/>
  </si>
  <si>
    <t>OTR CHAN RR LH</t>
    <phoneticPr fontId="8" type="noConversion"/>
  </si>
  <si>
    <t>AA112 73 811</t>
    <phoneticPr fontId="8" type="noConversion"/>
  </si>
  <si>
    <t>OTR CHAN RR RH</t>
    <phoneticPr fontId="8" type="noConversion"/>
  </si>
  <si>
    <t>T-100</t>
    <phoneticPr fontId="8" type="noConversion"/>
  </si>
  <si>
    <t>P96352078</t>
    <phoneticPr fontId="8" type="noConversion"/>
  </si>
  <si>
    <t>COVER A-FLANGE</t>
    <phoneticPr fontId="8" type="noConversion"/>
  </si>
  <si>
    <t>AU</t>
    <phoneticPr fontId="8" type="noConversion"/>
  </si>
  <si>
    <t>83150-4B000</t>
    <phoneticPr fontId="8" type="noConversion"/>
  </si>
  <si>
    <t>T/OPEN'G</t>
    <phoneticPr fontId="8" type="noConversion"/>
  </si>
  <si>
    <t>GRACE</t>
    <phoneticPr fontId="8" type="noConversion"/>
  </si>
  <si>
    <t>84413-43001</t>
    <phoneticPr fontId="8" type="noConversion"/>
  </si>
  <si>
    <t>84413-43500</t>
    <phoneticPr fontId="8" type="noConversion"/>
  </si>
  <si>
    <t>84415-43001</t>
    <phoneticPr fontId="8" type="noConversion"/>
  </si>
  <si>
    <t>MX</t>
    <phoneticPr fontId="8" type="noConversion"/>
  </si>
  <si>
    <t>82110-02000OB</t>
    <phoneticPr fontId="8" type="noConversion"/>
  </si>
  <si>
    <t>B/SIDE FRT</t>
    <phoneticPr fontId="8" type="noConversion"/>
  </si>
  <si>
    <t>83110-02000OB</t>
    <phoneticPr fontId="8" type="noConversion"/>
  </si>
  <si>
    <t>B/SIDE RR</t>
    <phoneticPr fontId="8" type="noConversion"/>
  </si>
  <si>
    <t>MXL</t>
    <phoneticPr fontId="8" type="noConversion"/>
  </si>
  <si>
    <t>83110-06000OB</t>
    <phoneticPr fontId="8" type="noConversion"/>
  </si>
  <si>
    <t>BESTA</t>
    <phoneticPr fontId="8" type="noConversion"/>
  </si>
  <si>
    <t>0K70A 68911</t>
    <phoneticPr fontId="8" type="noConversion"/>
  </si>
  <si>
    <t>84248-8C000</t>
    <phoneticPr fontId="8" type="noConversion"/>
  </si>
  <si>
    <t>CY 벨트라인(VT INR C/O)</t>
    <phoneticPr fontId="8" type="noConversion"/>
  </si>
  <si>
    <t>B-3</t>
    <phoneticPr fontId="8" type="noConversion"/>
  </si>
  <si>
    <t>0K30A59821</t>
    <phoneticPr fontId="8" type="noConversion"/>
  </si>
  <si>
    <t>B-3 INR CHANNEL FRT LH</t>
    <phoneticPr fontId="8" type="noConversion"/>
  </si>
  <si>
    <t>0K30A58821</t>
    <phoneticPr fontId="8" type="noConversion"/>
  </si>
  <si>
    <t>B-3 INR CHANNEL FRT RH</t>
    <phoneticPr fontId="8" type="noConversion"/>
  </si>
  <si>
    <t>0K30A73821</t>
    <phoneticPr fontId="8" type="noConversion"/>
  </si>
  <si>
    <t>B-3 INR CHANNEL RR LH</t>
    <phoneticPr fontId="8" type="noConversion"/>
  </si>
  <si>
    <t>0K30A72821</t>
    <phoneticPr fontId="8" type="noConversion"/>
  </si>
  <si>
    <t>B-3 INR CHANNEL RR RH</t>
    <phoneticPr fontId="8" type="noConversion"/>
  </si>
  <si>
    <t>군수10톤</t>
    <phoneticPr fontId="8" type="noConversion"/>
  </si>
  <si>
    <t>군수10톤 OTR BELT LH</t>
    <phoneticPr fontId="8" type="noConversion"/>
  </si>
  <si>
    <t>Q65080947</t>
    <phoneticPr fontId="8" type="noConversion"/>
  </si>
  <si>
    <t>군수품 PINCH WELT</t>
    <phoneticPr fontId="8" type="noConversion"/>
  </si>
  <si>
    <t>BT-57</t>
    <phoneticPr fontId="8" type="noConversion"/>
  </si>
  <si>
    <t>MDX5068911</t>
    <phoneticPr fontId="8" type="noConversion"/>
  </si>
  <si>
    <t>SEAM'G WELT 5DR FRT</t>
    <phoneticPr fontId="8" type="noConversion"/>
  </si>
  <si>
    <t>SEAM'G WELT 5DR RR</t>
    <phoneticPr fontId="8" type="noConversion"/>
  </si>
  <si>
    <t>화승품번</t>
    <phoneticPr fontId="8" type="noConversion"/>
  </si>
  <si>
    <t>TPE</t>
    <phoneticPr fontId="8" type="noConversion"/>
  </si>
  <si>
    <t>HR</t>
    <phoneticPr fontId="8" type="noConversion"/>
  </si>
  <si>
    <t>G/RUN FRT LH</t>
    <phoneticPr fontId="8" type="noConversion"/>
  </si>
  <si>
    <t>G/RUN FRT RH</t>
    <phoneticPr fontId="8" type="noConversion"/>
  </si>
  <si>
    <t>G/RUN RR LH</t>
    <phoneticPr fontId="8" type="noConversion"/>
  </si>
  <si>
    <t>G/RUN RR RH</t>
    <phoneticPr fontId="8" type="noConversion"/>
  </si>
  <si>
    <t>JB</t>
    <phoneticPr fontId="8" type="noConversion"/>
  </si>
  <si>
    <t>82530-1G000</t>
    <phoneticPr fontId="8" type="noConversion"/>
  </si>
  <si>
    <t>82540-1G000</t>
    <phoneticPr fontId="8" type="noConversion"/>
  </si>
  <si>
    <t>83531-1G000</t>
    <phoneticPr fontId="8" type="noConversion"/>
  </si>
  <si>
    <t>G/RUN RR LH(4DR)</t>
    <phoneticPr fontId="8" type="noConversion"/>
  </si>
  <si>
    <t>83541-1G000</t>
    <phoneticPr fontId="8" type="noConversion"/>
  </si>
  <si>
    <t>G/RUN RR RH(4DR)</t>
    <phoneticPr fontId="8" type="noConversion"/>
  </si>
  <si>
    <t>83531-1G200</t>
    <phoneticPr fontId="8" type="noConversion"/>
  </si>
  <si>
    <t>G/RUN RR LH(5DR)</t>
    <phoneticPr fontId="8" type="noConversion"/>
  </si>
  <si>
    <t>83541-1G200</t>
    <phoneticPr fontId="8" type="noConversion"/>
  </si>
  <si>
    <t>G/RUN RR RH(5DR)</t>
    <phoneticPr fontId="8" type="noConversion"/>
  </si>
  <si>
    <t>JA</t>
    <phoneticPr fontId="7" type="noConversion"/>
  </si>
  <si>
    <t>BL</t>
    <phoneticPr fontId="8" type="noConversion"/>
  </si>
  <si>
    <t>AUX-SEAL</t>
    <phoneticPr fontId="7" type="noConversion"/>
  </si>
  <si>
    <t>11000903-00</t>
    <phoneticPr fontId="7" type="noConversion"/>
  </si>
  <si>
    <t>FS</t>
    <phoneticPr fontId="8" type="noConversion"/>
  </si>
  <si>
    <t>82130-2V000</t>
    <phoneticPr fontId="8" type="noConversion"/>
  </si>
  <si>
    <t>82140-2V000</t>
    <phoneticPr fontId="8" type="noConversion"/>
  </si>
  <si>
    <t>83140-2V000</t>
    <phoneticPr fontId="8" type="noConversion"/>
  </si>
  <si>
    <t>82140-2V900</t>
    <phoneticPr fontId="8" type="noConversion"/>
  </si>
  <si>
    <t>82130-2V900</t>
    <phoneticPr fontId="8" type="noConversion"/>
  </si>
  <si>
    <t>83130-2V900</t>
    <phoneticPr fontId="8" type="noConversion"/>
  </si>
  <si>
    <t>PD</t>
    <phoneticPr fontId="46" type="noConversion"/>
  </si>
  <si>
    <t>TNCOL</t>
    <phoneticPr fontId="8" type="noConversion"/>
  </si>
  <si>
    <t>XM</t>
    <phoneticPr fontId="8" type="noConversion"/>
  </si>
  <si>
    <t>82530-2P000</t>
    <phoneticPr fontId="11" type="noConversion"/>
  </si>
  <si>
    <t>FRT RH</t>
    <phoneticPr fontId="8" type="noConversion"/>
  </si>
  <si>
    <t>83530-2P000</t>
    <phoneticPr fontId="8" type="noConversion"/>
  </si>
  <si>
    <t>RR LH</t>
    <phoneticPr fontId="8" type="noConversion"/>
  </si>
  <si>
    <t>83540-2P000</t>
    <phoneticPr fontId="8" type="noConversion"/>
  </si>
  <si>
    <t>H45</t>
    <phoneticPr fontId="8" type="noConversion"/>
  </si>
  <si>
    <t>803300148R</t>
    <phoneticPr fontId="8" type="noConversion"/>
  </si>
  <si>
    <t>823307754R</t>
    <phoneticPr fontId="8" type="noConversion"/>
  </si>
  <si>
    <t>HI</t>
    <phoneticPr fontId="8" type="noConversion"/>
  </si>
  <si>
    <t>82231-D2000</t>
    <phoneticPr fontId="7" type="noConversion"/>
  </si>
  <si>
    <t>82241-D2000</t>
    <phoneticPr fontId="7" type="noConversion"/>
  </si>
  <si>
    <t>83231-D2000</t>
    <phoneticPr fontId="7" type="noConversion"/>
  </si>
  <si>
    <t>83241-D2000</t>
    <phoneticPr fontId="7" type="noConversion"/>
  </si>
  <si>
    <t>83231-D2500</t>
    <phoneticPr fontId="7" type="noConversion"/>
  </si>
  <si>
    <t>83241-D2500</t>
    <phoneticPr fontId="7" type="noConversion"/>
  </si>
  <si>
    <t>82231-3N000</t>
    <phoneticPr fontId="11" type="noConversion"/>
  </si>
  <si>
    <t>83231-3N500</t>
    <phoneticPr fontId="8" type="noConversion"/>
  </si>
  <si>
    <t>83241-3N500</t>
    <phoneticPr fontId="8" type="noConversion"/>
  </si>
  <si>
    <t>EPDM</t>
    <phoneticPr fontId="8" type="noConversion"/>
  </si>
  <si>
    <t>M200</t>
    <phoneticPr fontId="8" type="noConversion"/>
  </si>
  <si>
    <t>P96 601 512</t>
    <phoneticPr fontId="11" type="noConversion"/>
  </si>
  <si>
    <t>P96 601 513</t>
    <phoneticPr fontId="8" type="noConversion"/>
  </si>
  <si>
    <t>P96 601 514</t>
    <phoneticPr fontId="8" type="noConversion"/>
  </si>
  <si>
    <t>P96 601 515</t>
    <phoneticPr fontId="8" type="noConversion"/>
  </si>
  <si>
    <t>M300
KD</t>
    <phoneticPr fontId="8" type="noConversion"/>
  </si>
  <si>
    <t xml:space="preserve">RR LH </t>
    <phoneticPr fontId="8" type="noConversion"/>
  </si>
  <si>
    <t>M300
F</t>
    <phoneticPr fontId="8" type="noConversion"/>
  </si>
  <si>
    <t>RR LH(신)</t>
    <phoneticPr fontId="8" type="noConversion"/>
  </si>
  <si>
    <t>RR RH(신)</t>
    <phoneticPr fontId="8" type="noConversion"/>
  </si>
  <si>
    <t>9515 7180</t>
    <phoneticPr fontId="44" type="noConversion"/>
  </si>
  <si>
    <t>RR LH(구)</t>
    <phoneticPr fontId="8" type="noConversion"/>
  </si>
  <si>
    <t>9515 7181</t>
    <phoneticPr fontId="44" type="noConversion"/>
  </si>
  <si>
    <t xml:space="preserve">RR RH(구) </t>
    <phoneticPr fontId="8" type="noConversion"/>
  </si>
  <si>
    <t>M300
MCE</t>
    <phoneticPr fontId="8" type="noConversion"/>
  </si>
  <si>
    <t>화승T&amp;C</t>
    <phoneticPr fontId="8" type="noConversion"/>
  </si>
  <si>
    <t>EN D/SIDE B FRT</t>
    <phoneticPr fontId="8" type="noConversion"/>
  </si>
  <si>
    <t>EN D/SIDE B RR</t>
    <phoneticPr fontId="8" type="noConversion"/>
  </si>
  <si>
    <t>J-300  FRT HOOD</t>
    <phoneticPr fontId="8" type="noConversion"/>
  </si>
  <si>
    <t>TQPLUG(11.8*3T)</t>
    <phoneticPr fontId="8" type="noConversion"/>
  </si>
  <si>
    <t>FC PLUG(9.7*2T)</t>
    <phoneticPr fontId="8" type="noConversion"/>
  </si>
  <si>
    <t>GM D/SIDE FRT(J309)</t>
    <phoneticPr fontId="8" type="noConversion"/>
  </si>
  <si>
    <t>GM D/SIDE RR(J309)</t>
    <phoneticPr fontId="8" type="noConversion"/>
  </si>
  <si>
    <t>MPV-7  HOOD(J309)</t>
    <phoneticPr fontId="8" type="noConversion"/>
  </si>
  <si>
    <t>MPV-7 D/SIDE FRT</t>
    <phoneticPr fontId="8" type="noConversion"/>
  </si>
  <si>
    <t>MPV-7 D/SIDE RR</t>
    <phoneticPr fontId="8" type="noConversion"/>
  </si>
  <si>
    <t>VF 무절단</t>
    <phoneticPr fontId="8" type="noConversion"/>
  </si>
  <si>
    <t>PF D/SIDE무절단</t>
    <phoneticPr fontId="8" type="noConversion"/>
  </si>
  <si>
    <t>VF RR "B"(4DR)2730mm</t>
    <phoneticPr fontId="8" type="noConversion"/>
  </si>
  <si>
    <t>VF RR "B"(5DR)2770mm</t>
    <phoneticPr fontId="8" type="noConversion"/>
  </si>
  <si>
    <t>㈜화승T&amp;C 
TOTAL수량</t>
    <phoneticPr fontId="8" type="noConversion"/>
  </si>
  <si>
    <t>㈜화승T&amp;C 
매출금액</t>
    <phoneticPr fontId="8" type="noConversion"/>
  </si>
  <si>
    <t>GM 무절단</t>
    <phoneticPr fontId="8" type="noConversion"/>
  </si>
  <si>
    <t>RP "B"단면 무절단</t>
    <phoneticPr fontId="8" type="noConversion"/>
  </si>
  <si>
    <t>LM 무절단 "B"</t>
    <phoneticPr fontId="8" type="noConversion"/>
  </si>
  <si>
    <t>SC HOOD</t>
    <phoneticPr fontId="8" type="noConversion"/>
  </si>
  <si>
    <t>유일고무㈜</t>
    <phoneticPr fontId="8" type="noConversion"/>
  </si>
  <si>
    <t>ETRUNK</t>
    <phoneticPr fontId="8" type="noConversion"/>
  </si>
  <si>
    <t>E86431-1E000</t>
    <phoneticPr fontId="8" type="noConversion"/>
  </si>
  <si>
    <t>수승화학</t>
    <phoneticPr fontId="8" type="noConversion"/>
  </si>
  <si>
    <t>개발비</t>
    <phoneticPr fontId="8" type="noConversion"/>
  </si>
  <si>
    <t xml:space="preserve"> W/STRIP </t>
    <phoneticPr fontId="8" type="noConversion"/>
  </si>
  <si>
    <t>CM W/STRIP ASS'Y</t>
    <phoneticPr fontId="8" type="noConversion"/>
  </si>
  <si>
    <t>한새산업</t>
    <phoneticPr fontId="8" type="noConversion"/>
  </si>
  <si>
    <t>대성종합상사</t>
    <phoneticPr fontId="8" type="noConversion"/>
  </si>
  <si>
    <t>엑셀오프닝</t>
    <phoneticPr fontId="8" type="noConversion"/>
  </si>
  <si>
    <t>DD1614</t>
    <phoneticPr fontId="8" type="noConversion"/>
  </si>
  <si>
    <t>금강사</t>
    <phoneticPr fontId="8" type="noConversion"/>
  </si>
  <si>
    <t>반달스폰지</t>
    <phoneticPr fontId="8" type="noConversion"/>
  </si>
  <si>
    <t>매출합계</t>
    <phoneticPr fontId="8" type="noConversion"/>
  </si>
  <si>
    <t>PCM 소계</t>
    <phoneticPr fontId="8" type="noConversion"/>
  </si>
  <si>
    <t>상품 소계</t>
    <phoneticPr fontId="8" type="noConversion"/>
  </si>
  <si>
    <t>임가공 소계</t>
    <phoneticPr fontId="8" type="noConversion"/>
  </si>
  <si>
    <t>M300
(KD)</t>
    <phoneticPr fontId="8" type="noConversion"/>
  </si>
  <si>
    <t>VI 리무진</t>
    <phoneticPr fontId="8" type="noConversion"/>
  </si>
  <si>
    <t>TOTAL (PVC+TPE+TNC+EPDM)</t>
    <phoneticPr fontId="8" type="noConversion"/>
  </si>
  <si>
    <t>PCM TOTAL</t>
    <phoneticPr fontId="8" type="noConversion"/>
  </si>
  <si>
    <t>M300</t>
    <phoneticPr fontId="8" type="noConversion"/>
  </si>
  <si>
    <t>공급가액</t>
    <phoneticPr fontId="8" type="noConversion"/>
  </si>
  <si>
    <t>단가</t>
    <phoneticPr fontId="8" type="noConversion"/>
  </si>
  <si>
    <t>구매량</t>
    <phoneticPr fontId="8" type="noConversion"/>
  </si>
  <si>
    <t>금액</t>
    <phoneticPr fontId="8" type="noConversion"/>
  </si>
  <si>
    <t>심  금</t>
    <phoneticPr fontId="8" type="noConversion"/>
  </si>
  <si>
    <t>VT INR</t>
    <phoneticPr fontId="8" type="noConversion"/>
  </si>
  <si>
    <t>0.45*30</t>
    <phoneticPr fontId="8" type="noConversion"/>
  </si>
  <si>
    <t>유일고무,CTR</t>
    <phoneticPr fontId="8" type="noConversion"/>
  </si>
  <si>
    <t>㈜부미</t>
    <phoneticPr fontId="8" type="noConversion"/>
  </si>
  <si>
    <t>0.5*30</t>
    <phoneticPr fontId="8" type="noConversion"/>
  </si>
  <si>
    <t>0.5*21.3</t>
    <phoneticPr fontId="8" type="noConversion"/>
  </si>
  <si>
    <t>0.5*34</t>
    <phoneticPr fontId="8" type="noConversion"/>
  </si>
  <si>
    <t>M</t>
    <phoneticPr fontId="8" type="noConversion"/>
  </si>
  <si>
    <t>압연심금 0.45*28</t>
    <phoneticPr fontId="8" type="noConversion"/>
  </si>
  <si>
    <t>알피아이코리아</t>
    <phoneticPr fontId="8" type="noConversion"/>
  </si>
  <si>
    <t>심금STS430A 0.5*34</t>
    <phoneticPr fontId="8" type="noConversion"/>
  </si>
  <si>
    <t>COMPOUND SD#75 BK</t>
    <phoneticPr fontId="8" type="noConversion"/>
  </si>
  <si>
    <t>PVC(PU)</t>
    <phoneticPr fontId="8" type="noConversion"/>
  </si>
  <si>
    <t>COMPOUND SD#75 GY</t>
    <phoneticPr fontId="8" type="noConversion"/>
  </si>
  <si>
    <t>루플레일</t>
    <phoneticPr fontId="8" type="noConversion"/>
  </si>
  <si>
    <t>COMPOUND WM-317/LF</t>
    <phoneticPr fontId="8" type="noConversion"/>
  </si>
  <si>
    <t>KG</t>
    <phoneticPr fontId="8" type="noConversion"/>
  </si>
  <si>
    <t>W60921</t>
    <phoneticPr fontId="8" type="noConversion"/>
  </si>
  <si>
    <t>FS 조인트제</t>
    <phoneticPr fontId="8" type="noConversion"/>
  </si>
  <si>
    <t>B-3 INR LIP</t>
    <phoneticPr fontId="8" type="noConversion"/>
  </si>
  <si>
    <t>세진SL</t>
    <phoneticPr fontId="8" type="noConversion"/>
  </si>
  <si>
    <t>M1412</t>
    <phoneticPr fontId="8" type="noConversion"/>
  </si>
  <si>
    <t>대하</t>
    <phoneticPr fontId="8" type="noConversion"/>
  </si>
  <si>
    <t>부   자   재</t>
    <phoneticPr fontId="8" type="noConversion"/>
  </si>
  <si>
    <t>CAP 82210-4E000</t>
    <phoneticPr fontId="8" type="noConversion"/>
  </si>
  <si>
    <t>CAP 82220-4E000</t>
    <phoneticPr fontId="8" type="noConversion"/>
  </si>
  <si>
    <t>PU D/C END CAP①</t>
    <phoneticPr fontId="8" type="noConversion"/>
  </si>
  <si>
    <t>PU D/C END CAP②</t>
    <phoneticPr fontId="8" type="noConversion"/>
  </si>
  <si>
    <t>PU D/C END CAP③</t>
    <phoneticPr fontId="8" type="noConversion"/>
  </si>
  <si>
    <t>PU D/C END CAP④</t>
    <phoneticPr fontId="8" type="noConversion"/>
  </si>
  <si>
    <t>EG CLIP(W)</t>
    <phoneticPr fontId="8" type="noConversion"/>
  </si>
  <si>
    <t>EG/GV
공용</t>
    <phoneticPr fontId="8" type="noConversion"/>
  </si>
  <si>
    <t>EG CLIP(Y)</t>
    <phoneticPr fontId="8" type="noConversion"/>
  </si>
  <si>
    <t>GV END CAP LH-X</t>
    <phoneticPr fontId="8" type="noConversion"/>
  </si>
  <si>
    <t>GV END CAP RH-X</t>
    <phoneticPr fontId="8" type="noConversion"/>
  </si>
  <si>
    <t>GV END CAP LH-Y</t>
    <phoneticPr fontId="8" type="noConversion"/>
  </si>
  <si>
    <t>GV END CAP RH-Y</t>
    <phoneticPr fontId="8" type="noConversion"/>
  </si>
  <si>
    <t>W-3 CLIP(GREEN)</t>
    <phoneticPr fontId="8" type="noConversion"/>
  </si>
  <si>
    <t>W-3 CLIP(WHITE)</t>
    <phoneticPr fontId="8" type="noConversion"/>
  </si>
  <si>
    <t>W-3 CLIP(Y)</t>
    <phoneticPr fontId="8" type="noConversion"/>
  </si>
  <si>
    <t>W-3 CLIP(B)</t>
    <phoneticPr fontId="8" type="noConversion"/>
  </si>
  <si>
    <t>W-3 CLIP(R)</t>
    <phoneticPr fontId="8" type="noConversion"/>
  </si>
  <si>
    <t>C001</t>
    <phoneticPr fontId="8" type="noConversion"/>
  </si>
  <si>
    <t>DA/LA
센터필라</t>
    <phoneticPr fontId="8" type="noConversion"/>
  </si>
  <si>
    <t>C002</t>
    <phoneticPr fontId="8" type="noConversion"/>
  </si>
  <si>
    <t>EPDM PAD 5*10*70</t>
    <phoneticPr fontId="8" type="noConversion"/>
  </si>
  <si>
    <t>GS-034 MOUNTING CLIP</t>
    <phoneticPr fontId="8" type="noConversion"/>
  </si>
  <si>
    <t>EPDM PAD 5*17*70(LH)</t>
    <phoneticPr fontId="8" type="noConversion"/>
  </si>
  <si>
    <t>EPDM PAD 5*17*70(RH)</t>
    <phoneticPr fontId="8" type="noConversion"/>
  </si>
  <si>
    <t>3101-0257(BL CLIP)</t>
    <phoneticPr fontId="8" type="noConversion"/>
  </si>
  <si>
    <t>EPDM PAD 3*6*40</t>
    <phoneticPr fontId="8" type="noConversion"/>
  </si>
  <si>
    <t>EPDM PAD 5*6*65</t>
    <phoneticPr fontId="8" type="noConversion"/>
  </si>
  <si>
    <t>EPDM (고) PAD 3*8*80</t>
    <phoneticPr fontId="8" type="noConversion"/>
  </si>
  <si>
    <t>FS-CAR CTR SEAL CLIP</t>
    <phoneticPr fontId="8" type="noConversion"/>
  </si>
  <si>
    <t>FS INSERT 수지 FRT LH(LHD)</t>
    <phoneticPr fontId="8" type="noConversion"/>
  </si>
  <si>
    <t>FS INSERT 수지 FRT RH(LHD)</t>
    <phoneticPr fontId="8" type="noConversion"/>
  </si>
  <si>
    <t>FS INSERT 수지 RR RH(LHD)</t>
    <phoneticPr fontId="8" type="noConversion"/>
  </si>
  <si>
    <t>FS INSERT 수지 FRT LH(RHD)</t>
    <phoneticPr fontId="8" type="noConversion"/>
  </si>
  <si>
    <t>FS INSERT 수지 FRT RH(RHD)</t>
    <phoneticPr fontId="8" type="noConversion"/>
  </si>
  <si>
    <t>FS INSERT 수지 RR LH(RHD)</t>
    <phoneticPr fontId="8" type="noConversion"/>
  </si>
  <si>
    <t>PLG020090(200mm)</t>
    <phoneticPr fontId="8" type="noConversion"/>
  </si>
  <si>
    <t>BUTYL PAD 1*8*125(LHD)</t>
    <phoneticPr fontId="8" type="noConversion"/>
  </si>
  <si>
    <t>BUTYL PAD 1*8*125(RHD)</t>
    <phoneticPr fontId="8" type="noConversion"/>
  </si>
  <si>
    <t>BUTYL 1*8*30</t>
    <phoneticPr fontId="8" type="noConversion"/>
  </si>
  <si>
    <t>특수 CLIP GS-038 82132-38000</t>
    <phoneticPr fontId="8" type="noConversion"/>
  </si>
  <si>
    <t>일반 CLIP GS-073 (GR)</t>
    <phoneticPr fontId="8" type="noConversion"/>
  </si>
  <si>
    <t>일반 CLIP GS-073 (BR)</t>
    <phoneticPr fontId="8" type="noConversion"/>
  </si>
  <si>
    <t>일반 CLIP GS-073 (OR)</t>
    <phoneticPr fontId="8" type="noConversion"/>
  </si>
  <si>
    <t>NF CLIP OR 86472-3K000</t>
    <phoneticPr fontId="8" type="noConversion"/>
  </si>
  <si>
    <t>특수 CLIP GS-039 OR 82133-37000</t>
    <phoneticPr fontId="8" type="noConversion"/>
  </si>
  <si>
    <t>DENNISON PIN</t>
    <phoneticPr fontId="8" type="noConversion"/>
  </si>
  <si>
    <t>GS-024 MOUNTING CLIP</t>
    <phoneticPr fontId="8" type="noConversion"/>
  </si>
  <si>
    <t>DCX DS ROOP CLIP(RE)</t>
    <phoneticPr fontId="8" type="noConversion"/>
  </si>
  <si>
    <t>DS</t>
    <phoneticPr fontId="8" type="noConversion"/>
  </si>
  <si>
    <t>DCX DS ROOP CLIP(BL)</t>
    <phoneticPr fontId="8" type="noConversion"/>
  </si>
  <si>
    <t>DCX DS ROOP CLIP(WH)</t>
    <phoneticPr fontId="8" type="noConversion"/>
  </si>
  <si>
    <t>DCX DS ROOP CLIP(YE)</t>
    <phoneticPr fontId="8" type="noConversion"/>
  </si>
  <si>
    <t>CLIP,D/S A-PLR MOLD(BLACK)</t>
    <phoneticPr fontId="8" type="noConversion"/>
  </si>
  <si>
    <t>CLIP,D/S B-PLR MOLD(BLACK)</t>
    <phoneticPr fontId="8" type="noConversion"/>
  </si>
  <si>
    <t>DCX DS  D/S CLIP(GR)</t>
    <phoneticPr fontId="8" type="noConversion"/>
  </si>
  <si>
    <t>M46-0595-02(국산 BLACK)</t>
    <phoneticPr fontId="8" type="noConversion"/>
  </si>
  <si>
    <t>WK/KL</t>
    <phoneticPr fontId="8" type="noConversion"/>
  </si>
  <si>
    <t>M46-0580-02(ITW-보라색)</t>
    <phoneticPr fontId="8" type="noConversion"/>
  </si>
  <si>
    <t>M46-0580-02(ITW-빨간색)</t>
    <phoneticPr fontId="8" type="noConversion"/>
  </si>
  <si>
    <t>M46-0580-02(ITW-노란색)</t>
    <phoneticPr fontId="8" type="noConversion"/>
  </si>
  <si>
    <t>M46-0580-02(ITW-파랑색)</t>
    <phoneticPr fontId="8" type="noConversion"/>
  </si>
  <si>
    <t>건화</t>
    <phoneticPr fontId="43" type="noConversion"/>
  </si>
  <si>
    <t>EA</t>
    <phoneticPr fontId="43" type="noConversion"/>
  </si>
  <si>
    <t>QZ</t>
    <phoneticPr fontId="43" type="noConversion"/>
  </si>
  <si>
    <t>건화플라테크</t>
    <phoneticPr fontId="43" type="noConversion"/>
  </si>
  <si>
    <t>EPDM PAD (4T*4W*30L)</t>
    <phoneticPr fontId="8" type="noConversion"/>
  </si>
  <si>
    <t>WC CUTTER(초경톱날)</t>
    <phoneticPr fontId="8" type="noConversion"/>
  </si>
  <si>
    <t>한성다이아몬드</t>
    <phoneticPr fontId="8" type="noConversion"/>
  </si>
  <si>
    <t>네트웍스</t>
    <phoneticPr fontId="8" type="noConversion"/>
  </si>
  <si>
    <t>케미록 휠타지</t>
    <phoneticPr fontId="8" type="noConversion"/>
  </si>
  <si>
    <t>SHEET</t>
    <phoneticPr fontId="8" type="noConversion"/>
  </si>
  <si>
    <t>말</t>
    <phoneticPr fontId="8" type="noConversion"/>
  </si>
  <si>
    <t>케미록</t>
    <phoneticPr fontId="8" type="noConversion"/>
  </si>
  <si>
    <t>경화제</t>
    <phoneticPr fontId="8" type="noConversion"/>
  </si>
  <si>
    <t>본드</t>
    <phoneticPr fontId="8" type="noConversion"/>
  </si>
  <si>
    <t>이형제 800-NC</t>
    <phoneticPr fontId="8" type="noConversion"/>
  </si>
  <si>
    <t>박스(24개)</t>
    <phoneticPr fontId="8" type="noConversion"/>
  </si>
  <si>
    <t>타스</t>
    <phoneticPr fontId="8" type="noConversion"/>
  </si>
  <si>
    <t>절단가위 SX-10</t>
    <phoneticPr fontId="8" type="noConversion"/>
  </si>
  <si>
    <t>절단가위 날 SX-10</t>
    <phoneticPr fontId="8" type="noConversion"/>
  </si>
  <si>
    <t>절단가위 수지판 SX-10</t>
    <phoneticPr fontId="8" type="noConversion"/>
  </si>
  <si>
    <t>사상가위</t>
    <phoneticPr fontId="8" type="noConversion"/>
  </si>
  <si>
    <t>캔</t>
    <phoneticPr fontId="8" type="noConversion"/>
  </si>
  <si>
    <t>HSX-9600-1(경화제)</t>
    <phoneticPr fontId="8" type="noConversion"/>
  </si>
  <si>
    <t>HSY-6800-1</t>
    <phoneticPr fontId="8" type="noConversion"/>
  </si>
  <si>
    <t>PR-405(희석제)</t>
    <phoneticPr fontId="8" type="noConversion"/>
  </si>
  <si>
    <t>HSP-500-2</t>
    <phoneticPr fontId="8" type="noConversion"/>
  </si>
  <si>
    <t>PR - 520</t>
    <phoneticPr fontId="8" type="noConversion"/>
  </si>
  <si>
    <t>HS-100W-1</t>
    <phoneticPr fontId="8" type="noConversion"/>
  </si>
  <si>
    <t>HSH-9604</t>
    <phoneticPr fontId="8" type="noConversion"/>
  </si>
  <si>
    <t>스폰지패드 3*20*60</t>
    <phoneticPr fontId="8" type="noConversion"/>
  </si>
  <si>
    <t>스폰지패드 3*20*40</t>
    <phoneticPr fontId="8" type="noConversion"/>
  </si>
  <si>
    <t>스폰지패드 3*5*80</t>
    <phoneticPr fontId="8" type="noConversion"/>
  </si>
  <si>
    <t>스폰지패드 3*5*100</t>
    <phoneticPr fontId="8" type="noConversion"/>
  </si>
  <si>
    <t>순서</t>
    <phoneticPr fontId="8" type="noConversion"/>
  </si>
  <si>
    <t>부미</t>
    <phoneticPr fontId="8" type="noConversion"/>
  </si>
  <si>
    <t>압연심금 0.45*28(부미)</t>
    <phoneticPr fontId="8" type="noConversion"/>
  </si>
  <si>
    <t>우진금속</t>
    <phoneticPr fontId="8" type="noConversion"/>
  </si>
  <si>
    <t>COMPOUND SD#75 BK(흑색)</t>
    <phoneticPr fontId="8" type="noConversion"/>
  </si>
  <si>
    <t>COMPOUND SD#82 BK</t>
    <phoneticPr fontId="8" type="noConversion"/>
  </si>
  <si>
    <t>장유</t>
    <phoneticPr fontId="7" type="noConversion"/>
  </si>
  <si>
    <t>삼랑진</t>
    <phoneticPr fontId="7" type="noConversion"/>
  </si>
  <si>
    <t>121-67W175</t>
    <phoneticPr fontId="7" type="noConversion"/>
  </si>
  <si>
    <t>M</t>
    <phoneticPr fontId="7" type="noConversion"/>
  </si>
  <si>
    <t xml:space="preserve">0.6*36  </t>
    <phoneticPr fontId="7" type="noConversion"/>
  </si>
  <si>
    <t>0.5*32(연질)</t>
    <phoneticPr fontId="7" type="noConversion"/>
  </si>
  <si>
    <t>건
화</t>
    <phoneticPr fontId="8" type="noConversion"/>
  </si>
  <si>
    <t>건화플라테크</t>
    <phoneticPr fontId="8" type="noConversion"/>
  </si>
  <si>
    <t>일반 CLIP GS-073(GR)</t>
    <phoneticPr fontId="8" type="noConversion"/>
  </si>
  <si>
    <t>일반 CLIP GS-073(BR)</t>
    <phoneticPr fontId="8" type="noConversion"/>
  </si>
  <si>
    <t>일반 CLIP GS-073(OR)</t>
    <phoneticPr fontId="8" type="noConversion"/>
  </si>
  <si>
    <t>EPDM PAD (5T*7W*35L)</t>
    <phoneticPr fontId="7" type="noConversion"/>
  </si>
  <si>
    <t>EPDM PAD (10T*4W*14L)</t>
    <phoneticPr fontId="7" type="noConversion"/>
  </si>
  <si>
    <t>DCX DS D/S CLIP(GR)</t>
    <phoneticPr fontId="8" type="noConversion"/>
  </si>
  <si>
    <t>M46-0580-02(ITW-오렌지)</t>
    <phoneticPr fontId="8" type="noConversion"/>
  </si>
  <si>
    <t>거승플라테크</t>
    <phoneticPr fontId="8" type="noConversion"/>
  </si>
  <si>
    <t>우봉</t>
    <phoneticPr fontId="8" type="noConversion"/>
  </si>
  <si>
    <t>EPDM PAD (10T*10W*40L)</t>
    <phoneticPr fontId="8" type="noConversion"/>
  </si>
  <si>
    <t>순간접착제 OS-252</t>
    <phoneticPr fontId="8" type="noConversion"/>
  </si>
  <si>
    <t>코리아e플랫폼</t>
    <phoneticPr fontId="8" type="noConversion"/>
  </si>
  <si>
    <t>우봉</t>
    <phoneticPr fontId="7" type="noConversion"/>
  </si>
  <si>
    <t>EPDM PAD (10T*15W*20L)</t>
    <phoneticPr fontId="8" type="noConversion"/>
  </si>
  <si>
    <t>EPDM PAD (10T*40W*30L)</t>
    <phoneticPr fontId="7" type="noConversion"/>
  </si>
  <si>
    <t>EPDM PAD (10T*40W*70L)</t>
    <phoneticPr fontId="7" type="noConversion"/>
  </si>
  <si>
    <t>EPDM PAD(5*10*40)</t>
    <phoneticPr fontId="8" type="noConversion"/>
  </si>
  <si>
    <t>EPDM PAD 10*20*30</t>
    <phoneticPr fontId="8" type="noConversion"/>
  </si>
  <si>
    <t>EPDM PAD(5*10*50)</t>
    <phoneticPr fontId="8" type="noConversion"/>
  </si>
  <si>
    <t>EPDM PAD(5*10*30)</t>
    <phoneticPr fontId="8" type="noConversion"/>
  </si>
  <si>
    <t>삼도산업</t>
    <phoneticPr fontId="7" type="noConversion"/>
  </si>
  <si>
    <t>EA</t>
    <phoneticPr fontId="7" type="noConversion"/>
  </si>
  <si>
    <t>NO.</t>
    <phoneticPr fontId="8" type="noConversion"/>
  </si>
  <si>
    <t>발행일</t>
    <phoneticPr fontId="8" type="noConversion"/>
  </si>
  <si>
    <t>품목</t>
    <phoneticPr fontId="8" type="noConversion"/>
  </si>
  <si>
    <t>세액</t>
    <phoneticPr fontId="8" type="noConversion"/>
  </si>
  <si>
    <t>합계금액</t>
    <phoneticPr fontId="8" type="noConversion"/>
  </si>
  <si>
    <t>영수,청구</t>
    <phoneticPr fontId="8" type="noConversion"/>
  </si>
  <si>
    <t>청구</t>
    <phoneticPr fontId="8" type="noConversion"/>
  </si>
  <si>
    <t>대성종합 상사</t>
    <phoneticPr fontId="8" type="noConversion"/>
  </si>
  <si>
    <t>임가공</t>
    <phoneticPr fontId="8" type="noConversion"/>
  </si>
  <si>
    <t>합          계</t>
    <phoneticPr fontId="8" type="noConversion"/>
  </si>
  <si>
    <t>단가</t>
    <phoneticPr fontId="191" type="noConversion"/>
  </si>
  <si>
    <t>공급가액</t>
    <phoneticPr fontId="191" type="noConversion"/>
  </si>
  <si>
    <t>M</t>
    <phoneticPr fontId="191" type="noConversion"/>
  </si>
  <si>
    <t>비닐</t>
    <phoneticPr fontId="191" type="noConversion"/>
  </si>
  <si>
    <t>1식</t>
    <phoneticPr fontId="191" type="noConversion"/>
  </si>
  <si>
    <t>82231-D2000</t>
  </si>
  <si>
    <t>82241-D2000</t>
  </si>
  <si>
    <t>83231-D2000</t>
  </si>
  <si>
    <t>83241-D2000</t>
  </si>
  <si>
    <t>83231-D2500</t>
  </si>
  <si>
    <t>83241-D2500</t>
  </si>
  <si>
    <t>G/RUN RR LH</t>
  </si>
  <si>
    <t>G/RUN RR RH</t>
  </si>
  <si>
    <t>BL</t>
    <phoneticPr fontId="7" type="noConversion"/>
  </si>
  <si>
    <t>82516-3E000</t>
  </si>
  <si>
    <t>82526-3E000</t>
  </si>
  <si>
    <t>83530-3E000</t>
  </si>
  <si>
    <t>83540-3E000</t>
  </si>
  <si>
    <t>82530-G3000</t>
  </si>
  <si>
    <t>82540-G3000</t>
  </si>
  <si>
    <t>83530-3G000</t>
  </si>
  <si>
    <t>83540-G3000</t>
  </si>
  <si>
    <t>D/SIDE FR LH</t>
    <phoneticPr fontId="8" type="noConversion"/>
  </si>
  <si>
    <t>D/SIDE FR RH</t>
    <phoneticPr fontId="8" type="noConversion"/>
  </si>
  <si>
    <t>D/SIDE RR RH</t>
    <phoneticPr fontId="8" type="noConversion"/>
  </si>
  <si>
    <t>FR RH(RHD)</t>
    <phoneticPr fontId="8" type="noConversion"/>
  </si>
  <si>
    <t>FR LH(RHD)</t>
    <phoneticPr fontId="8" type="noConversion"/>
  </si>
  <si>
    <t>RR RH(RHD)</t>
    <phoneticPr fontId="8" type="noConversion"/>
  </si>
  <si>
    <t>INR BELT FRT LH</t>
    <phoneticPr fontId="8" type="noConversion"/>
  </si>
  <si>
    <t>INR BELT FRT RH</t>
    <phoneticPr fontId="8" type="noConversion"/>
  </si>
  <si>
    <t>INR BELT RR LH</t>
    <phoneticPr fontId="8" type="noConversion"/>
  </si>
  <si>
    <t>INR BELT RR RH</t>
    <phoneticPr fontId="8" type="noConversion"/>
  </si>
  <si>
    <t xml:space="preserve">LIFT GATE UPR </t>
    <phoneticPr fontId="7" type="noConversion"/>
  </si>
  <si>
    <t>HI 리무진</t>
    <phoneticPr fontId="8" type="noConversion"/>
  </si>
  <si>
    <t>EPDM PAD (10T*40W*30L)</t>
    <phoneticPr fontId="8" type="noConversion"/>
  </si>
  <si>
    <t>EPDM PAD (10T*40W*70L)</t>
    <phoneticPr fontId="8" type="noConversion"/>
  </si>
  <si>
    <t>삼도
산업</t>
    <phoneticPr fontId="8" type="noConversion"/>
  </si>
  <si>
    <t>삼도산업</t>
    <phoneticPr fontId="8" type="noConversion"/>
  </si>
  <si>
    <t>JA 슬립제</t>
    <phoneticPr fontId="8" type="noConversion"/>
  </si>
  <si>
    <t>HR,JB 메인제</t>
    <phoneticPr fontId="8" type="noConversion"/>
  </si>
  <si>
    <t xml:space="preserve">JA/JB 공용 </t>
    <phoneticPr fontId="8" type="noConversion"/>
  </si>
  <si>
    <t>Q65034097</t>
    <phoneticPr fontId="7" type="noConversion"/>
  </si>
  <si>
    <t>군수10톤 OTR BELT RH</t>
    <phoneticPr fontId="7" type="noConversion"/>
  </si>
  <si>
    <t>Q65080947</t>
  </si>
  <si>
    <t>군수품 PINCH WELT</t>
  </si>
  <si>
    <t>TOTAL
(원/부자재)</t>
    <phoneticPr fontId="8" type="noConversion"/>
  </si>
  <si>
    <t>TOTAL
(기타매입)</t>
    <phoneticPr fontId="8" type="noConversion"/>
  </si>
  <si>
    <t>컷터칼(小)</t>
    <phoneticPr fontId="8" type="noConversion"/>
  </si>
  <si>
    <t>칼날(小)</t>
    <phoneticPr fontId="8" type="noConversion"/>
  </si>
  <si>
    <t>젤러펜 은색 0.7MM</t>
    <phoneticPr fontId="8" type="noConversion"/>
  </si>
  <si>
    <t>SHELL 텔라스 S2 M #46</t>
    <phoneticPr fontId="191" type="noConversion"/>
  </si>
  <si>
    <t>200L</t>
    <phoneticPr fontId="8" type="noConversion"/>
  </si>
  <si>
    <t>HR/JA 슬립제</t>
  </si>
  <si>
    <t>W-3 END CAP 小 (RH)</t>
    <phoneticPr fontId="7" type="noConversion"/>
  </si>
  <si>
    <t>W-3 END CAP 小 (LH)</t>
    <phoneticPr fontId="7" type="noConversion"/>
  </si>
  <si>
    <t>S6073RN4</t>
    <phoneticPr fontId="8" type="noConversion"/>
  </si>
  <si>
    <t>HD</t>
    <phoneticPr fontId="191" type="noConversion"/>
  </si>
  <si>
    <t>0.05*450</t>
    <phoneticPr fontId="191" type="noConversion"/>
  </si>
  <si>
    <t>150*457</t>
    <phoneticPr fontId="191" type="noConversion"/>
  </si>
  <si>
    <t>W60593$W3</t>
    <phoneticPr fontId="8" type="noConversion"/>
  </si>
  <si>
    <t>DT S/SEAL</t>
    <phoneticPr fontId="8" type="noConversion"/>
  </si>
  <si>
    <t>M46-0600-02 (BLACK)</t>
  </si>
  <si>
    <t>M46-0580-02 (WHITE)</t>
  </si>
  <si>
    <t>M46-0580-02 (GREEN)</t>
  </si>
  <si>
    <t>M46-0580-02 (ORANGE)</t>
  </si>
  <si>
    <t>M46-0580-02 (BLUE)</t>
  </si>
  <si>
    <t>DT</t>
    <phoneticPr fontId="8" type="noConversion"/>
  </si>
  <si>
    <t>FCA DT INSERT RH R부</t>
  </si>
  <si>
    <t>FCA DT INSERT LH R부</t>
  </si>
  <si>
    <t>FCA DT INSERT RH S부</t>
  </si>
  <si>
    <t>FCA DT INSERT LH S부</t>
  </si>
  <si>
    <t>M46-0580-01 (WHITE)</t>
    <phoneticPr fontId="7" type="noConversion"/>
  </si>
  <si>
    <t xml:space="preserve">JA 구리 동선 </t>
  </si>
  <si>
    <t xml:space="preserve">PN M46-0600-02-BLACK </t>
  </si>
  <si>
    <t>GH508(BLACK)</t>
    <phoneticPr fontId="7" type="noConversion"/>
  </si>
  <si>
    <t>조은초경</t>
    <phoneticPr fontId="8" type="noConversion"/>
  </si>
  <si>
    <t>순간접착제 OS-252</t>
  </si>
  <si>
    <t>캔(6Kg)</t>
    <phoneticPr fontId="8" type="noConversion"/>
  </si>
  <si>
    <t>캔(900g)</t>
    <phoneticPr fontId="8" type="noConversion"/>
  </si>
  <si>
    <t>캔(15kg)</t>
    <phoneticPr fontId="8" type="noConversion"/>
  </si>
  <si>
    <t>캔(6kg)</t>
    <phoneticPr fontId="8" type="noConversion"/>
  </si>
  <si>
    <t>EPDM PAD (6T*12W*45/56L)</t>
    <phoneticPr fontId="8" type="noConversion"/>
  </si>
  <si>
    <t>M46-0580-01 (WHITE)</t>
    <phoneticPr fontId="8" type="noConversion"/>
  </si>
  <si>
    <t>PVC</t>
    <phoneticPr fontId="7" type="noConversion"/>
  </si>
  <si>
    <t>그외</t>
    <phoneticPr fontId="7" type="noConversion"/>
  </si>
  <si>
    <t>JA HR</t>
    <phoneticPr fontId="8" type="noConversion"/>
  </si>
  <si>
    <t>매출</t>
    <phoneticPr fontId="8" type="noConversion"/>
  </si>
  <si>
    <t>매입</t>
    <phoneticPr fontId="8" type="noConversion"/>
  </si>
  <si>
    <t>KL HOOD(2264원)</t>
    <phoneticPr fontId="8" type="noConversion"/>
  </si>
  <si>
    <t>장유매출</t>
    <phoneticPr fontId="8" type="noConversion"/>
  </si>
  <si>
    <t>인건비</t>
    <phoneticPr fontId="8" type="noConversion"/>
  </si>
  <si>
    <t>인원</t>
    <phoneticPr fontId="8" type="noConversion"/>
  </si>
  <si>
    <t>기타경비</t>
    <phoneticPr fontId="8" type="noConversion"/>
  </si>
  <si>
    <t>0.5*32(연질아연도금)</t>
    <phoneticPr fontId="8" type="noConversion"/>
  </si>
  <si>
    <t xml:space="preserve"> </t>
    <phoneticPr fontId="44" type="noConversion"/>
  </si>
  <si>
    <t>EG,GV,QZ OUT</t>
    <phoneticPr fontId="8" type="noConversion"/>
  </si>
  <si>
    <t>2215N01215</t>
  </si>
  <si>
    <t>2215N01215</t>
    <phoneticPr fontId="8" type="noConversion"/>
  </si>
  <si>
    <t>접착제 SC-P-1512</t>
    <phoneticPr fontId="8" type="noConversion"/>
  </si>
  <si>
    <t>2215N01214</t>
  </si>
  <si>
    <t>2215N01214</t>
    <phoneticPr fontId="8" type="noConversion"/>
  </si>
  <si>
    <t>BOND SC-H-50</t>
    <phoneticPr fontId="8" type="noConversion"/>
  </si>
  <si>
    <t>2215N01213</t>
  </si>
  <si>
    <t>2215N01213</t>
    <phoneticPr fontId="8" type="noConversion"/>
  </si>
  <si>
    <t>SC-B-4550</t>
    <phoneticPr fontId="8" type="noConversion"/>
  </si>
  <si>
    <t>국산화</t>
    <phoneticPr fontId="8" type="noConversion"/>
  </si>
  <si>
    <t>T300 JOINT CLIP BK</t>
    <phoneticPr fontId="8" type="noConversion"/>
  </si>
  <si>
    <t>T300 JOINT CLIP BK</t>
    <phoneticPr fontId="7" type="noConversion"/>
  </si>
  <si>
    <t>SC-B-4550(본드)</t>
    <phoneticPr fontId="7" type="noConversion"/>
  </si>
  <si>
    <t>BOND SC-H-50(경화제)</t>
    <phoneticPr fontId="7" type="noConversion"/>
  </si>
  <si>
    <t>접착제 SC-P-1512(케미록)</t>
    <phoneticPr fontId="7" type="noConversion"/>
  </si>
  <si>
    <t xml:space="preserve">                                </t>
    <phoneticPr fontId="8" type="noConversion"/>
  </si>
  <si>
    <t>HSL-770K-2(주제)</t>
    <phoneticPr fontId="8" type="noConversion"/>
  </si>
  <si>
    <t>아이제코리아</t>
    <phoneticPr fontId="191" type="noConversion"/>
  </si>
  <si>
    <t>ADDITIVE-5191J-(1X1L)</t>
    <phoneticPr fontId="191" type="noConversion"/>
  </si>
  <si>
    <t>EA</t>
    <phoneticPr fontId="191" type="noConversion"/>
  </si>
  <si>
    <t>R/L</t>
    <phoneticPr fontId="191" type="noConversion"/>
  </si>
  <si>
    <t>패드</t>
    <phoneticPr fontId="191" type="noConversion"/>
  </si>
  <si>
    <t>1040*385</t>
    <phoneticPr fontId="191" type="noConversion"/>
  </si>
  <si>
    <t>(주)경기금속</t>
    <phoneticPr fontId="8" type="noConversion"/>
  </si>
  <si>
    <t>우성테크</t>
    <phoneticPr fontId="191" type="noConversion"/>
  </si>
  <si>
    <t>Piston Comp수리/휀모터외</t>
    <phoneticPr fontId="191" type="noConversion"/>
  </si>
  <si>
    <t>케미록휠타지(양모)</t>
    <phoneticPr fontId="191" type="noConversion"/>
  </si>
  <si>
    <t>1500*2000*25</t>
    <phoneticPr fontId="191" type="noConversion"/>
  </si>
  <si>
    <t>말</t>
    <phoneticPr fontId="191" type="noConversion"/>
  </si>
  <si>
    <t>1000*1000*20T</t>
    <phoneticPr fontId="191" type="noConversion"/>
  </si>
  <si>
    <t>에탄올</t>
    <phoneticPr fontId="191" type="noConversion"/>
  </si>
  <si>
    <t xml:space="preserve">SHELL 회전압축기 코레나 </t>
    <phoneticPr fontId="191" type="noConversion"/>
  </si>
  <si>
    <t>S3 R #32(20L)</t>
    <phoneticPr fontId="191" type="noConversion"/>
  </si>
  <si>
    <t>P/L</t>
    <phoneticPr fontId="191" type="noConversion"/>
  </si>
  <si>
    <t>형제전기</t>
    <phoneticPr fontId="191" type="noConversion"/>
  </si>
  <si>
    <t>금형히터 외</t>
    <phoneticPr fontId="191" type="noConversion"/>
  </si>
  <si>
    <t>140*140*90</t>
    <phoneticPr fontId="191" type="noConversion"/>
  </si>
  <si>
    <t>명가엔지니어링</t>
    <phoneticPr fontId="191" type="noConversion"/>
  </si>
  <si>
    <t>850*400*200</t>
    <phoneticPr fontId="191" type="noConversion"/>
  </si>
  <si>
    <t>삼신포장</t>
    <phoneticPr fontId="191" type="noConversion"/>
  </si>
  <si>
    <t xml:space="preserve"> 삼랑진</t>
  </si>
  <si>
    <t>동은테크</t>
    <phoneticPr fontId="191" type="noConversion"/>
  </si>
  <si>
    <t>M.C 가이드</t>
    <phoneticPr fontId="191" type="noConversion"/>
  </si>
  <si>
    <t>150 L</t>
    <phoneticPr fontId="191" type="noConversion"/>
  </si>
  <si>
    <t>톨루엔</t>
    <phoneticPr fontId="191" type="noConversion"/>
  </si>
  <si>
    <t>군수10톤(EG)</t>
    <phoneticPr fontId="8" type="noConversion"/>
  </si>
  <si>
    <t>비닐</t>
  </si>
  <si>
    <t>인동윤활유</t>
  </si>
  <si>
    <t>S1 M #46</t>
    <phoneticPr fontId="191" type="noConversion"/>
  </si>
  <si>
    <t>Shell 하이드로릭(신,내마모성유압작동유)</t>
    <phoneticPr fontId="191" type="noConversion"/>
  </si>
  <si>
    <t xml:space="preserve">D/M </t>
    <phoneticPr fontId="191" type="noConversion"/>
  </si>
  <si>
    <t>DT SILL SEAL RR(QUAD)</t>
  </si>
  <si>
    <t>우정기계</t>
    <phoneticPr fontId="191" type="noConversion"/>
  </si>
  <si>
    <t>신품 254*100*2.2*RA*25.4</t>
    <phoneticPr fontId="7" type="noConversion"/>
  </si>
  <si>
    <t>페고무처리비</t>
    <phoneticPr fontId="191" type="noConversion"/>
  </si>
  <si>
    <t>태명포리텍</t>
    <phoneticPr fontId="191" type="noConversion"/>
  </si>
  <si>
    <t>토이론시트</t>
    <phoneticPr fontId="191" type="noConversion"/>
  </si>
  <si>
    <t>1T*600*500</t>
    <phoneticPr fontId="191" type="noConversion"/>
  </si>
  <si>
    <t>동보씨앤에프</t>
    <phoneticPr fontId="191" type="noConversion"/>
  </si>
  <si>
    <t>AIR FILTER</t>
    <phoneticPr fontId="191" type="noConversion"/>
  </si>
  <si>
    <t>5T*1000L*50M</t>
    <phoneticPr fontId="191" type="noConversion"/>
  </si>
  <si>
    <t>운임</t>
    <phoneticPr fontId="191" type="noConversion"/>
  </si>
  <si>
    <t>W6066QL</t>
    <phoneticPr fontId="7" type="noConversion"/>
  </si>
  <si>
    <t>W60804$OS</t>
  </si>
  <si>
    <t>W60804$OS</t>
    <phoneticPr fontId="7" type="noConversion"/>
  </si>
  <si>
    <t>일성에스지</t>
    <phoneticPr fontId="191" type="noConversion"/>
  </si>
  <si>
    <t>폐기물</t>
    <phoneticPr fontId="191" type="noConversion"/>
  </si>
  <si>
    <t>한국알앤티</t>
    <phoneticPr fontId="191" type="noConversion"/>
  </si>
  <si>
    <t>폐고무</t>
    <phoneticPr fontId="191" type="noConversion"/>
  </si>
  <si>
    <t xml:space="preserve">팬볼트외 날개 </t>
    <phoneticPr fontId="191" type="noConversion"/>
  </si>
  <si>
    <t>C동 콤프렛샤쿨라펜 교체</t>
    <phoneticPr fontId="191" type="noConversion"/>
  </si>
  <si>
    <t>70*80</t>
    <phoneticPr fontId="191" type="noConversion"/>
  </si>
  <si>
    <t>CAN</t>
    <phoneticPr fontId="7" type="noConversion"/>
  </si>
  <si>
    <t>70*320</t>
    <phoneticPr fontId="191" type="noConversion"/>
  </si>
  <si>
    <t>.</t>
    <phoneticPr fontId="7" type="noConversion"/>
  </si>
  <si>
    <t>실리콘 MEM-0349</t>
    <phoneticPr fontId="8" type="noConversion"/>
  </si>
  <si>
    <t>대</t>
    <phoneticPr fontId="191" type="noConversion"/>
  </si>
  <si>
    <t>토이론 2T</t>
    <phoneticPr fontId="191" type="noConversion"/>
  </si>
  <si>
    <t>R/L</t>
  </si>
  <si>
    <t>베벨기어</t>
    <phoneticPr fontId="191" type="noConversion"/>
  </si>
  <si>
    <t>m2.5x30T 2조 가공열처리</t>
    <phoneticPr fontId="191" type="noConversion"/>
  </si>
  <si>
    <t>연마봉</t>
    <phoneticPr fontId="191" type="noConversion"/>
  </si>
  <si>
    <t>Φ16 x 850(열처리용)</t>
    <phoneticPr fontId="191" type="noConversion"/>
  </si>
  <si>
    <t>HS-100W-1(장유)</t>
    <phoneticPr fontId="8" type="noConversion"/>
  </si>
  <si>
    <t>실린더</t>
    <phoneticPr fontId="191" type="noConversion"/>
  </si>
  <si>
    <t>렌모터</t>
    <phoneticPr fontId="191" type="noConversion"/>
  </si>
  <si>
    <t>출장공임</t>
    <phoneticPr fontId="191" type="noConversion"/>
  </si>
  <si>
    <t>광신상사</t>
    <phoneticPr fontId="191" type="noConversion"/>
  </si>
  <si>
    <t>잡동유</t>
    <phoneticPr fontId="191" type="noConversion"/>
  </si>
  <si>
    <t>Hydraulic Si M 46</t>
    <phoneticPr fontId="191" type="noConversion"/>
  </si>
  <si>
    <t>Pump assy 교체외</t>
    <phoneticPr fontId="191" type="noConversion"/>
  </si>
  <si>
    <t>1식</t>
    <phoneticPr fontId="191" type="noConversion"/>
  </si>
  <si>
    <t>T&amp;C(화승케미칼)</t>
    <phoneticPr fontId="8" type="noConversion"/>
  </si>
  <si>
    <t>DL3A,DN8A</t>
    <phoneticPr fontId="8" type="noConversion"/>
  </si>
  <si>
    <t>장유 접착제</t>
    <phoneticPr fontId="8" type="noConversion"/>
  </si>
  <si>
    <t>㈜수진산업</t>
    <phoneticPr fontId="191" type="noConversion"/>
  </si>
  <si>
    <t>JA 픽시드 조인트제</t>
    <phoneticPr fontId="8" type="noConversion"/>
  </si>
  <si>
    <t>N 1.5D x 0.45 MM</t>
  </si>
  <si>
    <t>자동차용 flock 파일</t>
    <phoneticPr fontId="191" type="noConversion"/>
  </si>
  <si>
    <t>kg</t>
    <phoneticPr fontId="191" type="noConversion"/>
  </si>
  <si>
    <t>JB,HR,M300,DN8A</t>
    <phoneticPr fontId="8" type="noConversion"/>
  </si>
  <si>
    <t>0.04*28*45</t>
    <phoneticPr fontId="191" type="noConversion"/>
  </si>
  <si>
    <t>운반비</t>
    <phoneticPr fontId="191" type="noConversion"/>
  </si>
  <si>
    <t>대</t>
    <phoneticPr fontId="191" type="noConversion"/>
  </si>
  <si>
    <t>kg</t>
    <phoneticPr fontId="191" type="noConversion"/>
  </si>
  <si>
    <t>식</t>
    <phoneticPr fontId="191" type="noConversion"/>
  </si>
  <si>
    <t>디에스 케미칼</t>
    <phoneticPr fontId="8" type="noConversion"/>
  </si>
  <si>
    <t xml:space="preserve">NX 4 </t>
    <phoneticPr fontId="46" type="noConversion"/>
  </si>
  <si>
    <t>한신유체</t>
    <phoneticPr fontId="191" type="noConversion"/>
  </si>
  <si>
    <t>아프터 쿨러 설치외</t>
    <phoneticPr fontId="191" type="noConversion"/>
  </si>
  <si>
    <t>100HP(AB동 콤프레샤 쿨러)</t>
    <phoneticPr fontId="191" type="noConversion"/>
  </si>
  <si>
    <t>S6998RT2</t>
  </si>
  <si>
    <t>KG</t>
  </si>
  <si>
    <t>FILTER  CARTRIDGE(X1)-SA-SB</t>
    <phoneticPr fontId="191" type="noConversion"/>
  </si>
  <si>
    <t>영남환경이엔티</t>
    <phoneticPr fontId="191" type="noConversion"/>
  </si>
  <si>
    <t>대기환경측정</t>
    <phoneticPr fontId="191" type="noConversion"/>
  </si>
  <si>
    <t>예림카서비스</t>
    <phoneticPr fontId="191" type="noConversion"/>
  </si>
  <si>
    <t>91로6910</t>
    <phoneticPr fontId="191" type="noConversion"/>
  </si>
  <si>
    <t>11.5톤 에어컨수리외</t>
    <phoneticPr fontId="191" type="noConversion"/>
  </si>
  <si>
    <t>대</t>
    <phoneticPr fontId="191" type="noConversion"/>
  </si>
  <si>
    <t>대일트렌스</t>
    <phoneticPr fontId="191" type="noConversion"/>
  </si>
  <si>
    <t xml:space="preserve">콘테이너 </t>
    <phoneticPr fontId="191" type="noConversion"/>
  </si>
  <si>
    <t>40E</t>
    <phoneticPr fontId="191" type="noConversion"/>
  </si>
  <si>
    <t>96무8694</t>
    <phoneticPr fontId="191" type="noConversion"/>
  </si>
  <si>
    <t>엔진오일 외 4</t>
    <phoneticPr fontId="191" type="noConversion"/>
  </si>
  <si>
    <t>오일휠타외3</t>
    <phoneticPr fontId="191" type="noConversion"/>
  </si>
  <si>
    <t>EA</t>
    <phoneticPr fontId="191" type="noConversion"/>
  </si>
  <si>
    <t>TIP SAW 연마</t>
  </si>
  <si>
    <t>TIP SAW 수리</t>
  </si>
  <si>
    <t>조은초경</t>
    <phoneticPr fontId="7" type="noConversion"/>
  </si>
  <si>
    <t>장유포함</t>
    <phoneticPr fontId="8" type="noConversion"/>
  </si>
  <si>
    <t>장유접착제</t>
    <phoneticPr fontId="8" type="noConversion"/>
  </si>
  <si>
    <t>M46-0595-02(국산 BLACK)-장유</t>
    <phoneticPr fontId="8" type="noConversion"/>
  </si>
  <si>
    <t>M46-0580-02 (ORANGE)-장유</t>
    <phoneticPr fontId="8" type="noConversion"/>
  </si>
  <si>
    <t>다이아톱</t>
  </si>
  <si>
    <t>다이아톱</t>
    <phoneticPr fontId="8" type="noConversion"/>
  </si>
  <si>
    <t>신품 254*100*2.2*HT*25.4</t>
  </si>
  <si>
    <t>신품 254*100*2.2*HT*25.4</t>
    <phoneticPr fontId="8" type="noConversion"/>
  </si>
  <si>
    <t>신품 254*100*2.2*HT*25.4(S)</t>
  </si>
  <si>
    <t>신품 254*100*2.2*HT*25.4(S)</t>
    <phoneticPr fontId="8" type="noConversion"/>
  </si>
  <si>
    <t>M46-0595-02(Dark Gray)-도은</t>
    <phoneticPr fontId="8" type="noConversion"/>
  </si>
  <si>
    <t xml:space="preserve">NX4 </t>
    <phoneticPr fontId="7" type="noConversion"/>
  </si>
  <si>
    <t>DL3A 조인트</t>
    <phoneticPr fontId="8" type="noConversion"/>
  </si>
  <si>
    <t>75HP 드라이어수리</t>
  </si>
  <si>
    <t>냉동콤프,콘데셔,팬콘트롤외</t>
    <phoneticPr fontId="191" type="noConversion"/>
  </si>
  <si>
    <t>M46-0580-02(ITW-보라색) PURPLE</t>
    <phoneticPr fontId="8" type="noConversion"/>
  </si>
  <si>
    <t>신우산업</t>
    <phoneticPr fontId="191" type="noConversion"/>
  </si>
  <si>
    <t>플로어락 구매건</t>
    <phoneticPr fontId="191" type="noConversion"/>
  </si>
  <si>
    <t>PU,NX4  부품</t>
    <phoneticPr fontId="191" type="noConversion"/>
  </si>
  <si>
    <t>NX 4</t>
    <phoneticPr fontId="8" type="noConversion"/>
  </si>
  <si>
    <t>캡</t>
  </si>
  <si>
    <t>패드</t>
  </si>
  <si>
    <t>지관</t>
  </si>
  <si>
    <t>목재파렛트</t>
  </si>
  <si>
    <t>틀</t>
    <phoneticPr fontId="7" type="noConversion"/>
  </si>
  <si>
    <t>1120*955*100(BA골)</t>
    <phoneticPr fontId="7" type="noConversion"/>
  </si>
  <si>
    <t>1105*930*315(BA골)</t>
    <phoneticPr fontId="7" type="noConversion"/>
  </si>
  <si>
    <t>1080*920(BA골)</t>
    <phoneticPr fontId="7" type="noConversion"/>
  </si>
  <si>
    <t>.</t>
    <phoneticPr fontId="191" type="noConversion"/>
  </si>
  <si>
    <t>EPDM PAD (5T*40W*70L) T형 패드</t>
    <phoneticPr fontId="7" type="noConversion"/>
  </si>
  <si>
    <t>EPDM PAD (5T*40W*70L) T형 패드</t>
    <phoneticPr fontId="8" type="noConversion"/>
  </si>
  <si>
    <t>NX 4 a</t>
    <phoneticPr fontId="46" type="noConversion"/>
  </si>
  <si>
    <t>롤</t>
    <phoneticPr fontId="191" type="noConversion"/>
  </si>
  <si>
    <t xml:space="preserve">HR RR 설비 </t>
    <phoneticPr fontId="191" type="noConversion"/>
  </si>
  <si>
    <t>대</t>
    <phoneticPr fontId="191" type="noConversion"/>
  </si>
  <si>
    <t xml:space="preserve">에이원 사계절용 부동액 </t>
    <phoneticPr fontId="191" type="noConversion"/>
  </si>
  <si>
    <t>B?X</t>
    <phoneticPr fontId="191" type="noConversion"/>
  </si>
  <si>
    <t>3L/4EA</t>
    <phoneticPr fontId="191" type="noConversion"/>
  </si>
  <si>
    <t>Shell 코레나 S3R #46</t>
    <phoneticPr fontId="191" type="noConversion"/>
  </si>
  <si>
    <t>회전 로타리형 콤프레셔 오일 20L</t>
    <phoneticPr fontId="191" type="noConversion"/>
  </si>
  <si>
    <t>DL3A</t>
    <phoneticPr fontId="8" type="noConversion"/>
  </si>
  <si>
    <t>M2XX 슬립제</t>
    <phoneticPr fontId="8" type="noConversion"/>
  </si>
  <si>
    <t>M2XX 메인제</t>
    <phoneticPr fontId="8" type="noConversion"/>
  </si>
  <si>
    <t>M46-0580-02 (BLUE) -장유</t>
    <phoneticPr fontId="8" type="noConversion"/>
  </si>
  <si>
    <t xml:space="preserve">유니팩 </t>
    <phoneticPr fontId="191" type="noConversion"/>
  </si>
  <si>
    <t xml:space="preserve">SC HOOD </t>
    <phoneticPr fontId="8" type="noConversion"/>
  </si>
  <si>
    <t>플라스틱파렛트</t>
  </si>
  <si>
    <t>1000*1000*125</t>
    <phoneticPr fontId="191" type="noConversion"/>
  </si>
  <si>
    <t>운임</t>
  </si>
  <si>
    <t>운임</t>
    <phoneticPr fontId="191" type="noConversion"/>
  </si>
  <si>
    <t>대</t>
    <phoneticPr fontId="191" type="noConversion"/>
  </si>
  <si>
    <t>파렛트 교환 및 왕복운임</t>
    <phoneticPr fontId="191" type="noConversion"/>
  </si>
  <si>
    <t>MCA A,B 오프닝,트렁크</t>
    <phoneticPr fontId="8" type="noConversion"/>
  </si>
  <si>
    <t>MCA A,B,DT S/SEAL</t>
    <phoneticPr fontId="8" type="noConversion"/>
  </si>
  <si>
    <t>성신 기업 난연 스펀지</t>
    <phoneticPr fontId="8" type="noConversion"/>
  </si>
  <si>
    <t>일반 CLIP GS-073(WH)</t>
  </si>
  <si>
    <t>일반 CLIP GS-073(WH)</t>
    <phoneticPr fontId="7" type="noConversion"/>
  </si>
  <si>
    <t>대일기공사</t>
    <phoneticPr fontId="191" type="noConversion"/>
  </si>
  <si>
    <t>초경드릴날재연마</t>
    <phoneticPr fontId="191" type="noConversion"/>
  </si>
  <si>
    <t>1000*1000*125</t>
  </si>
  <si>
    <t>EA</t>
    <phoneticPr fontId="191" type="noConversion"/>
  </si>
  <si>
    <t>운임</t>
    <phoneticPr fontId="191" type="noConversion"/>
  </si>
  <si>
    <t>대</t>
    <phoneticPr fontId="191" type="noConversion"/>
  </si>
  <si>
    <t>백색분홍띠(NX4:적색)</t>
    <phoneticPr fontId="191" type="noConversion"/>
  </si>
  <si>
    <t>씨제이캠</t>
    <phoneticPr fontId="191" type="noConversion"/>
  </si>
  <si>
    <t>BCS -NEW1000(D)</t>
    <phoneticPr fontId="191" type="noConversion"/>
  </si>
  <si>
    <t>KG</t>
    <phoneticPr fontId="191" type="noConversion"/>
  </si>
  <si>
    <t>NX 4 조인트제</t>
    <phoneticPr fontId="8" type="noConversion"/>
  </si>
  <si>
    <t>EPDM PAD (3T*10W*70L)_블랙</t>
    <phoneticPr fontId="7" type="noConversion"/>
  </si>
  <si>
    <t>0.1*28*45</t>
    <phoneticPr fontId="191" type="noConversion"/>
  </si>
  <si>
    <t>EPDM PAD (3T*10W*70L)-아이보리</t>
  </si>
  <si>
    <t>EPDM PAD (3T*10W*70L)-블랙</t>
    <phoneticPr fontId="8" type="noConversion"/>
  </si>
  <si>
    <t>토이론시트</t>
  </si>
  <si>
    <t>1T*300*250</t>
    <phoneticPr fontId="191" type="noConversion"/>
  </si>
  <si>
    <t>NX4</t>
    <phoneticPr fontId="8" type="noConversion"/>
  </si>
  <si>
    <t>원일유압</t>
    <phoneticPr fontId="191" type="noConversion"/>
  </si>
  <si>
    <t>출장수리비</t>
    <phoneticPr fontId="191" type="noConversion"/>
  </si>
  <si>
    <t>NX4 사출기</t>
    <phoneticPr fontId="191" type="noConversion"/>
  </si>
  <si>
    <t>김해산소상사</t>
    <phoneticPr fontId="191" type="noConversion"/>
  </si>
  <si>
    <t>O2</t>
    <phoneticPr fontId="191" type="noConversion"/>
  </si>
  <si>
    <t>Ar</t>
    <phoneticPr fontId="191" type="noConversion"/>
  </si>
  <si>
    <t>W60594FMB</t>
    <phoneticPr fontId="7" type="noConversion"/>
  </si>
  <si>
    <t>W60712FMB</t>
    <phoneticPr fontId="7" type="noConversion"/>
  </si>
  <si>
    <t>㈜삼오테크</t>
    <phoneticPr fontId="7" type="noConversion"/>
  </si>
  <si>
    <t>60*18T</t>
    <phoneticPr fontId="191" type="noConversion"/>
  </si>
  <si>
    <t>체인카푸링가공(PCM 1호기)</t>
    <phoneticPr fontId="191" type="noConversion"/>
  </si>
  <si>
    <t>백색분홍라인연속라벨지</t>
    <phoneticPr fontId="191" type="noConversion"/>
  </si>
  <si>
    <t>롤</t>
    <phoneticPr fontId="191" type="noConversion"/>
  </si>
  <si>
    <t>M2JO</t>
    <phoneticPr fontId="7" type="noConversion"/>
  </si>
  <si>
    <t>M2JO GLASS RUN RR RH</t>
  </si>
  <si>
    <t>HC HOOD</t>
    <phoneticPr fontId="8" type="noConversion"/>
  </si>
  <si>
    <t>호성국제운송</t>
    <phoneticPr fontId="191" type="noConversion"/>
  </si>
  <si>
    <t>대</t>
    <phoneticPr fontId="191" type="noConversion"/>
  </si>
  <si>
    <t>컨테이너</t>
    <phoneticPr fontId="191" type="noConversion"/>
  </si>
  <si>
    <t>수출</t>
    <phoneticPr fontId="191" type="noConversion"/>
  </si>
  <si>
    <t>FFWED80104</t>
  </si>
  <si>
    <t>W60514</t>
    <phoneticPr fontId="7" type="noConversion"/>
  </si>
  <si>
    <t>FFWED60021</t>
  </si>
  <si>
    <t>2M400</t>
  </si>
  <si>
    <t>G1102-1486-03</t>
  </si>
  <si>
    <t>42574262</t>
  </si>
  <si>
    <t>M2JO Glass run FR LH</t>
  </si>
  <si>
    <t>G1102-1486-04</t>
  </si>
  <si>
    <t>G1102-1487-02</t>
  </si>
  <si>
    <t>42574263</t>
  </si>
  <si>
    <t>M2JO Glass run FR RH</t>
  </si>
  <si>
    <t>G1102-1487-03</t>
  </si>
  <si>
    <t>G1102-1490-02</t>
  </si>
  <si>
    <t>42574266</t>
  </si>
  <si>
    <t>M2JC Glass run RR LH</t>
  </si>
  <si>
    <t>G1102-1491-02</t>
  </si>
  <si>
    <t>42574267</t>
  </si>
  <si>
    <t>M2JC Glass run RR RH</t>
  </si>
  <si>
    <t>G1102-1491-03</t>
  </si>
  <si>
    <t>82530-CW000</t>
  </si>
  <si>
    <t>A121700215</t>
    <phoneticPr fontId="7" type="noConversion"/>
  </si>
  <si>
    <t xml:space="preserve"> </t>
    <phoneticPr fontId="7" type="noConversion"/>
  </si>
  <si>
    <t>에어금형그라인더</t>
    <phoneticPr fontId="191" type="noConversion"/>
  </si>
  <si>
    <t>B/L B/R 프론트플레이</t>
    <phoneticPr fontId="191" type="noConversion"/>
  </si>
  <si>
    <t>B/L B/R 캡교환,실린더연마</t>
    <phoneticPr fontId="191" type="noConversion"/>
  </si>
  <si>
    <t>태영지관</t>
    <phoneticPr fontId="191" type="noConversion"/>
  </si>
  <si>
    <t>W6085YU</t>
  </si>
  <si>
    <t>W6085YU</t>
    <phoneticPr fontId="7" type="noConversion"/>
  </si>
  <si>
    <t>FFWED80012</t>
  </si>
  <si>
    <t>FFWED80012</t>
    <phoneticPr fontId="7" type="noConversion"/>
  </si>
  <si>
    <t>FFWED80104</t>
    <phoneticPr fontId="7" type="noConversion"/>
  </si>
  <si>
    <t>W60923</t>
  </si>
  <si>
    <t>W60923</t>
    <phoneticPr fontId="7" type="noConversion"/>
  </si>
  <si>
    <t>삼오테크</t>
    <phoneticPr fontId="7" type="noConversion"/>
  </si>
  <si>
    <t>비닐</t>
    <phoneticPr fontId="191" type="noConversion"/>
  </si>
  <si>
    <t>215*215</t>
    <phoneticPr fontId="191" type="noConversion"/>
  </si>
  <si>
    <t>104 x 120M</t>
  </si>
  <si>
    <t>104 x 120M</t>
    <phoneticPr fontId="191" type="noConversion"/>
  </si>
  <si>
    <t>M400 300톤수리 (6군데)</t>
    <phoneticPr fontId="191" type="noConversion"/>
  </si>
  <si>
    <t>원일300(25T)</t>
    <phoneticPr fontId="191" type="noConversion"/>
  </si>
  <si>
    <t>대</t>
    <phoneticPr fontId="191" type="noConversion"/>
  </si>
  <si>
    <t>사상가위</t>
  </si>
  <si>
    <t xml:space="preserve">노랑색 연속 라벨지 </t>
    <phoneticPr fontId="191" type="noConversion"/>
  </si>
  <si>
    <t>104 x 120M</t>
    <phoneticPr fontId="191" type="noConversion"/>
  </si>
  <si>
    <t>파랑색 연속 라벨지</t>
    <phoneticPr fontId="191" type="noConversion"/>
  </si>
  <si>
    <t>W60906</t>
    <phoneticPr fontId="7" type="noConversion"/>
  </si>
  <si>
    <t>W60906</t>
    <phoneticPr fontId="8" type="noConversion"/>
  </si>
  <si>
    <t>PLUG 8.5</t>
    <phoneticPr fontId="8" type="noConversion"/>
  </si>
  <si>
    <t>Excel OPEning</t>
    <phoneticPr fontId="8" type="noConversion"/>
  </si>
  <si>
    <t>Gasket(4500L)</t>
    <phoneticPr fontId="8" type="noConversion"/>
  </si>
  <si>
    <t>K656-1560A</t>
    <phoneticPr fontId="8" type="noConversion"/>
  </si>
  <si>
    <t>K656-1548A</t>
    <phoneticPr fontId="8" type="noConversion"/>
  </si>
  <si>
    <t>W60664$OS</t>
    <phoneticPr fontId="8" type="noConversion"/>
  </si>
  <si>
    <t>L2KB64E</t>
    <phoneticPr fontId="8" type="noConversion"/>
  </si>
  <si>
    <t>GS-073 WH</t>
    <phoneticPr fontId="8" type="noConversion"/>
  </si>
  <si>
    <t>W60351</t>
    <phoneticPr fontId="7" type="noConversion"/>
  </si>
  <si>
    <t>W60351</t>
    <phoneticPr fontId="8" type="noConversion"/>
  </si>
  <si>
    <t>W60664</t>
    <phoneticPr fontId="8" type="noConversion"/>
  </si>
  <si>
    <t>캔(14kg)</t>
    <phoneticPr fontId="8" type="noConversion"/>
  </si>
  <si>
    <t>말(15kg)</t>
    <phoneticPr fontId="8" type="noConversion"/>
  </si>
  <si>
    <t>말(8kg)</t>
    <phoneticPr fontId="8" type="noConversion"/>
  </si>
  <si>
    <t>말(16kg)</t>
    <phoneticPr fontId="8" type="noConversion"/>
  </si>
  <si>
    <t>w60922</t>
    <phoneticPr fontId="7" type="noConversion"/>
  </si>
  <si>
    <t>w60922</t>
    <phoneticPr fontId="8" type="noConversion"/>
  </si>
  <si>
    <t>w60804</t>
    <phoneticPr fontId="7" type="noConversion"/>
  </si>
  <si>
    <t>W60804</t>
    <phoneticPr fontId="8" type="noConversion"/>
  </si>
  <si>
    <t xml:space="preserve">Y400 DUST SEAL </t>
    <phoneticPr fontId="8" type="noConversion"/>
  </si>
  <si>
    <t>0.05*150(A,B동 비닐)</t>
    <phoneticPr fontId="191" type="noConversion"/>
  </si>
  <si>
    <t>GH 210 CLIP(WHITE)</t>
  </si>
  <si>
    <t>GH 210 CLIP(WHITE)</t>
    <phoneticPr fontId="7" type="noConversion"/>
  </si>
  <si>
    <t>GH 210 CLIP(RED)</t>
  </si>
  <si>
    <t>GH 210 CLIP(RED)</t>
    <phoneticPr fontId="7" type="noConversion"/>
  </si>
  <si>
    <t>JK1</t>
    <phoneticPr fontId="8" type="noConversion"/>
  </si>
  <si>
    <t>GH 210 CLIP(YELLOW)</t>
    <phoneticPr fontId="8" type="noConversion"/>
  </si>
  <si>
    <t>GH 210 CLIP(YELLOW)</t>
    <phoneticPr fontId="7" type="noConversion"/>
  </si>
  <si>
    <t>JK 1</t>
    <phoneticPr fontId="46" type="noConversion"/>
  </si>
  <si>
    <t>831A0KL000</t>
  </si>
  <si>
    <t>831B0KL000</t>
  </si>
  <si>
    <t>JK 1</t>
    <phoneticPr fontId="7" type="noConversion"/>
  </si>
  <si>
    <t>C300 G/RUN(J100)</t>
    <phoneticPr fontId="8" type="noConversion"/>
  </si>
  <si>
    <t xml:space="preserve">KL MCA,JK1 </t>
    <phoneticPr fontId="8" type="noConversion"/>
  </si>
  <si>
    <t>수숭화학</t>
    <phoneticPr fontId="8" type="noConversion"/>
  </si>
  <si>
    <t>차액</t>
    <phoneticPr fontId="8" type="noConversion"/>
  </si>
  <si>
    <t>당월합계</t>
    <phoneticPr fontId="8" type="noConversion"/>
  </si>
  <si>
    <t>신규</t>
    <phoneticPr fontId="7" type="noConversion"/>
  </si>
  <si>
    <t>익월5일</t>
    <phoneticPr fontId="8" type="noConversion"/>
  </si>
  <si>
    <t>매월30일</t>
    <phoneticPr fontId="8" type="noConversion"/>
  </si>
  <si>
    <t>상계</t>
    <phoneticPr fontId="8" type="noConversion"/>
  </si>
  <si>
    <t>매월25일</t>
    <phoneticPr fontId="8" type="noConversion"/>
  </si>
  <si>
    <t>매월15일</t>
    <phoneticPr fontId="8" type="noConversion"/>
  </si>
  <si>
    <t xml:space="preserve">DS BODY MOUNT CLIP BK </t>
    <phoneticPr fontId="8" type="noConversion"/>
  </si>
  <si>
    <t>CLIP 일반 WHITE(GH407)</t>
  </si>
  <si>
    <t>CLIP 일반 WHITE(GH407)</t>
    <phoneticPr fontId="7" type="noConversion"/>
  </si>
  <si>
    <t>CLIP 일반 YELLOW(GH407)</t>
  </si>
  <si>
    <t>CLIP 일반 YELLOW(GH407)</t>
    <phoneticPr fontId="7" type="noConversion"/>
  </si>
  <si>
    <t>CLIP 일반BLACK(GH407)</t>
  </si>
  <si>
    <t>CLIP 일반BLACK(GH407)</t>
    <phoneticPr fontId="7" type="noConversion"/>
  </si>
  <si>
    <t>CLIP 일반 BLUE(GH407)</t>
  </si>
  <si>
    <t>CLIP 일반 BLUE(GH407)</t>
    <phoneticPr fontId="7" type="noConversion"/>
  </si>
  <si>
    <t>CE1 P/SEAL</t>
    <phoneticPr fontId="8" type="noConversion"/>
  </si>
  <si>
    <t>CE1</t>
    <phoneticPr fontId="7" type="noConversion"/>
  </si>
  <si>
    <t>CE1 P/SEAL RR RH</t>
  </si>
  <si>
    <t>1105*930*285(BA골)</t>
    <phoneticPr fontId="7" type="noConversion"/>
  </si>
  <si>
    <t>70*4.5T*140</t>
    <phoneticPr fontId="7" type="noConversion"/>
  </si>
  <si>
    <t>화승 NETWORKS
포장재</t>
    <phoneticPr fontId="8" type="noConversion"/>
  </si>
  <si>
    <t>CE1 B parting seal RR SECT</t>
    <phoneticPr fontId="7" type="noConversion"/>
  </si>
  <si>
    <t>㈜ 조영산업</t>
    <phoneticPr fontId="191" type="noConversion"/>
  </si>
  <si>
    <t>말(8k)</t>
    <phoneticPr fontId="8" type="noConversion"/>
  </si>
  <si>
    <t>말(15k)</t>
    <phoneticPr fontId="8" type="noConversion"/>
  </si>
  <si>
    <t>말(16k)</t>
    <phoneticPr fontId="8" type="noConversion"/>
  </si>
  <si>
    <t>M46-0580-01 (BLACK)</t>
    <phoneticPr fontId="8" type="noConversion"/>
  </si>
  <si>
    <t>1100*950*81</t>
    <phoneticPr fontId="7" type="noConversion"/>
  </si>
  <si>
    <t>GH501(RED)</t>
    <phoneticPr fontId="8" type="noConversion"/>
  </si>
  <si>
    <t>화승
NETWORKS
부자재</t>
    <phoneticPr fontId="8" type="noConversion"/>
  </si>
  <si>
    <t>추가</t>
    <phoneticPr fontId="8" type="noConversion"/>
  </si>
  <si>
    <t>9BQC</t>
    <phoneticPr fontId="7" type="noConversion"/>
  </si>
  <si>
    <t xml:space="preserve">㈜위스컴
화승네트웍스
</t>
    <phoneticPr fontId="7" type="noConversion"/>
  </si>
  <si>
    <t>SX553A</t>
    <phoneticPr fontId="7" type="noConversion"/>
  </si>
  <si>
    <t>1217N02706</t>
    <phoneticPr fontId="7" type="noConversion"/>
  </si>
  <si>
    <t>전공가위</t>
    <phoneticPr fontId="8" type="noConversion"/>
  </si>
  <si>
    <t>1217N02706</t>
    <phoneticPr fontId="8" type="noConversion"/>
  </si>
  <si>
    <t>정공가위</t>
    <phoneticPr fontId="8" type="noConversion"/>
  </si>
  <si>
    <t>3107-0054</t>
    <phoneticPr fontId="8" type="noConversion"/>
  </si>
  <si>
    <t>3107-0055</t>
    <phoneticPr fontId="8" type="noConversion"/>
  </si>
  <si>
    <t>UPR Bracket LH</t>
    <phoneticPr fontId="8" type="noConversion"/>
  </si>
  <si>
    <t>UPR Bracket RH</t>
    <phoneticPr fontId="8" type="noConversion"/>
  </si>
  <si>
    <t>9BQC</t>
    <phoneticPr fontId="8" type="noConversion"/>
  </si>
  <si>
    <t>3109-0182</t>
    <phoneticPr fontId="8" type="noConversion"/>
  </si>
  <si>
    <t>9BQC PRI LH</t>
    <phoneticPr fontId="8" type="noConversion"/>
  </si>
  <si>
    <t>㈜KCC글라스</t>
    <phoneticPr fontId="8" type="noConversion"/>
  </si>
  <si>
    <t>3109-0183</t>
    <phoneticPr fontId="8" type="noConversion"/>
  </si>
  <si>
    <t>9BQC PRI RH</t>
    <phoneticPr fontId="8" type="noConversion"/>
  </si>
  <si>
    <t>3109-0184</t>
    <phoneticPr fontId="8" type="noConversion"/>
  </si>
  <si>
    <t>9BQC TNTD LH</t>
    <phoneticPr fontId="8" type="noConversion"/>
  </si>
  <si>
    <t>3109-0185</t>
    <phoneticPr fontId="8" type="noConversion"/>
  </si>
  <si>
    <t>9BQC TNTD RH</t>
    <phoneticPr fontId="8" type="noConversion"/>
  </si>
  <si>
    <t>9BQB PRI LH</t>
    <phoneticPr fontId="8" type="noConversion"/>
  </si>
  <si>
    <t>9BQB PRI RH</t>
    <phoneticPr fontId="8" type="noConversion"/>
  </si>
  <si>
    <t>㈜ 세동</t>
    <phoneticPr fontId="7" type="noConversion"/>
  </si>
  <si>
    <t>9BQC D/V BAR LH</t>
    <phoneticPr fontId="7" type="noConversion"/>
  </si>
  <si>
    <t>9BQC D/V BAR RH</t>
    <phoneticPr fontId="7" type="noConversion"/>
  </si>
  <si>
    <t>3103-0686</t>
    <phoneticPr fontId="7" type="noConversion"/>
  </si>
  <si>
    <t>아마쉘 PAD 5T*5W*60L</t>
    <phoneticPr fontId="7" type="noConversion"/>
  </si>
  <si>
    <t>WIRE GLASS CORD (Ø0.4mm)</t>
    <phoneticPr fontId="7" type="noConversion"/>
  </si>
  <si>
    <t>G3109-0255</t>
    <phoneticPr fontId="8" type="noConversion"/>
  </si>
  <si>
    <t>G3109-0256</t>
    <phoneticPr fontId="8" type="noConversion"/>
  </si>
  <si>
    <t>W60513M</t>
    <phoneticPr fontId="7" type="noConversion"/>
  </si>
  <si>
    <t>1100*950*110</t>
    <phoneticPr fontId="7" type="noConversion"/>
  </si>
  <si>
    <t>㈜ 이닉스</t>
    <phoneticPr fontId="191" type="noConversion"/>
  </si>
  <si>
    <t>EX4008(600)5mm*3m</t>
    <phoneticPr fontId="191" type="noConversion"/>
  </si>
  <si>
    <t>HSH-9604</t>
  </si>
  <si>
    <t>HSC-2000-B-3</t>
    <phoneticPr fontId="8" type="noConversion"/>
  </si>
  <si>
    <t>김다솜</t>
    <phoneticPr fontId="191" type="noConversion"/>
  </si>
  <si>
    <t>담당자</t>
    <phoneticPr fontId="191" type="noConversion"/>
  </si>
  <si>
    <t>심금류</t>
    <phoneticPr fontId="8" type="noConversion"/>
  </si>
  <si>
    <t>조은
초경</t>
    <phoneticPr fontId="8" type="noConversion"/>
  </si>
  <si>
    <t>9BQC
 매입</t>
    <phoneticPr fontId="8" type="noConversion"/>
  </si>
  <si>
    <t>A/S</t>
    <phoneticPr fontId="8" type="noConversion"/>
  </si>
  <si>
    <t>PCM 매출</t>
    <phoneticPr fontId="7" type="noConversion"/>
  </si>
  <si>
    <t>NX4a</t>
    <phoneticPr fontId="7" type="noConversion"/>
  </si>
  <si>
    <t>WIRE</t>
    <phoneticPr fontId="8" type="noConversion"/>
  </si>
  <si>
    <t>0월 마감금액</t>
    <phoneticPr fontId="7" type="noConversion"/>
  </si>
  <si>
    <t>㈜ 세동</t>
    <phoneticPr fontId="8" type="noConversion"/>
  </si>
  <si>
    <t>경기금속</t>
  </si>
  <si>
    <t>경기금속</t>
    <phoneticPr fontId="8" type="noConversion"/>
  </si>
  <si>
    <t>화승네트웍스</t>
    <phoneticPr fontId="8" type="noConversion"/>
  </si>
  <si>
    <t>DS</t>
    <phoneticPr fontId="7" type="noConversion"/>
  </si>
  <si>
    <t>55112362AH</t>
  </si>
  <si>
    <t>55112363AH</t>
  </si>
  <si>
    <t>55112374AH</t>
  </si>
  <si>
    <t>DS(QUAD) Door Side RR RH (설변)</t>
  </si>
  <si>
    <t>55112375AH</t>
  </si>
  <si>
    <t>DS(QUAD) Door Side RR LH (설변)</t>
  </si>
  <si>
    <t>DT</t>
    <phoneticPr fontId="7" type="noConversion"/>
  </si>
  <si>
    <t>68291620AD</t>
  </si>
  <si>
    <t>DT(CREW) Door Side RR RH</t>
  </si>
  <si>
    <t>68291621AD</t>
  </si>
  <si>
    <t>DT(CREW) Door Side RR LH</t>
  </si>
  <si>
    <t>J-200 2ND SEAL FRT A</t>
    <phoneticPr fontId="8" type="noConversion"/>
  </si>
  <si>
    <t>GL3 D/SIDE RR "C"</t>
    <phoneticPr fontId="8" type="noConversion"/>
  </si>
  <si>
    <t>GL3 D/SIDE RR "D"</t>
    <phoneticPr fontId="8" type="noConversion"/>
  </si>
  <si>
    <t>DN8 D/SIDE RR "C"</t>
    <phoneticPr fontId="8" type="noConversion"/>
  </si>
  <si>
    <t>DN8 D/SIDE RR "D"</t>
    <phoneticPr fontId="8" type="noConversion"/>
  </si>
  <si>
    <t>J-200 2ND SEAL  RR A</t>
    <phoneticPr fontId="8" type="noConversion"/>
  </si>
  <si>
    <t>J-200 2ND SEAL  RR B</t>
    <phoneticPr fontId="8" type="noConversion"/>
  </si>
  <si>
    <t>T&amp;C 세종공장</t>
    <phoneticPr fontId="8" type="noConversion"/>
  </si>
  <si>
    <t>신품254*100*2.2*HT* 25.4</t>
    <phoneticPr fontId="191" type="noConversion"/>
  </si>
  <si>
    <t>W60433</t>
  </si>
  <si>
    <t>NQ5A D/SIDE RR "C"</t>
    <phoneticPr fontId="8" type="noConversion"/>
  </si>
  <si>
    <t>NQ5A D/SIDE RR "D"</t>
    <phoneticPr fontId="8" type="noConversion"/>
  </si>
  <si>
    <t xml:space="preserve">SU2ID HOOD SEAL </t>
  </si>
  <si>
    <t>WK WHEEL HOUSE SEAL LH</t>
  </si>
  <si>
    <t>WK WHEEL HOUSE SEAL RH</t>
  </si>
  <si>
    <t xml:space="preserve">DT SILL SEAL FRT(CREW) </t>
  </si>
  <si>
    <t>DT SILL SEAL RR(CREW)</t>
  </si>
  <si>
    <t>DL3A HOOD RR</t>
  </si>
  <si>
    <t>DN8A HOOD RR</t>
  </si>
  <si>
    <t>ON HOOD SRAL FRT</t>
  </si>
  <si>
    <t>CN7A HOOD</t>
  </si>
  <si>
    <t>MQ4A HOOD</t>
  </si>
  <si>
    <t>9BQB FRT "C"</t>
  </si>
  <si>
    <t xml:space="preserve">DS D/SIDE "D" </t>
  </si>
  <si>
    <t>GN7 HOOD RR"A"</t>
  </si>
  <si>
    <t>QX D/SIDE "D"</t>
  </si>
  <si>
    <t>QX "D"(JA RR "D" C/O)</t>
  </si>
  <si>
    <t>GL3 PART'G SEAL</t>
    <phoneticPr fontId="8" type="noConversion"/>
  </si>
  <si>
    <t>YB D/SIDE RR "C"</t>
    <phoneticPr fontId="8" type="noConversion"/>
  </si>
  <si>
    <t>G1119-0213-02</t>
  </si>
  <si>
    <t>TMA HOOD STAL</t>
  </si>
  <si>
    <t>G1110-0112-00</t>
  </si>
  <si>
    <t>G1110-0099-00</t>
  </si>
  <si>
    <t>G1119-0144-00</t>
  </si>
  <si>
    <t>G1119-0206-02</t>
  </si>
  <si>
    <t>G1119-0212-03</t>
  </si>
  <si>
    <t>G1110-0162-01</t>
  </si>
  <si>
    <t>G1119-0224-02</t>
  </si>
  <si>
    <t>G1110-0153-00</t>
  </si>
  <si>
    <t>G1110-0159-00</t>
  </si>
  <si>
    <t>G1110-0160-00</t>
  </si>
  <si>
    <t>VT UPR SEAL S"A"</t>
    <phoneticPr fontId="8" type="noConversion"/>
  </si>
  <si>
    <t>822104E000</t>
  </si>
  <si>
    <t>PU Outer Belt FR LH</t>
  </si>
  <si>
    <t>822204E000</t>
  </si>
  <si>
    <t>PU Outer Belt FR RH</t>
  </si>
  <si>
    <t>9BQC D/V BAR LH</t>
  </si>
  <si>
    <t>9BQC D/V BAR RH</t>
  </si>
  <si>
    <t>아마쉘 PAD 5T*5W*60L</t>
  </si>
  <si>
    <t>아마쉘 PAD 7T*10W*50L</t>
  </si>
  <si>
    <t>3103-0686</t>
  </si>
  <si>
    <t>부림텍</t>
    <phoneticPr fontId="8" type="noConversion"/>
  </si>
  <si>
    <t>금일 매출 합계</t>
    <phoneticPr fontId="8" type="noConversion"/>
  </si>
  <si>
    <t>금일 매입 합계</t>
    <phoneticPr fontId="8" type="noConversion"/>
  </si>
  <si>
    <t>G2110-0033</t>
  </si>
  <si>
    <t>G2119-0167</t>
  </si>
  <si>
    <t>BL7m FRT HOOD</t>
    <phoneticPr fontId="8" type="noConversion"/>
  </si>
  <si>
    <t>G1119-0247-00</t>
  </si>
  <si>
    <t>BL7m RR HOOD</t>
    <phoneticPr fontId="8" type="noConversion"/>
  </si>
  <si>
    <t>BL7m FRT HOOD SECT"A"</t>
    <phoneticPr fontId="8" type="noConversion"/>
  </si>
  <si>
    <t>NQ5A HOOD RR</t>
  </si>
  <si>
    <t>G1131-7612-01</t>
  </si>
  <si>
    <t>G1131-7613-01</t>
  </si>
  <si>
    <t>KS HOOD SEAL FRT</t>
  </si>
  <si>
    <t>KS HOOD SEAL RR</t>
  </si>
  <si>
    <t>G1119-0066-02</t>
  </si>
  <si>
    <t>G1110-0055-03</t>
  </si>
  <si>
    <t>R2102-2033</t>
  </si>
  <si>
    <t>R2102-2280</t>
  </si>
  <si>
    <t>R2103-0614</t>
  </si>
  <si>
    <t>R2103-1034</t>
  </si>
  <si>
    <t>Y400 D/SIDE FRT "A"</t>
  </si>
  <si>
    <t>R2103-1040</t>
  </si>
  <si>
    <t>Y400 D/SIDE RR "D"</t>
  </si>
  <si>
    <t>R2103-1430</t>
  </si>
  <si>
    <t>Q200 D/SIDE RR "A"</t>
  </si>
  <si>
    <t>R2103-1731</t>
  </si>
  <si>
    <t>R2103-2072</t>
  </si>
  <si>
    <t>DL3A D/SIDE RR "C"</t>
  </si>
  <si>
    <t>R2103-2073</t>
  </si>
  <si>
    <t>DL3A D/SIDE RR "D"</t>
  </si>
  <si>
    <t>R2119-0230</t>
  </si>
  <si>
    <t>화승코프레이션
(연고무)</t>
    <phoneticPr fontId="7" type="noConversion"/>
  </si>
  <si>
    <t>화승코퍼레이션
연고무</t>
    <phoneticPr fontId="8" type="noConversion"/>
  </si>
  <si>
    <t xml:space="preserve">화승코퍼레이션
</t>
    <phoneticPr fontId="8" type="noConversion"/>
  </si>
  <si>
    <t>G1131-7615-01</t>
  </si>
  <si>
    <t>GH501(RED)</t>
  </si>
  <si>
    <t/>
  </si>
  <si>
    <t>CAN</t>
    <phoneticPr fontId="191" type="noConversion"/>
  </si>
  <si>
    <t>㈜이노캠</t>
    <phoneticPr fontId="191" type="noConversion"/>
  </si>
  <si>
    <t>TE 6802(4.5KG)</t>
    <phoneticPr fontId="191" type="noConversion"/>
  </si>
  <si>
    <t>A타입 윤곽</t>
    <phoneticPr fontId="191" type="noConversion"/>
  </si>
  <si>
    <t>A타입 사각패드</t>
    <phoneticPr fontId="191" type="noConversion"/>
  </si>
  <si>
    <t>A타입 캡상자</t>
    <phoneticPr fontId="191" type="noConversion"/>
  </si>
  <si>
    <t>1100*930*285</t>
    <phoneticPr fontId="191" type="noConversion"/>
  </si>
  <si>
    <t>920*1080</t>
    <phoneticPr fontId="191" type="noConversion"/>
  </si>
  <si>
    <t>1116*949*98</t>
    <phoneticPr fontId="191" type="noConversion"/>
  </si>
  <si>
    <t>C타입 AA골 윤곽</t>
    <phoneticPr fontId="191" type="noConversion"/>
  </si>
  <si>
    <t>C타입 캡</t>
    <phoneticPr fontId="191" type="noConversion"/>
  </si>
  <si>
    <t>C타입 캡패드</t>
    <phoneticPr fontId="191" type="noConversion"/>
  </si>
  <si>
    <t>m2</t>
    <phoneticPr fontId="191" type="noConversion"/>
  </si>
  <si>
    <t>2015*465*95</t>
    <phoneticPr fontId="191" type="noConversion"/>
  </si>
  <si>
    <t>1997*450*285</t>
    <phoneticPr fontId="191" type="noConversion"/>
  </si>
  <si>
    <t>1977*430</t>
    <phoneticPr fontId="191" type="noConversion"/>
  </si>
  <si>
    <t>9BQB LH</t>
    <phoneticPr fontId="8" type="noConversion"/>
  </si>
  <si>
    <t>9BQB RH</t>
    <phoneticPr fontId="8" type="noConversion"/>
  </si>
  <si>
    <t>타스인터내셔널</t>
    <phoneticPr fontId="191" type="noConversion"/>
  </si>
  <si>
    <t xml:space="preserve">글라스
㈜지텍 납품
</t>
    <phoneticPr fontId="8" type="noConversion"/>
  </si>
  <si>
    <t>W60804$OS</t>
    <phoneticPr fontId="8" type="noConversion"/>
  </si>
  <si>
    <t>2000*950</t>
    <phoneticPr fontId="7" type="noConversion"/>
  </si>
  <si>
    <t>G1132-0003-01</t>
  </si>
  <si>
    <t>G1102-1363-01</t>
  </si>
  <si>
    <t>83530G6000</t>
  </si>
  <si>
    <t>G1102-1364-01</t>
  </si>
  <si>
    <t>83540G6000</t>
  </si>
  <si>
    <t>T&amp;C 세종공장</t>
  </si>
  <si>
    <t>PCM</t>
    <phoneticPr fontId="191" type="noConversion"/>
  </si>
  <si>
    <t>상품</t>
    <phoneticPr fontId="191" type="noConversion"/>
  </si>
  <si>
    <t>JA, 9BQC 메인제</t>
    <phoneticPr fontId="8" type="noConversion"/>
  </si>
  <si>
    <t>9BQC 슬립제</t>
    <phoneticPr fontId="8" type="noConversion"/>
  </si>
  <si>
    <t xml:space="preserve">9BQC메인제 </t>
    <phoneticPr fontId="8" type="noConversion"/>
  </si>
  <si>
    <t>J200 2ND</t>
    <phoneticPr fontId="8" type="noConversion"/>
  </si>
  <si>
    <t>D/S  C,D</t>
    <phoneticPr fontId="8" type="noConversion"/>
  </si>
  <si>
    <t>가니쉬</t>
    <phoneticPr fontId="8" type="noConversion"/>
  </si>
  <si>
    <t>DS D/S D</t>
    <phoneticPr fontId="8" type="noConversion"/>
  </si>
  <si>
    <t>HOOD RR 공용</t>
    <phoneticPr fontId="8" type="noConversion"/>
  </si>
  <si>
    <t xml:space="preserve">엑셀 오프닝 </t>
    <phoneticPr fontId="8" type="noConversion"/>
  </si>
  <si>
    <t>9BQC슬립제</t>
    <phoneticPr fontId="8" type="noConversion"/>
  </si>
  <si>
    <t xml:space="preserve">9BQC조인트 </t>
    <phoneticPr fontId="8" type="noConversion"/>
  </si>
  <si>
    <t>DL3a, c300, j300</t>
    <phoneticPr fontId="8" type="noConversion"/>
  </si>
  <si>
    <t>lg 가스켓</t>
    <phoneticPr fontId="8" type="noConversion"/>
  </si>
  <si>
    <t xml:space="preserve">NQ5 C, D </t>
    <phoneticPr fontId="8" type="noConversion"/>
  </si>
  <si>
    <t>신천</t>
    <phoneticPr fontId="8" type="noConversion"/>
  </si>
  <si>
    <t>HR,PD, JA, VF 34,35 직각 조인트제</t>
    <phoneticPr fontId="8" type="noConversion"/>
  </si>
  <si>
    <t>금액</t>
  </si>
  <si>
    <t>70*48</t>
    <phoneticPr fontId="191" type="noConversion"/>
  </si>
  <si>
    <t>70*140</t>
    <phoneticPr fontId="191" type="noConversion"/>
  </si>
  <si>
    <t>9BQC
말일 화승납품 마감하기</t>
    <phoneticPr fontId="7" type="noConversion"/>
  </si>
  <si>
    <t>G2103-2225</t>
  </si>
  <si>
    <t>MX5a Hood SECT "A"</t>
    <phoneticPr fontId="8" type="noConversion"/>
  </si>
  <si>
    <t>KL(MCA) Hood Seal FR</t>
  </si>
  <si>
    <t>HOOD SURROUND SEAL</t>
  </si>
  <si>
    <t>HOOD CUTLINE SEAL</t>
  </si>
  <si>
    <t>UF HOOD</t>
  </si>
  <si>
    <t>WK Lift Gate Cutline Seal</t>
  </si>
  <si>
    <t>G1110-0146-00</t>
  </si>
  <si>
    <t>G1110-0058-00</t>
  </si>
  <si>
    <t>G1110-0050-00</t>
  </si>
  <si>
    <t>G1142-0020-00</t>
  </si>
  <si>
    <t>HOOD SEAL</t>
  </si>
  <si>
    <t>LFA Hood Seal RR</t>
  </si>
  <si>
    <t>Y400 D /SIDE RR "A"</t>
  </si>
  <si>
    <t>분류</t>
    <phoneticPr fontId="8" type="noConversion"/>
  </si>
  <si>
    <t>순</t>
    <phoneticPr fontId="8" type="noConversion"/>
  </si>
  <si>
    <t>품명 및 규격</t>
    <phoneticPr fontId="8" type="noConversion"/>
  </si>
  <si>
    <t>Kategorie</t>
    <phoneticPr fontId="8" type="noConversion"/>
  </si>
  <si>
    <t>총금액</t>
    <phoneticPr fontId="8" type="noConversion"/>
  </si>
  <si>
    <t>압출 PCM</t>
    <phoneticPr fontId="8" type="noConversion"/>
  </si>
  <si>
    <t>압출 PCM</t>
  </si>
  <si>
    <t>9BQC, TPE</t>
    <phoneticPr fontId="8" type="noConversion"/>
  </si>
  <si>
    <t>중복</t>
    <phoneticPr fontId="8" type="noConversion"/>
  </si>
  <si>
    <t>比</t>
    <phoneticPr fontId="8" type="noConversion"/>
  </si>
  <si>
    <t>합계</t>
    <phoneticPr fontId="8" type="noConversion"/>
  </si>
  <si>
    <t>매 입 금 액</t>
    <phoneticPr fontId="8" type="noConversion"/>
  </si>
  <si>
    <t>NX4 a</t>
    <phoneticPr fontId="191" type="noConversion"/>
  </si>
  <si>
    <t>BDM HOOD</t>
    <phoneticPr fontId="191" type="noConversion"/>
  </si>
  <si>
    <t>VF 34, VF 35</t>
    <phoneticPr fontId="191" type="noConversion"/>
  </si>
  <si>
    <t>G2103-2226</t>
  </si>
  <si>
    <t>G1110-0171-00</t>
  </si>
  <si>
    <t>G1100-0783-01</t>
  </si>
  <si>
    <t>G1100-0782-01</t>
  </si>
  <si>
    <t>R2103-1037</t>
  </si>
  <si>
    <t>서지연</t>
    <phoneticPr fontId="8" type="noConversion"/>
  </si>
  <si>
    <t>G2119-0258</t>
  </si>
  <si>
    <t>투입히터</t>
    <phoneticPr fontId="191" type="noConversion"/>
  </si>
  <si>
    <t>(주)유림비앤피</t>
    <phoneticPr fontId="19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</si>
  <si>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8" type="noConversion"/>
  </si>
  <si>
    <t>0.5*34</t>
  </si>
  <si>
    <t>70*48</t>
    <phoneticPr fontId="7" type="noConversion"/>
  </si>
  <si>
    <t>해동무역
연고무</t>
    <phoneticPr fontId="8" type="noConversion"/>
  </si>
  <si>
    <t>0.45*30 분리</t>
    <phoneticPr fontId="8" type="noConversion"/>
  </si>
  <si>
    <t>B0237040178</t>
    <phoneticPr fontId="7" type="noConversion"/>
  </si>
  <si>
    <t>EG UPR SEAL S "A"</t>
    <phoneticPr fontId="8" type="noConversion"/>
  </si>
  <si>
    <t>면보루</t>
    <phoneticPr fontId="191" type="noConversion"/>
  </si>
  <si>
    <t>G1132-0005-01</t>
    <phoneticPr fontId="8" type="noConversion"/>
  </si>
  <si>
    <t>G1132-0004-01</t>
    <phoneticPr fontId="8" type="noConversion"/>
  </si>
  <si>
    <t>3103-0832</t>
    <phoneticPr fontId="8" type="noConversion"/>
  </si>
  <si>
    <t>BDM Hood SECT "A"</t>
  </si>
  <si>
    <t>A2215N01323</t>
  </si>
  <si>
    <t>A2215N01323</t>
    <phoneticPr fontId="8" type="noConversion"/>
  </si>
  <si>
    <t>70*48</t>
  </si>
  <si>
    <t>수출박스</t>
    <phoneticPr fontId="191" type="noConversion"/>
  </si>
  <si>
    <t>9BQC FRT LH</t>
  </si>
  <si>
    <t>9BQC FRT RH</t>
  </si>
  <si>
    <t>9BQC RR LH(TNI)</t>
  </si>
  <si>
    <t>9BQC RR RH(TNI)</t>
  </si>
  <si>
    <t>9BQC RR LH(PRI)</t>
  </si>
  <si>
    <t>9BQC RR RH(PRI)</t>
  </si>
  <si>
    <t>슬리브</t>
  </si>
  <si>
    <t>슬리브</t>
    <phoneticPr fontId="7" type="noConversion"/>
  </si>
  <si>
    <t>캡</t>
    <phoneticPr fontId="7" type="noConversion"/>
  </si>
  <si>
    <t>패드</t>
    <phoneticPr fontId="7" type="noConversion"/>
  </si>
  <si>
    <t>2500*450*285</t>
  </si>
  <si>
    <t>2500*450*285</t>
    <phoneticPr fontId="7" type="noConversion"/>
  </si>
  <si>
    <t>2480*430*0</t>
  </si>
  <si>
    <t>2480*430*0</t>
    <phoneticPr fontId="7" type="noConversion"/>
  </si>
  <si>
    <t>LF D/SIDE RR "C"</t>
    <phoneticPr fontId="8" type="noConversion"/>
  </si>
  <si>
    <t>2500*950</t>
    <phoneticPr fontId="7" type="noConversion"/>
  </si>
  <si>
    <t>MV1a HOOD SEAL( FRUNK)</t>
  </si>
  <si>
    <t>노즐밸브청소 원일75-1</t>
    <phoneticPr fontId="191" type="noConversion"/>
  </si>
  <si>
    <t>03A-B 체크</t>
    <phoneticPr fontId="191" type="noConversion"/>
  </si>
  <si>
    <t>MC가공외</t>
    <phoneticPr fontId="191" type="noConversion"/>
  </si>
  <si>
    <t>70*4.5T*285</t>
    <phoneticPr fontId="7" type="noConversion"/>
  </si>
  <si>
    <t>지관</t>
    <phoneticPr fontId="8" type="noConversion"/>
  </si>
  <si>
    <t>70*285</t>
    <phoneticPr fontId="191" type="noConversion"/>
  </si>
  <si>
    <t>G1110-0174-01</t>
  </si>
  <si>
    <t>G1119-0252-01</t>
  </si>
  <si>
    <t>G1160-0003-01</t>
  </si>
  <si>
    <t>G1110-0175-03</t>
  </si>
  <si>
    <t>MV1a HOOD FRT</t>
  </si>
  <si>
    <t>MV1a HOOD RR</t>
  </si>
  <si>
    <t>MV1a T/GATE SIDE STRIP LH</t>
  </si>
  <si>
    <t>MV1a T/GATE SIDE STRIP RH</t>
  </si>
  <si>
    <t>MV1a HOOD SEAL (FRUNK)</t>
  </si>
  <si>
    <t>오륙</t>
    <phoneticPr fontId="8" type="noConversion"/>
  </si>
  <si>
    <t>G1110-0147-00</t>
    <phoneticPr fontId="8" type="noConversion"/>
  </si>
  <si>
    <t>KL(MCA) Hood Seal RR</t>
    <phoneticPr fontId="8" type="noConversion"/>
  </si>
  <si>
    <t>W60515</t>
  </si>
  <si>
    <t>W60515</t>
    <phoneticPr fontId="7" type="noConversion"/>
  </si>
  <si>
    <t>W60433$GT</t>
  </si>
  <si>
    <t>W60433$GT</t>
    <phoneticPr fontId="7" type="noConversion"/>
  </si>
  <si>
    <t>W60433</t>
    <phoneticPr fontId="7" type="noConversion"/>
  </si>
  <si>
    <t>W60514</t>
  </si>
  <si>
    <t>COMPOUND SX553A</t>
    <phoneticPr fontId="7" type="noConversion"/>
  </si>
  <si>
    <t>NX 4 M</t>
    <phoneticPr fontId="46" type="noConversion"/>
  </si>
  <si>
    <t>Nx4 M</t>
    <phoneticPr fontId="7" type="noConversion"/>
  </si>
  <si>
    <t>82540-CW000</t>
    <phoneticPr fontId="8" type="noConversion"/>
  </si>
  <si>
    <t>조영</t>
    <phoneticPr fontId="8" type="noConversion"/>
  </si>
  <si>
    <t>KM/KX Hood FR</t>
  </si>
  <si>
    <t>G1119-0269-00</t>
  </si>
  <si>
    <t>지우면 안됩니다</t>
    <phoneticPr fontId="7" type="noConversion"/>
  </si>
  <si>
    <t>W60924</t>
    <phoneticPr fontId="7" type="noConversion"/>
  </si>
  <si>
    <t>KG</t>
    <phoneticPr fontId="7" type="noConversion"/>
  </si>
  <si>
    <t>W60924</t>
    <phoneticPr fontId="8" type="noConversion"/>
  </si>
  <si>
    <t>W60596</t>
    <phoneticPr fontId="8" type="noConversion"/>
  </si>
  <si>
    <t>W60515</t>
    <phoneticPr fontId="8" type="noConversion"/>
  </si>
  <si>
    <t>W60713</t>
    <phoneticPr fontId="7" type="noConversion"/>
  </si>
  <si>
    <t>W60055</t>
    <phoneticPr fontId="7" type="noConversion"/>
  </si>
  <si>
    <t>W60713</t>
    <phoneticPr fontId="8" type="noConversion"/>
  </si>
  <si>
    <t>W60055</t>
    <phoneticPr fontId="8" type="noConversion"/>
  </si>
  <si>
    <t xml:space="preserve"> 사용 하지 않음. </t>
    <phoneticPr fontId="191" type="noConversion"/>
  </si>
  <si>
    <t>G2103-2373</t>
    <phoneticPr fontId="8" type="noConversion"/>
  </si>
  <si>
    <t>G2103-2374</t>
    <phoneticPr fontId="8" type="noConversion"/>
  </si>
  <si>
    <t>CL4 D/SIDE RR "C"</t>
    <phoneticPr fontId="8" type="noConversion"/>
  </si>
  <si>
    <t>CL4 D/SIDE RR "D"</t>
    <phoneticPr fontId="8" type="noConversion"/>
  </si>
  <si>
    <t>마감시 미포함?</t>
    <phoneticPr fontId="7" type="noConversion"/>
  </si>
  <si>
    <t>㈜솔테크</t>
    <phoneticPr fontId="191" type="noConversion"/>
  </si>
  <si>
    <t>융</t>
    <phoneticPr fontId="191" type="noConversion"/>
  </si>
  <si>
    <t>3103-0832</t>
  </si>
  <si>
    <t>3103-0696</t>
    <phoneticPr fontId="7" type="noConversion"/>
  </si>
  <si>
    <t>아마쉘 PAD 3*6*90</t>
    <phoneticPr fontId="7" type="noConversion"/>
  </si>
  <si>
    <t xml:space="preserve">0.6*36  </t>
  </si>
  <si>
    <t>SUS430(0.4*51*3)</t>
    <phoneticPr fontId="8" type="noConversion"/>
  </si>
  <si>
    <t>개발</t>
    <phoneticPr fontId="8" type="noConversion"/>
  </si>
  <si>
    <t>SUS430(0.4*51*3)--개발</t>
    <phoneticPr fontId="7" type="noConversion"/>
  </si>
  <si>
    <t>백색연속라벨지</t>
    <phoneticPr fontId="191" type="noConversion"/>
  </si>
  <si>
    <t>NE1a</t>
    <phoneticPr fontId="7" type="noConversion"/>
  </si>
  <si>
    <t>82130PI000</t>
  </si>
  <si>
    <t>NE1a Door Side FR LH</t>
  </si>
  <si>
    <t>82140PI000</t>
  </si>
  <si>
    <t>NE1a Door Side FR RH</t>
  </si>
  <si>
    <t>83130PI000</t>
  </si>
  <si>
    <t>NE1a Door Side RR LH</t>
  </si>
  <si>
    <t>83140PI000</t>
  </si>
  <si>
    <t>NE1a Door Side RR RH</t>
  </si>
  <si>
    <t>NE1a</t>
    <phoneticPr fontId="8" type="noConversion"/>
  </si>
  <si>
    <t>GH 120(GR)</t>
  </si>
  <si>
    <t>GH 120(GR)</t>
    <phoneticPr fontId="7" type="noConversion"/>
  </si>
  <si>
    <t>인서트 레진 #P LH</t>
  </si>
  <si>
    <t>인서트 레진 #P LH</t>
    <phoneticPr fontId="7" type="noConversion"/>
  </si>
  <si>
    <t>인서트 레진 #P RH</t>
  </si>
  <si>
    <t>인서트 레진 #P RH</t>
    <phoneticPr fontId="7" type="noConversion"/>
  </si>
  <si>
    <t>인서트 레진 #Q LH</t>
  </si>
  <si>
    <t>인서트 레진 #Q LH</t>
    <phoneticPr fontId="7" type="noConversion"/>
  </si>
  <si>
    <t>인서트 레진 #Q RH</t>
  </si>
  <si>
    <t>인서트 레진 #Q RH</t>
    <phoneticPr fontId="7" type="noConversion"/>
  </si>
  <si>
    <t>인서트 레진 #R LH</t>
  </si>
  <si>
    <t>인서트 레진 #R LH</t>
    <phoneticPr fontId="7" type="noConversion"/>
  </si>
  <si>
    <t>인서트 레진 #R RH</t>
  </si>
  <si>
    <t>인서트 레진 #R RH</t>
    <phoneticPr fontId="7" type="noConversion"/>
  </si>
  <si>
    <t>인서트 레진 #S LH</t>
  </si>
  <si>
    <t>인서트 레진 #S LH</t>
    <phoneticPr fontId="7" type="noConversion"/>
  </si>
  <si>
    <t>인서트 레진 #S RH</t>
  </si>
  <si>
    <t>인서트 레진 #S RH</t>
    <phoneticPr fontId="7" type="noConversion"/>
  </si>
  <si>
    <t>인서트 레진 #V LH</t>
  </si>
  <si>
    <t>인서트 레진 #V LH</t>
    <phoneticPr fontId="7" type="noConversion"/>
  </si>
  <si>
    <t>인서트 레진 #V RH</t>
  </si>
  <si>
    <t>인서트 레진 #V RH</t>
    <phoneticPr fontId="7" type="noConversion"/>
  </si>
  <si>
    <t>신규-NE1a</t>
    <phoneticPr fontId="7" type="noConversion"/>
  </si>
  <si>
    <t>GH-503(BR)</t>
  </si>
  <si>
    <t>GH-503(BR)</t>
    <phoneticPr fontId="7" type="noConversion"/>
  </si>
  <si>
    <t>1100*950*110</t>
  </si>
  <si>
    <t>W60596</t>
  </si>
  <si>
    <t>M46-0595-02 PF HOOD SEAL CILP(PA)BK</t>
  </si>
  <si>
    <t>M46-0595-02 PF HOOD SEAL CILP(PA)BK</t>
    <phoneticPr fontId="8" type="noConversion"/>
  </si>
  <si>
    <t>화승 케미칼</t>
    <phoneticPr fontId="8" type="noConversion"/>
  </si>
  <si>
    <t>주황색 연속 라벨지</t>
    <phoneticPr fontId="191" type="noConversion"/>
  </si>
  <si>
    <t>UDT 3BSN</t>
    <phoneticPr fontId="191" type="noConversion"/>
  </si>
  <si>
    <t>카본로라</t>
    <phoneticPr fontId="191" type="noConversion"/>
  </si>
  <si>
    <t>W60054</t>
    <phoneticPr fontId="8" type="noConversion"/>
  </si>
  <si>
    <t>UB DR/ SIDE "D"</t>
    <phoneticPr fontId="8" type="noConversion"/>
  </si>
  <si>
    <t>JK1</t>
    <phoneticPr fontId="7" type="noConversion"/>
  </si>
  <si>
    <t>CE1 P/SEAL</t>
  </si>
  <si>
    <t>남양유공압</t>
    <phoneticPr fontId="191" type="noConversion"/>
  </si>
  <si>
    <t>KPG01-25</t>
    <phoneticPr fontId="191" type="noConversion"/>
  </si>
  <si>
    <t>AIR GRIPPER</t>
    <phoneticPr fontId="191" type="noConversion"/>
  </si>
  <si>
    <t xml:space="preserve">
케미칼
</t>
    <phoneticPr fontId="8" type="noConversion"/>
  </si>
  <si>
    <t>스리본드 방청제 1521B 3kg</t>
  </si>
  <si>
    <t>스리본드 방청제 1521B 3kg</t>
    <phoneticPr fontId="8" type="noConversion"/>
  </si>
  <si>
    <t>DT(CREW) Cab Seal (horizental)</t>
    <phoneticPr fontId="8" type="noConversion"/>
  </si>
  <si>
    <t>DT(CREW) Cab Seal RH (Vertical)</t>
    <phoneticPr fontId="8" type="noConversion"/>
  </si>
  <si>
    <t>DT(CREW) Cab Seal LH (Vertical)</t>
    <phoneticPr fontId="8" type="noConversion"/>
  </si>
  <si>
    <t>ME1a Power Tail Gate Side Strip SECT "A"</t>
  </si>
  <si>
    <t>태광</t>
    <phoneticPr fontId="8" type="noConversion"/>
  </si>
  <si>
    <t>광일</t>
    <phoneticPr fontId="8" type="noConversion"/>
  </si>
  <si>
    <t>승호</t>
    <phoneticPr fontId="8" type="noConversion"/>
  </si>
  <si>
    <t>LK 오토</t>
    <phoneticPr fontId="8" type="noConversion"/>
  </si>
  <si>
    <t>20kg(친환경톨루엔)</t>
    <phoneticPr fontId="191" type="noConversion"/>
  </si>
  <si>
    <t>G1110-0199-01</t>
    <phoneticPr fontId="8" type="noConversion"/>
  </si>
  <si>
    <t xml:space="preserve">KS PE HOOD SEAL </t>
    <phoneticPr fontId="8" type="noConversion"/>
  </si>
  <si>
    <t>대한콘트롤</t>
    <phoneticPr fontId="191" type="noConversion"/>
  </si>
  <si>
    <t>절단기교체</t>
    <phoneticPr fontId="191" type="noConversion"/>
  </si>
  <si>
    <t>서브모터</t>
    <phoneticPr fontId="191" type="noConversion"/>
  </si>
  <si>
    <t>센추리산업기술</t>
    <phoneticPr fontId="191" type="noConversion"/>
  </si>
  <si>
    <t>공사</t>
    <phoneticPr fontId="191" type="noConversion"/>
  </si>
  <si>
    <t>압출동 냉동기 배관공사</t>
    <phoneticPr fontId="191" type="noConversion"/>
  </si>
  <si>
    <t>GH 207(WH)</t>
  </si>
  <si>
    <t>GH 207(WH)</t>
    <phoneticPr fontId="7" type="noConversion"/>
  </si>
  <si>
    <t>GH 207(BK)</t>
  </si>
  <si>
    <t>GH 207(BK)</t>
    <phoneticPr fontId="7" type="noConversion"/>
  </si>
  <si>
    <t>YF C/SEAL CLIP BK (HWC-450)</t>
  </si>
  <si>
    <t>YF C/SEAL CLIP BK (HWC-450)</t>
    <phoneticPr fontId="7" type="noConversion"/>
  </si>
  <si>
    <t>신규</t>
  </si>
  <si>
    <t>GH 207(YE)</t>
  </si>
  <si>
    <t>GH 207(YE)</t>
    <phoneticPr fontId="8" type="noConversion"/>
  </si>
  <si>
    <t xml:space="preserve">TOTAL </t>
    <phoneticPr fontId="191" type="noConversion"/>
  </si>
  <si>
    <t>㈜도서출판 밀양</t>
    <phoneticPr fontId="191" type="noConversion"/>
  </si>
  <si>
    <t>기계스티커</t>
    <phoneticPr fontId="191" type="noConversion"/>
  </si>
  <si>
    <t>ME1a HOOD SEAL (FRUNK)</t>
    <phoneticPr fontId="8" type="noConversion"/>
  </si>
  <si>
    <t>G1110-0184-01</t>
    <phoneticPr fontId="8" type="noConversion"/>
  </si>
  <si>
    <t xml:space="preserve">오륙 </t>
    <phoneticPr fontId="8" type="noConversion"/>
  </si>
  <si>
    <t>G1119-0271-02</t>
    <phoneticPr fontId="8" type="noConversion"/>
  </si>
  <si>
    <t>ME1a Hood</t>
  </si>
  <si>
    <t>Tape Double Coated 일반 0.4T*7W*354L</t>
    <phoneticPr fontId="7" type="noConversion"/>
  </si>
  <si>
    <t>이닉스징호</t>
    <phoneticPr fontId="7" type="noConversion"/>
  </si>
  <si>
    <t>Tape Double Coated 일반 0.4T*7W*354L</t>
  </si>
  <si>
    <t>폐수 처리비용</t>
    <phoneticPr fontId="191" type="noConversion"/>
  </si>
  <si>
    <t>G1152-0046-02</t>
    <phoneticPr fontId="8" type="noConversion"/>
  </si>
  <si>
    <t>G1110-0170-03</t>
    <phoneticPr fontId="8" type="noConversion"/>
  </si>
  <si>
    <t>CL4 Hood FRT</t>
  </si>
  <si>
    <t>CL4 Hood Side Seal</t>
  </si>
  <si>
    <t>CL4 Hood RR</t>
  </si>
  <si>
    <t>DL3a INSERT DIV CHNL LH</t>
  </si>
  <si>
    <t>DL3a RESIN BLOCK</t>
  </si>
  <si>
    <t>as</t>
    <phoneticPr fontId="7" type="noConversion"/>
  </si>
  <si>
    <t>as</t>
    <phoneticPr fontId="8" type="noConversion"/>
  </si>
  <si>
    <t>ME1a</t>
    <phoneticPr fontId="7" type="noConversion"/>
  </si>
  <si>
    <t>831B0TD000</t>
  </si>
  <si>
    <t>ME1a Center Pillar Seal RR RH</t>
  </si>
  <si>
    <t>831A0TD000</t>
  </si>
  <si>
    <t>ME1a Center Pillar Seal RR LH</t>
  </si>
  <si>
    <t>ME1a</t>
    <phoneticPr fontId="8" type="noConversion"/>
  </si>
  <si>
    <t>81151-5H000</t>
    <phoneticPr fontId="7" type="noConversion"/>
  </si>
  <si>
    <t xml:space="preserve"> VT OUTER BELT 벨트라인</t>
    <phoneticPr fontId="7" type="noConversion"/>
  </si>
  <si>
    <t xml:space="preserve">CY </t>
    <phoneticPr fontId="7" type="noConversion"/>
  </si>
  <si>
    <t>84248-8C000</t>
    <phoneticPr fontId="7" type="noConversion"/>
  </si>
  <si>
    <t>CY 벨드라인( VT INR C/O)</t>
    <phoneticPr fontId="7" type="noConversion"/>
  </si>
  <si>
    <t>EG</t>
    <phoneticPr fontId="7" type="noConversion"/>
  </si>
  <si>
    <t>VT</t>
  </si>
  <si>
    <t>81151-5H000</t>
  </si>
  <si>
    <t xml:space="preserve"> VT OUTER BELT 벨트라인</t>
  </si>
  <si>
    <t xml:space="preserve">CY </t>
  </si>
  <si>
    <t>84248-8C000</t>
  </si>
  <si>
    <t>CY 벨드라인( VT INR C/O)</t>
  </si>
  <si>
    <t xml:space="preserve">EG INR </t>
    <phoneticPr fontId="7" type="noConversion"/>
  </si>
  <si>
    <t>DL3a INSERT DIV CHNL RH</t>
    <phoneticPr fontId="7" type="noConversion"/>
  </si>
  <si>
    <t>DL3a INSERT DIV CHNL RH</t>
    <phoneticPr fontId="8" type="noConversion"/>
  </si>
  <si>
    <t>CN7 D/SIDE RR "C"</t>
  </si>
  <si>
    <t>승호</t>
  </si>
  <si>
    <t>NX4 A D/SIDE "D"</t>
  </si>
  <si>
    <t>115++primer 1L/CAN</t>
    <phoneticPr fontId="191" type="noConversion"/>
  </si>
  <si>
    <t>효신</t>
    <phoneticPr fontId="8" type="noConversion"/>
  </si>
  <si>
    <t>DL3A</t>
  </si>
  <si>
    <t>F1102-2028-01</t>
    <phoneticPr fontId="7" type="noConversion"/>
  </si>
  <si>
    <t>R1102-2028</t>
    <phoneticPr fontId="7" type="noConversion"/>
  </si>
  <si>
    <t>FRT LH(4단)</t>
    <phoneticPr fontId="7" type="noConversion"/>
  </si>
  <si>
    <t>F1102-2029-01</t>
    <phoneticPr fontId="7" type="noConversion"/>
  </si>
  <si>
    <t>R1102-2029</t>
    <phoneticPr fontId="7" type="noConversion"/>
  </si>
  <si>
    <t>FRT RH(4단)</t>
    <phoneticPr fontId="7" type="noConversion"/>
  </si>
  <si>
    <t>R1102-2028</t>
  </si>
  <si>
    <t>FRT LH(4단)</t>
  </si>
  <si>
    <t>R1102-2029</t>
  </si>
  <si>
    <t>FRT RH(4단)</t>
  </si>
  <si>
    <t xml:space="preserve">FS D/SIDE FRT A </t>
  </si>
  <si>
    <t>핀가공</t>
    <phoneticPr fontId="191" type="noConversion"/>
  </si>
  <si>
    <t>46MM WIRE CARRIER(05R-159)</t>
  </si>
  <si>
    <t>편조 심금</t>
    <phoneticPr fontId="8" type="noConversion"/>
  </si>
  <si>
    <t>심금</t>
    <phoneticPr fontId="8" type="noConversion"/>
  </si>
  <si>
    <t>HSW-6000L</t>
  </si>
  <si>
    <t>HSW-6000L</t>
    <phoneticPr fontId="7" type="noConversion"/>
  </si>
  <si>
    <t>HSW-595V</t>
  </si>
  <si>
    <t>HSW-595V</t>
    <phoneticPr fontId="7" type="noConversion"/>
  </si>
  <si>
    <t>HSP-700</t>
  </si>
  <si>
    <t>HSP-700</t>
    <phoneticPr fontId="7" type="noConversion"/>
  </si>
  <si>
    <t>수성코팅</t>
  </si>
  <si>
    <t>수성코팅</t>
    <phoneticPr fontId="7" type="noConversion"/>
  </si>
  <si>
    <t>0.5*37.3mm</t>
  </si>
  <si>
    <t>㈜ 재 영</t>
    <phoneticPr fontId="7" type="noConversion"/>
  </si>
  <si>
    <t>신규업체</t>
    <phoneticPr fontId="8" type="noConversion"/>
  </si>
  <si>
    <t>0.5*37.3mm</t>
    <phoneticPr fontId="8" type="noConversion"/>
  </si>
  <si>
    <t>VF34,35</t>
    <phoneticPr fontId="8" type="noConversion"/>
  </si>
  <si>
    <t>㈜ 재 영</t>
    <phoneticPr fontId="8" type="noConversion"/>
  </si>
  <si>
    <t>EPDM PAD (3T*10W*82L , LH)</t>
  </si>
  <si>
    <t>EPDM PAD (3T*10W*82L , RH)</t>
  </si>
  <si>
    <t>EPDM PAD (3T*7W*323L)</t>
  </si>
  <si>
    <t>KL HOOD BOX</t>
  </si>
  <si>
    <t>550*270*165</t>
  </si>
  <si>
    <t>KL HOOD BOX</t>
    <phoneticPr fontId="7" type="noConversion"/>
  </si>
  <si>
    <t>550*270*165</t>
    <phoneticPr fontId="7" type="noConversion"/>
  </si>
  <si>
    <t>BL7m Hood Seal (FRT)</t>
  </si>
  <si>
    <t>BL7m</t>
  </si>
  <si>
    <t>86455BC000</t>
  </si>
  <si>
    <t>SHC</t>
  </si>
  <si>
    <t>유성</t>
  </si>
  <si>
    <t>G1119-0191-02</t>
  </si>
  <si>
    <t>SHC</t>
    <phoneticPr fontId="8" type="noConversion"/>
  </si>
  <si>
    <t>KASK 850*275</t>
    <phoneticPr fontId="191" type="noConversion"/>
  </si>
  <si>
    <t>TY</t>
    <phoneticPr fontId="7" type="noConversion"/>
  </si>
  <si>
    <t>TY Outer Belt FRT LH</t>
  </si>
  <si>
    <t>TY Outer Belt FRT LH</t>
    <phoneticPr fontId="7" type="noConversion"/>
  </si>
  <si>
    <t>TY Outer Belt FRT RH</t>
  </si>
  <si>
    <t>TY Outer Belt FRT RH</t>
    <phoneticPr fontId="7" type="noConversion"/>
  </si>
  <si>
    <t>TY</t>
    <phoneticPr fontId="8" type="noConversion"/>
  </si>
  <si>
    <t>J100 D/SIDE RR "C"</t>
    <phoneticPr fontId="8" type="noConversion"/>
  </si>
  <si>
    <t>2520*470*95</t>
  </si>
  <si>
    <t>2520*470*95</t>
    <phoneticPr fontId="7" type="noConversion"/>
  </si>
  <si>
    <t>46MM WIRE CARRIER(05R-159)  편조</t>
    <phoneticPr fontId="7" type="noConversion"/>
  </si>
  <si>
    <t>R2103-2405</t>
  </si>
  <si>
    <t>NE1A D/SIDE "C"</t>
  </si>
  <si>
    <t>R2103-2407</t>
  </si>
  <si>
    <t>NE1A D/SIDE "D"</t>
  </si>
  <si>
    <t>R2131-0016</t>
  </si>
  <si>
    <t>EJ SILL SEAL FRT SECT "A"</t>
  </si>
  <si>
    <t>R2131-0017</t>
  </si>
  <si>
    <t>EJ SILL SEAL RR SECT "A"</t>
  </si>
  <si>
    <t>R2103-0742</t>
  </si>
  <si>
    <t>WK/WDD/SIDE RR "D"</t>
  </si>
  <si>
    <t>R2101-0076</t>
  </si>
  <si>
    <t>WK/WDL/GATE</t>
  </si>
  <si>
    <t>R2129-0067</t>
  </si>
  <si>
    <t>EJ RR W/HOUSE CUTLINE</t>
  </si>
  <si>
    <t>R2101-0302</t>
  </si>
  <si>
    <t>VFe34 Trunk Lid RR A</t>
  </si>
  <si>
    <t>R2101-0298</t>
  </si>
  <si>
    <t>VF35 C-SUV Trunk Lid RR A</t>
  </si>
  <si>
    <t>R2103-2196</t>
  </si>
  <si>
    <t>CE1 D/SIDE RR "C"</t>
  </si>
  <si>
    <t>R2103-2198</t>
  </si>
  <si>
    <t>CE1 D/SIDE RR "D"</t>
  </si>
  <si>
    <t>R2103-2138</t>
  </si>
  <si>
    <t>NX4 A D/SIDE "C"</t>
  </si>
  <si>
    <t>R2103-2139</t>
  </si>
  <si>
    <t>R2103-2111</t>
  </si>
  <si>
    <t>NX4 A OB D/SIDE "D"</t>
  </si>
  <si>
    <t>R2103-1767</t>
  </si>
  <si>
    <t>C300 D/SIDE RR SECT  "C"</t>
  </si>
  <si>
    <t>R2144-0030</t>
  </si>
  <si>
    <t>RS4 C PLR PART "G"</t>
  </si>
  <si>
    <t>R2103-2272</t>
  </si>
  <si>
    <t>R2103-1967</t>
  </si>
  <si>
    <t>CN7 D/SIDE RR "D"</t>
  </si>
  <si>
    <t>OV 1 K RR "C"</t>
  </si>
  <si>
    <t>OV 1 K RR "D"</t>
  </si>
  <si>
    <t>KM49 LITF GATE TO ROOF</t>
  </si>
  <si>
    <t>R2142-0007-02</t>
  </si>
  <si>
    <t>EU T/GATE</t>
  </si>
  <si>
    <t>R2160-0004</t>
  </si>
  <si>
    <t>HSW-16000LC</t>
    <phoneticPr fontId="7" type="noConversion"/>
  </si>
  <si>
    <t>업체</t>
    <phoneticPr fontId="8" type="noConversion"/>
  </si>
  <si>
    <t>ON HOOD SEAL(RR)</t>
    <phoneticPr fontId="8" type="noConversion"/>
  </si>
  <si>
    <t>아마쉘 PAD 10.5*20.20</t>
    <phoneticPr fontId="7" type="noConversion"/>
  </si>
  <si>
    <t>아마쉘 PAD 1.5*20*20</t>
    <phoneticPr fontId="8" type="noConversion"/>
  </si>
  <si>
    <t>3103-0696</t>
  </si>
  <si>
    <t>아마쉘 PAD 3*6*90</t>
  </si>
  <si>
    <t>B0155093</t>
    <phoneticPr fontId="8" type="noConversion"/>
  </si>
  <si>
    <t>B0237040178</t>
    <phoneticPr fontId="8" type="noConversion"/>
  </si>
  <si>
    <t>B01HN00067</t>
    <phoneticPr fontId="8" type="noConversion"/>
  </si>
  <si>
    <t>HSW-16000LC</t>
  </si>
  <si>
    <t>나스마감</t>
    <phoneticPr fontId="7" type="noConversion"/>
  </si>
  <si>
    <t>통 주문수량</t>
    <phoneticPr fontId="7" type="noConversion"/>
  </si>
  <si>
    <t>규격</t>
    <phoneticPr fontId="7" type="noConversion"/>
  </si>
  <si>
    <t>중량</t>
    <phoneticPr fontId="7" type="noConversion"/>
  </si>
  <si>
    <t>규격단가</t>
    <phoneticPr fontId="7" type="noConversion"/>
  </si>
  <si>
    <t>통단가</t>
    <phoneticPr fontId="7" type="noConversion"/>
  </si>
  <si>
    <t>금액</t>
    <phoneticPr fontId="7" type="noConversion"/>
  </si>
  <si>
    <t>10K</t>
    <phoneticPr fontId="8" type="noConversion"/>
  </si>
  <si>
    <t>14K</t>
    <phoneticPr fontId="8" type="noConversion"/>
  </si>
  <si>
    <t>8K</t>
    <phoneticPr fontId="8" type="noConversion"/>
  </si>
  <si>
    <t>1K</t>
    <phoneticPr fontId="8" type="noConversion"/>
  </si>
  <si>
    <t>6K</t>
    <phoneticPr fontId="8" type="noConversion"/>
  </si>
  <si>
    <t>Y400 UPR "B"</t>
    <phoneticPr fontId="191" type="noConversion"/>
  </si>
  <si>
    <t>SCP1-1/2 H (0.5*50*5)</t>
  </si>
  <si>
    <t>SCP1-1/2 H (0.5*50*5)</t>
    <phoneticPr fontId="8" type="noConversion"/>
  </si>
  <si>
    <t>Tape Double Coated 일반 0.8TX8WX40L</t>
  </si>
  <si>
    <t>Tape Double Coated 일반 0.8TX8WX20L</t>
  </si>
  <si>
    <t>Tape Double Coated 일반 0.8TX8WX48.5L</t>
  </si>
  <si>
    <t>Plug 일반 Φ4×Φ8×200L (바디어퍼)</t>
  </si>
  <si>
    <t>105 x 120M</t>
  </si>
  <si>
    <t>주황섹(JK1 1겅징 RH)</t>
    <phoneticPr fontId="191" type="noConversion"/>
  </si>
  <si>
    <t>하늘색(JK1 2공장 LH)</t>
    <phoneticPr fontId="191" type="noConversion"/>
  </si>
  <si>
    <t>분홍색(JK1 2공장 RH)</t>
    <phoneticPr fontId="191" type="noConversion"/>
  </si>
  <si>
    <t xml:space="preserve">노랑색(JK1 1공장 LH) </t>
    <phoneticPr fontId="191" type="noConversion"/>
  </si>
  <si>
    <t>하늘색연속라벨지</t>
    <phoneticPr fontId="191" type="noConversion"/>
  </si>
  <si>
    <t>HSW-8000-3P</t>
  </si>
  <si>
    <t>㈜영우</t>
    <phoneticPr fontId="191" type="noConversion"/>
  </si>
  <si>
    <t>3105-0836</t>
  </si>
  <si>
    <t>0.05T*25W*100L</t>
  </si>
  <si>
    <t>HSW-204A</t>
  </si>
  <si>
    <t>글라스본드</t>
    <phoneticPr fontId="7" type="noConversion"/>
  </si>
  <si>
    <t>글리스본드</t>
    <phoneticPr fontId="8" type="noConversion"/>
  </si>
  <si>
    <t>P417</t>
    <phoneticPr fontId="46" type="noConversion"/>
  </si>
  <si>
    <t>P417 Upper Opening LH</t>
  </si>
  <si>
    <t>P417 Upper Opening RH</t>
  </si>
  <si>
    <t>G1110-0202-00</t>
  </si>
  <si>
    <t>OV1k Hood Seal</t>
  </si>
  <si>
    <t>OV1k Hood Seal (FRUNK)</t>
  </si>
  <si>
    <t>G1110-0203-00</t>
  </si>
  <si>
    <t>KS인터내셔날</t>
    <phoneticPr fontId="191" type="noConversion"/>
  </si>
  <si>
    <t>사상가위</t>
    <phoneticPr fontId="191" type="noConversion"/>
  </si>
  <si>
    <t>유성코팅제</t>
    <phoneticPr fontId="191" type="noConversion"/>
  </si>
  <si>
    <t>단가저렴</t>
    <phoneticPr fontId="191" type="noConversion"/>
  </si>
  <si>
    <t>(주)승호</t>
    <phoneticPr fontId="191" type="noConversion"/>
  </si>
  <si>
    <t>8KG</t>
    <phoneticPr fontId="8" type="noConversion"/>
  </si>
  <si>
    <t>poly-v 430j 16</t>
    <phoneticPr fontId="191" type="noConversion"/>
  </si>
  <si>
    <t>OV1k Insert Resin LH #X</t>
  </si>
  <si>
    <t>OV1k Insert Resin RH #X</t>
  </si>
  <si>
    <t>OV1k Insert Resin LH #Y</t>
  </si>
  <si>
    <t>OV1k Insert Resin RH #Y</t>
  </si>
  <si>
    <t>P417</t>
    <phoneticPr fontId="8" type="noConversion"/>
  </si>
  <si>
    <t>윤차장님 발주</t>
    <phoneticPr fontId="191" type="noConversion"/>
  </si>
  <si>
    <t xml:space="preserve"> W/STRIP </t>
    <phoneticPr fontId="191" type="noConversion"/>
  </si>
  <si>
    <t>DT(CREW) Hood Seal FR</t>
    <phoneticPr fontId="191" type="noConversion"/>
  </si>
  <si>
    <t>서지연</t>
    <phoneticPr fontId="191" type="noConversion"/>
  </si>
  <si>
    <t>86430X9000</t>
  </si>
  <si>
    <t>86435X9000</t>
  </si>
  <si>
    <t>81855X9100</t>
  </si>
  <si>
    <t>81865X9100</t>
  </si>
  <si>
    <t>OV1k Power Tail Gate Side Strip LH</t>
  </si>
  <si>
    <t>OV1k Power Tail Gate Side Strip RH</t>
  </si>
  <si>
    <t>OV1k</t>
    <phoneticPr fontId="8" type="noConversion"/>
  </si>
  <si>
    <t>OV1K
조영-&gt;아성화승납품</t>
    <phoneticPr fontId="7" type="noConversion"/>
  </si>
  <si>
    <t>HSW-8000-1</t>
    <phoneticPr fontId="7" type="noConversion"/>
  </si>
  <si>
    <t>OV1k Insert Resin LH #Y</t>
    <phoneticPr fontId="7" type="noConversion"/>
  </si>
  <si>
    <t>OV1k 형상패드(1.5*20*20)</t>
    <phoneticPr fontId="7" type="noConversion"/>
  </si>
  <si>
    <t>OV1k 형상패드(1.5*20*20)</t>
    <phoneticPr fontId="8" type="noConversion"/>
  </si>
  <si>
    <t xml:space="preserve">OV1k </t>
  </si>
  <si>
    <t>120*100</t>
    <phoneticPr fontId="191" type="noConversion"/>
  </si>
  <si>
    <t xml:space="preserve"> </t>
    <phoneticPr fontId="8" type="noConversion"/>
  </si>
  <si>
    <t>LQ2 Hood SIDE Seal LH</t>
  </si>
  <si>
    <t>G1110-0206-01</t>
  </si>
  <si>
    <t>한울</t>
    <phoneticPr fontId="191" type="noConversion"/>
  </si>
  <si>
    <t>G1110-0207-01</t>
  </si>
  <si>
    <t>LQ2 클립 (WH)</t>
  </si>
  <si>
    <t>LQ2 클립 (BR)</t>
  </si>
  <si>
    <t>LQ2</t>
  </si>
  <si>
    <t>택배비 무료요청</t>
    <phoneticPr fontId="8" type="noConversion"/>
  </si>
  <si>
    <t>오륙사용-오륙계산서</t>
    <phoneticPr fontId="191" type="noConversion"/>
  </si>
  <si>
    <t>오륙사용-조영계산서발행</t>
    <phoneticPr fontId="191" type="noConversion"/>
  </si>
  <si>
    <t>LQ2 Hood Seal FR</t>
  </si>
  <si>
    <t>LQ2 Hood Seal RR</t>
  </si>
  <si>
    <t>G1110-0204-01</t>
  </si>
  <si>
    <t>G1110-0205-01</t>
    <phoneticPr fontId="191" type="noConversion"/>
  </si>
  <si>
    <t>아성산업</t>
    <phoneticPr fontId="191" type="noConversion"/>
  </si>
  <si>
    <t>계산서 미발행-무료수거</t>
    <phoneticPr fontId="191" type="noConversion"/>
  </si>
  <si>
    <t>IP-115++/1L</t>
    <phoneticPr fontId="191" type="noConversion"/>
  </si>
  <si>
    <t>9BQC PRIVACY LH</t>
    <phoneticPr fontId="8" type="noConversion"/>
  </si>
  <si>
    <t>9BQC PRIVACY RH</t>
    <phoneticPr fontId="8" type="noConversion"/>
  </si>
  <si>
    <t>3105-0835</t>
  </si>
  <si>
    <t>9BQC 글라스본드</t>
    <phoneticPr fontId="191" type="noConversion"/>
  </si>
  <si>
    <t>전산</t>
    <phoneticPr fontId="191" type="noConversion"/>
  </si>
  <si>
    <t>입력시</t>
    <phoneticPr fontId="191" type="noConversion"/>
  </si>
  <si>
    <t>82530G6000</t>
  </si>
  <si>
    <t>82540G6000</t>
  </si>
  <si>
    <t>825304F000</t>
  </si>
  <si>
    <t>825404F000</t>
  </si>
  <si>
    <t>835304F000</t>
  </si>
  <si>
    <t>835404F000</t>
  </si>
  <si>
    <t>PU OUT CHAN LH</t>
  </si>
  <si>
    <t>PU OUT CHAN RH</t>
  </si>
  <si>
    <t>832104E000</t>
  </si>
  <si>
    <t>PU(D/CAB) OTR BELT LH</t>
  </si>
  <si>
    <t>832204E000</t>
  </si>
  <si>
    <t>PU(D/CAB) OTR BELT RH</t>
  </si>
  <si>
    <t>821707M000</t>
    <phoneticPr fontId="8" type="noConversion"/>
  </si>
  <si>
    <t>821807M000</t>
    <phoneticPr fontId="8" type="noConversion"/>
  </si>
  <si>
    <t>821707P000</t>
    <phoneticPr fontId="8" type="noConversion"/>
  </si>
  <si>
    <t>821807P000</t>
    <phoneticPr fontId="8" type="noConversion"/>
  </si>
  <si>
    <t>AD66203598-1</t>
    <phoneticPr fontId="7" type="noConversion"/>
  </si>
  <si>
    <t>AD62203598-2</t>
    <phoneticPr fontId="7" type="noConversion"/>
  </si>
  <si>
    <t>811515H000</t>
    <phoneticPr fontId="8" type="noConversion"/>
  </si>
  <si>
    <t>811615H000</t>
    <phoneticPr fontId="8" type="noConversion"/>
  </si>
  <si>
    <t>811517A000</t>
    <phoneticPr fontId="8" type="noConversion"/>
  </si>
  <si>
    <t>811617A000</t>
    <phoneticPr fontId="8" type="noConversion"/>
  </si>
  <si>
    <t>821707A000</t>
    <phoneticPr fontId="8" type="noConversion"/>
  </si>
  <si>
    <t>821807A000</t>
    <phoneticPr fontId="8" type="noConversion"/>
  </si>
  <si>
    <t>AD66203598-1</t>
    <phoneticPr fontId="8" type="noConversion"/>
  </si>
  <si>
    <t>AD62203598-2</t>
    <phoneticPr fontId="8" type="noConversion"/>
  </si>
  <si>
    <t>G1102-2069-00</t>
  </si>
  <si>
    <t>G1102-2070-00</t>
  </si>
  <si>
    <t>901488</t>
  </si>
  <si>
    <t>901463</t>
  </si>
  <si>
    <t>400223</t>
  </si>
  <si>
    <t>FFWED70050</t>
  </si>
  <si>
    <t>FFWED80102</t>
  </si>
  <si>
    <t>FFWED80108</t>
  </si>
  <si>
    <t>FFWED80065</t>
  </si>
  <si>
    <t>FFWED60009</t>
  </si>
  <si>
    <t>FFWED80112</t>
  </si>
  <si>
    <t>W60712$2</t>
    <phoneticPr fontId="8" type="noConversion"/>
  </si>
  <si>
    <t>W60712$2TA</t>
    <phoneticPr fontId="8" type="noConversion"/>
  </si>
  <si>
    <t>W60594BJ2</t>
    <phoneticPr fontId="8" type="noConversion"/>
  </si>
  <si>
    <t>W60052</t>
    <phoneticPr fontId="8" type="noConversion"/>
  </si>
  <si>
    <t>W60905$OS</t>
    <phoneticPr fontId="8" type="noConversion"/>
  </si>
  <si>
    <t>SRM-정산관리상품마감</t>
    <phoneticPr fontId="8" type="noConversion"/>
  </si>
  <si>
    <t>화승품번</t>
    <phoneticPr fontId="191" type="noConversion"/>
  </si>
  <si>
    <t>아이템코드</t>
    <phoneticPr fontId="8" type="noConversion"/>
  </si>
  <si>
    <t>G1102-0085</t>
  </si>
  <si>
    <t>G1102-0128</t>
  </si>
  <si>
    <t>G1102-0181</t>
  </si>
  <si>
    <t>G1102-0218</t>
  </si>
  <si>
    <t>G1106-0179</t>
  </si>
  <si>
    <t>아이템코드</t>
    <phoneticPr fontId="7" type="noConversion"/>
  </si>
  <si>
    <t>G1106-0180</t>
  </si>
  <si>
    <t>G1102-0621</t>
  </si>
  <si>
    <t>G1102-0620</t>
  </si>
  <si>
    <t>G1106-0179-01</t>
  </si>
  <si>
    <t>G1106-0180-01</t>
  </si>
  <si>
    <t>G1102-0620-01</t>
  </si>
  <si>
    <t>G1102-0621-01</t>
  </si>
  <si>
    <t>G1106-0212</t>
  </si>
  <si>
    <t>G1106-0213</t>
  </si>
  <si>
    <t>G1106-0317-00</t>
  </si>
  <si>
    <t>G1106-0318-00</t>
  </si>
  <si>
    <t>G1106-0669-00</t>
  </si>
  <si>
    <t>G1106-0670-00</t>
  </si>
  <si>
    <t>G1106-0009</t>
  </si>
  <si>
    <t>G1106-0010</t>
  </si>
  <si>
    <t>G2110-0130-00</t>
    <phoneticPr fontId="191" type="noConversion"/>
  </si>
  <si>
    <t>G1117-0024</t>
  </si>
  <si>
    <t>성환폐키지</t>
    <phoneticPr fontId="191" type="noConversion"/>
  </si>
  <si>
    <t>4.5KG</t>
    <phoneticPr fontId="191" type="noConversion"/>
  </si>
  <si>
    <t>롤</t>
    <phoneticPr fontId="8" type="noConversion"/>
  </si>
  <si>
    <t>HD</t>
  </si>
  <si>
    <t>9BQC 조인트제</t>
    <phoneticPr fontId="8" type="noConversion"/>
  </si>
  <si>
    <t>R2103-0542</t>
  </si>
  <si>
    <t>R2103-0917</t>
  </si>
  <si>
    <t>R2103-1773</t>
  </si>
  <si>
    <t>R2103-1774</t>
  </si>
  <si>
    <t>R2103-2123</t>
  </si>
  <si>
    <t>R2103-2124</t>
  </si>
  <si>
    <t>R2125-0038</t>
  </si>
  <si>
    <t>R2103-2243</t>
  </si>
  <si>
    <t>R2105-0002</t>
  </si>
  <si>
    <t>R2105-0013</t>
  </si>
  <si>
    <t>R2109-0079</t>
  </si>
  <si>
    <t>R2114-0042</t>
  </si>
  <si>
    <t>G3101-0181</t>
  </si>
  <si>
    <t>G3101-0182</t>
  </si>
  <si>
    <t>G3101-0183</t>
  </si>
  <si>
    <t>G3101-0184</t>
  </si>
  <si>
    <t>G3101-0185</t>
  </si>
  <si>
    <t>G3101-0186</t>
  </si>
  <si>
    <t>G3101-0187</t>
  </si>
  <si>
    <t>G3101-0188</t>
  </si>
  <si>
    <t>G3101-0158</t>
  </si>
  <si>
    <t>G3101-0159</t>
  </si>
  <si>
    <t>G3101-0160</t>
  </si>
  <si>
    <t>G3101-0161</t>
  </si>
  <si>
    <t>G3101-0170</t>
  </si>
  <si>
    <t>G3101-0171</t>
  </si>
  <si>
    <t>G3101-0253</t>
  </si>
  <si>
    <t>G3101-0254</t>
  </si>
  <si>
    <t>G3101-0255</t>
  </si>
  <si>
    <t>G3101-0256</t>
  </si>
  <si>
    <t>G3100-0071</t>
  </si>
  <si>
    <t>G3101-0168</t>
  </si>
  <si>
    <t>G3101-0169</t>
  </si>
  <si>
    <t>G3105-0267</t>
  </si>
  <si>
    <t>G3105-0271</t>
  </si>
  <si>
    <t>G3101-0257</t>
  </si>
  <si>
    <t>G3103-0032</t>
  </si>
  <si>
    <t>G3103-0033</t>
  </si>
  <si>
    <t>G3103-0140</t>
  </si>
  <si>
    <t>G3103-0045</t>
  </si>
  <si>
    <t>G3103-0113</t>
  </si>
  <si>
    <t>G3103-0112</t>
  </si>
  <si>
    <t>G3103-0037</t>
  </si>
  <si>
    <t>G3101-0350</t>
  </si>
  <si>
    <t>G3102-0296</t>
  </si>
  <si>
    <t>G3102-0297</t>
  </si>
  <si>
    <t>G3102-0298</t>
  </si>
  <si>
    <t>G3102-0299</t>
  </si>
  <si>
    <t>G3102-0300</t>
  </si>
  <si>
    <t>G3102-0301</t>
  </si>
  <si>
    <t>G3104-0036</t>
  </si>
  <si>
    <t>G3105-0415</t>
  </si>
  <si>
    <t>G3105-0416</t>
  </si>
  <si>
    <t>G3101-0077</t>
  </si>
  <si>
    <t>G3101-0076</t>
  </si>
  <si>
    <t>G3101-0358</t>
  </si>
  <si>
    <t>G3101-0359</t>
  </si>
  <si>
    <t>G3101-0272</t>
  </si>
  <si>
    <t>G3101-0081</t>
  </si>
  <si>
    <t>G3101-0035</t>
  </si>
  <si>
    <t>G3101-0770</t>
  </si>
  <si>
    <t>G3101-0771</t>
  </si>
  <si>
    <t>G3101-0762</t>
  </si>
  <si>
    <t>G3101-0867</t>
  </si>
  <si>
    <t>G3101-0987</t>
  </si>
  <si>
    <t>G3101-0988</t>
  </si>
  <si>
    <t>G3101-0989</t>
  </si>
  <si>
    <t>G3105-0897</t>
  </si>
  <si>
    <t>G3105-0941</t>
  </si>
  <si>
    <t>G3105-0942</t>
  </si>
  <si>
    <t>G3105-0943</t>
  </si>
  <si>
    <t>G3106-1453</t>
  </si>
  <si>
    <t>G3106-1454</t>
  </si>
  <si>
    <t>G3106-1455</t>
  </si>
  <si>
    <t>G3106-1456</t>
  </si>
  <si>
    <t>G3106-1457</t>
  </si>
  <si>
    <t>G3106-1458</t>
  </si>
  <si>
    <t>G3106-1459</t>
  </si>
  <si>
    <t>G3106-1460</t>
  </si>
  <si>
    <t>G3106-1461</t>
  </si>
  <si>
    <t>G3106-1462</t>
  </si>
  <si>
    <t>G3106-1745</t>
  </si>
  <si>
    <t>G3106-1746</t>
  </si>
  <si>
    <t>G3106-1747</t>
  </si>
  <si>
    <t>G3106-1748</t>
  </si>
  <si>
    <t>G3104-0184</t>
  </si>
  <si>
    <t>G3103-0914</t>
  </si>
  <si>
    <t>G3101-1253</t>
  </si>
  <si>
    <t>G3101-1254</t>
  </si>
  <si>
    <t>G3106-1014</t>
  </si>
  <si>
    <t>G3106-1015</t>
  </si>
  <si>
    <t>G3106-1016</t>
  </si>
  <si>
    <t>G3101-0997</t>
  </si>
  <si>
    <t>G3101-0998</t>
  </si>
  <si>
    <t>G3101-1070</t>
  </si>
  <si>
    <t>G3101-1082</t>
  </si>
  <si>
    <t>G3103-0118</t>
  </si>
  <si>
    <t>G3103-0732</t>
  </si>
  <si>
    <t>G3103-0587</t>
  </si>
  <si>
    <t>G3103-0588</t>
  </si>
  <si>
    <t>G3103-0700</t>
  </si>
  <si>
    <t>G3106-0663</t>
  </si>
  <si>
    <t>G3106-0664</t>
  </si>
  <si>
    <t>G3106-0706</t>
  </si>
  <si>
    <t>G3106-0707</t>
  </si>
  <si>
    <t>G3101-0669</t>
  </si>
  <si>
    <t>G3106-0459</t>
  </si>
  <si>
    <t>G3101-0668</t>
  </si>
  <si>
    <t>G3101-0311</t>
  </si>
  <si>
    <t>G3101-0673</t>
  </si>
  <si>
    <t>G3101-0346</t>
  </si>
  <si>
    <t>G3101-0345</t>
  </si>
  <si>
    <t>G3101-0280</t>
  </si>
  <si>
    <t>G3101-0281</t>
  </si>
  <si>
    <t>G3101-0282</t>
  </si>
  <si>
    <t>G3101-1111</t>
  </si>
  <si>
    <t>G3101-0384</t>
  </si>
  <si>
    <t>G3101-0982</t>
  </si>
  <si>
    <t>G3101-0383</t>
  </si>
  <si>
    <t>G3101-0371</t>
  </si>
  <si>
    <t>G3101-0373</t>
  </si>
  <si>
    <t>G1102-0832-01</t>
  </si>
  <si>
    <t>R2103-2596</t>
    <phoneticPr fontId="191" type="noConversion"/>
  </si>
  <si>
    <t>R2103-2597</t>
    <phoneticPr fontId="191" type="noConversion"/>
  </si>
  <si>
    <t>대윤오토모티브</t>
    <phoneticPr fontId="191" type="noConversion"/>
  </si>
  <si>
    <t>9bgc단연사</t>
    <phoneticPr fontId="191" type="noConversion"/>
  </si>
  <si>
    <t>㈜유앤아이</t>
    <phoneticPr fontId="191" type="noConversion"/>
  </si>
  <si>
    <t>PET 2000(백색)</t>
    <phoneticPr fontId="191" type="noConversion"/>
  </si>
  <si>
    <t>2롤(당12키로)한박스</t>
    <phoneticPr fontId="191" type="noConversion"/>
  </si>
  <si>
    <t>아이제 코리아</t>
    <phoneticPr fontId="191" type="noConversion"/>
  </si>
  <si>
    <t>5152 희석재</t>
    <phoneticPr fontId="191" type="noConversion"/>
  </si>
  <si>
    <t>ea</t>
    <phoneticPr fontId="191" type="noConversion"/>
  </si>
  <si>
    <t xml:space="preserve"> 신천 부림텍</t>
    <phoneticPr fontId="191" type="noConversion"/>
  </si>
  <si>
    <t>C140 TREE CLIP BK</t>
  </si>
  <si>
    <t>G3101-0534</t>
    <phoneticPr fontId="8" type="noConversion"/>
  </si>
  <si>
    <t xml:space="preserve">LQ2 </t>
  </si>
  <si>
    <t>W6071-2$2</t>
  </si>
  <si>
    <t>W6071-2$TA</t>
  </si>
  <si>
    <t>LQ2 Hood SIDE Seal RH</t>
    <phoneticPr fontId="191" type="noConversion"/>
  </si>
  <si>
    <t>AS자재</t>
  </si>
  <si>
    <t>효신</t>
  </si>
  <si>
    <t>R 2103-0414</t>
  </si>
  <si>
    <t>VI PART SEAL RR "A"</t>
  </si>
  <si>
    <t>R 2109-0024</t>
  </si>
  <si>
    <t xml:space="preserve">VI UPR SEAL FRT S"A </t>
  </si>
  <si>
    <t>R 2103-0904</t>
  </si>
  <si>
    <t>VI PART SEAL "A"</t>
  </si>
  <si>
    <t>R 2103-0072</t>
  </si>
  <si>
    <t>HI UPPER OP' G B</t>
  </si>
  <si>
    <t>R 2100-0259</t>
  </si>
  <si>
    <t>HI C-PLR</t>
  </si>
  <si>
    <t>R 2109-0030</t>
  </si>
  <si>
    <t>TF UPR OPG "B"</t>
  </si>
  <si>
    <t>R 2103-0169</t>
  </si>
  <si>
    <t>SA D/SIDE "B"</t>
  </si>
  <si>
    <t>R 2109-0006</t>
  </si>
  <si>
    <t>TG UPR OPEN "A"</t>
  </si>
  <si>
    <t>R 2109-0035</t>
  </si>
  <si>
    <t xml:space="preserve">HG/ AG UPR OPEN "A" </t>
  </si>
  <si>
    <t>R 2109-0038</t>
  </si>
  <si>
    <t>HG UPPER OP"G "C"</t>
  </si>
  <si>
    <t>R 2109-0037</t>
  </si>
  <si>
    <t>HG UPPER OP"G "B"</t>
  </si>
  <si>
    <t>R 2109-0008</t>
  </si>
  <si>
    <t>TG UPR OPR  RR S "C"</t>
  </si>
  <si>
    <t>R 2103-0878</t>
  </si>
  <si>
    <t>QL D/SIDE RR "C"</t>
  </si>
  <si>
    <t>R2103-2507</t>
    <phoneticPr fontId="191" type="noConversion"/>
  </si>
  <si>
    <t>화승케미칼마감</t>
    <phoneticPr fontId="7" type="noConversion"/>
  </si>
  <si>
    <t>목재파렛트</t>
    <phoneticPr fontId="7" type="noConversion"/>
  </si>
  <si>
    <t>G1102-2756-00</t>
  </si>
  <si>
    <t>G1102-2757-00</t>
  </si>
  <si>
    <t>G1102-2754-00</t>
  </si>
  <si>
    <t>G1102-2755-00</t>
  </si>
  <si>
    <t>G1102-2752-00</t>
  </si>
  <si>
    <t>G1102-2753-00</t>
  </si>
  <si>
    <t>G1102-0727</t>
  </si>
  <si>
    <t>G1102-0728</t>
  </si>
  <si>
    <t>G1102-0729</t>
  </si>
  <si>
    <t>G1102-0730</t>
  </si>
  <si>
    <t>G1102-0762</t>
  </si>
  <si>
    <t>G1102-0763</t>
  </si>
  <si>
    <t>G1103-0628</t>
  </si>
  <si>
    <t>G1103-0630</t>
  </si>
  <si>
    <t>G1102-1174-00</t>
  </si>
  <si>
    <t>차액</t>
    <phoneticPr fontId="191" type="noConversion"/>
  </si>
  <si>
    <t>금액</t>
    <phoneticPr fontId="191" type="noConversion"/>
  </si>
  <si>
    <t>본</t>
    <phoneticPr fontId="191" type="noConversion"/>
  </si>
  <si>
    <t>G3101-0380-01</t>
    <phoneticPr fontId="8" type="noConversion"/>
  </si>
  <si>
    <t>G3101-0375-01</t>
  </si>
  <si>
    <t>G3101-0374-01</t>
  </si>
  <si>
    <t>G3101-0327-06</t>
  </si>
  <si>
    <t>G3101-0283-01</t>
  </si>
  <si>
    <t>G3101-0279-01</t>
  </si>
  <si>
    <t>G3101-0047-06</t>
  </si>
  <si>
    <t>G3105-0047-01</t>
  </si>
  <si>
    <t>G3101-0384-01</t>
    <phoneticPr fontId="8" type="noConversion"/>
  </si>
  <si>
    <t xml:space="preserve">2000*950 </t>
    <phoneticPr fontId="7" type="noConversion"/>
  </si>
  <si>
    <t>821707A000</t>
  </si>
  <si>
    <t>OTR CHAN LH</t>
  </si>
  <si>
    <t>821807A000</t>
  </si>
  <si>
    <t>OTR CHAN RH</t>
  </si>
  <si>
    <t>물품대 외</t>
  </si>
  <si>
    <t>as</t>
    <phoneticPr fontId="191" type="noConversion"/>
  </si>
  <si>
    <t>한새산업</t>
    <phoneticPr fontId="191" type="noConversion"/>
  </si>
  <si>
    <t>K656-1560A</t>
  </si>
  <si>
    <t>DN8 D/SIDE 외</t>
  </si>
  <si>
    <t>W/S 공통</t>
  </si>
  <si>
    <t>DS "D" 소재공급</t>
  </si>
  <si>
    <t>DT(CREW) Hood 외</t>
    <phoneticPr fontId="191" type="noConversion"/>
  </si>
  <si>
    <t>최태정</t>
    <phoneticPr fontId="191" type="noConversion"/>
  </si>
  <si>
    <t>1년간후드단가 원복안함-대신 효신으로 계산서발행-전무님 말씀</t>
    <phoneticPr fontId="191" type="noConversion"/>
  </si>
  <si>
    <t>정은나</t>
    <phoneticPr fontId="191" type="noConversion"/>
  </si>
  <si>
    <t>안국현.김일경</t>
    <phoneticPr fontId="191" type="noConversion"/>
  </si>
  <si>
    <t>매월15일</t>
    <phoneticPr fontId="191" type="noConversion"/>
  </si>
  <si>
    <t>42933952</t>
  </si>
  <si>
    <t>42933953</t>
  </si>
  <si>
    <t>42933956</t>
  </si>
  <si>
    <t>42933957</t>
  </si>
  <si>
    <t>42933958</t>
  </si>
  <si>
    <t>42933959</t>
  </si>
  <si>
    <t>GH -105 BK 블랙(화살촉 모양)</t>
  </si>
  <si>
    <t>AS</t>
    <phoneticPr fontId="8" type="noConversion"/>
  </si>
  <si>
    <t>G3101-0772</t>
    <phoneticPr fontId="8" type="noConversion"/>
  </si>
  <si>
    <t>0.03*150*457</t>
    <phoneticPr fontId="191" type="noConversion"/>
  </si>
  <si>
    <t>법인카드결재 ( 26년 3월12일 부터 법인카드로 결재진행)</t>
    <phoneticPr fontId="191" type="noConversion"/>
  </si>
  <si>
    <t>㈜세닉스</t>
    <phoneticPr fontId="191" type="noConversion"/>
  </si>
  <si>
    <t>수리 1260AN [AC220V DC12KV 6KV]</t>
  </si>
  <si>
    <t>압출동 집진기 파워팩</t>
    <phoneticPr fontId="191" type="noConversion"/>
  </si>
  <si>
    <t>0.03*150*140</t>
    <phoneticPr fontId="191" type="noConversion"/>
  </si>
  <si>
    <t xml:space="preserve"> 주식회사 정성</t>
    <phoneticPr fontId="191" type="noConversion"/>
  </si>
  <si>
    <t>(동영테크 이관업체) 대정에서 주식회사 정성으로 법인전환</t>
    <phoneticPr fontId="191" type="noConversion"/>
  </si>
  <si>
    <t>가공</t>
    <phoneticPr fontId="191" type="noConversion"/>
  </si>
  <si>
    <t>KM/KX LIFT GATE CUTLINE</t>
  </si>
  <si>
    <t>.</t>
    <phoneticPr fontId="46" type="noConversion"/>
  </si>
  <si>
    <t>DS(CREW) Door Side RR RH</t>
  </si>
  <si>
    <t>DS(CREW) Door Side RR LH</t>
  </si>
  <si>
    <t>G1103-0629</t>
  </si>
  <si>
    <t>G3101-0369-01</t>
    <phoneticPr fontId="8" type="noConversion"/>
  </si>
  <si>
    <t>G3101-0379-03</t>
    <phoneticPr fontId="8" type="noConversion"/>
  </si>
  <si>
    <t>G3101-0440-02</t>
    <phoneticPr fontId="8" type="noConversion"/>
  </si>
  <si>
    <t>AS</t>
    <phoneticPr fontId="7" type="noConversion"/>
  </si>
  <si>
    <t>R2105-0033</t>
    <phoneticPr fontId="191" type="noConversion"/>
  </si>
  <si>
    <t>TB UPR SEAL RR S "A"</t>
    <phoneticPr fontId="191" type="noConversion"/>
  </si>
  <si>
    <t>R2103-0409</t>
    <phoneticPr fontId="191" type="noConversion"/>
  </si>
  <si>
    <t>XM D/SIDE FRT S "A"</t>
    <phoneticPr fontId="191" type="noConversion"/>
  </si>
  <si>
    <t>R2109-0029</t>
    <phoneticPr fontId="191" type="noConversion"/>
  </si>
  <si>
    <t>TF U/S FRT A</t>
    <phoneticPr fontId="191" type="noConversion"/>
  </si>
  <si>
    <t>R2109-0039</t>
    <phoneticPr fontId="191" type="noConversion"/>
  </si>
  <si>
    <t>VF UPR OPG FRT S "A"</t>
    <phoneticPr fontId="191" type="noConversion"/>
  </si>
  <si>
    <t>박수진</t>
    <phoneticPr fontId="191" type="noConversion"/>
  </si>
  <si>
    <t>개발대응</t>
    <phoneticPr fontId="191" type="noConversion"/>
  </si>
  <si>
    <t>금강사</t>
    <phoneticPr fontId="191" type="noConversion"/>
  </si>
  <si>
    <t>반달스펀지</t>
    <phoneticPr fontId="191" type="noConversion"/>
  </si>
  <si>
    <t>박소희</t>
    <phoneticPr fontId="191" type="noConversion"/>
  </si>
  <si>
    <t>0.03*150*150</t>
    <phoneticPr fontId="191" type="noConversion"/>
  </si>
  <si>
    <t>포장필름단칼(A,B동 비닐)</t>
    <phoneticPr fontId="191" type="noConversion"/>
  </si>
  <si>
    <t>HD포장필름단칼(압출 소재 포장)</t>
    <phoneticPr fontId="191" type="noConversion"/>
  </si>
  <si>
    <t>금조종합상사</t>
    <phoneticPr fontId="191" type="noConversion"/>
  </si>
  <si>
    <t xml:space="preserve"> </t>
    <phoneticPr fontId="191" type="noConversion"/>
  </si>
  <si>
    <t>F2103-0606</t>
  </si>
  <si>
    <t>DS D/SIDE RR A(CREW)</t>
  </si>
  <si>
    <t>F2103-0608</t>
  </si>
  <si>
    <t>DS D/SIDE RR C (CREW)</t>
  </si>
  <si>
    <t>F2103-1533</t>
  </si>
  <si>
    <t>DT(CREW) D/SIDE "C" RR</t>
  </si>
  <si>
    <t>F2103-1709</t>
  </si>
  <si>
    <t>DT(CREW) D/SIDE "A" RR ROLL</t>
  </si>
  <si>
    <t>F2103-1710</t>
  </si>
  <si>
    <t>DT(CREW) D/SIDE RR "B" ROLL</t>
  </si>
  <si>
    <t>F2109-0143</t>
  </si>
  <si>
    <t>P417 BODY UPR SEAL</t>
  </si>
  <si>
    <t>NX4 G/RUN FRT A</t>
    <phoneticPr fontId="7" type="noConversion"/>
  </si>
  <si>
    <t>NX4 G/RUN FRT B</t>
    <phoneticPr fontId="7" type="noConversion"/>
  </si>
  <si>
    <t>NX4 G/RUN FRT C</t>
    <phoneticPr fontId="7" type="noConversion"/>
  </si>
  <si>
    <t>W60664$OS</t>
  </si>
  <si>
    <t>해동무역
신천</t>
    <phoneticPr fontId="7" type="noConversion"/>
  </si>
  <si>
    <t>W6082$NA</t>
  </si>
  <si>
    <t>W60905$OS</t>
  </si>
  <si>
    <t>소재  삼랑진</t>
    <phoneticPr fontId="7" type="noConversion"/>
  </si>
  <si>
    <t>해동무역
조영</t>
    <phoneticPr fontId="191" type="noConversion"/>
  </si>
  <si>
    <t>해동무역
삼랑진</t>
    <phoneticPr fontId="8" type="noConversion"/>
  </si>
  <si>
    <t>광진포장</t>
    <phoneticPr fontId="8" type="noConversion"/>
  </si>
  <si>
    <t>A타입 캡상자</t>
  </si>
  <si>
    <t>1116*949*98</t>
  </si>
  <si>
    <t>m2</t>
  </si>
  <si>
    <t>조영마감</t>
    <phoneticPr fontId="191" type="noConversion"/>
  </si>
  <si>
    <t>A타입 윤곽</t>
  </si>
  <si>
    <t>1100*930*285</t>
  </si>
  <si>
    <t>A타입 사각패드</t>
  </si>
  <si>
    <t>920*1080</t>
  </si>
  <si>
    <t>C타입 캡</t>
  </si>
  <si>
    <t>2015*465*95</t>
  </si>
  <si>
    <t>C타입 AA골 윤곽</t>
  </si>
  <si>
    <t>1997*450*285</t>
  </si>
  <si>
    <t>C타입 캡패드</t>
  </si>
  <si>
    <t>1977*430</t>
  </si>
  <si>
    <t>전력비</t>
    <phoneticPr fontId="191" type="noConversion"/>
  </si>
  <si>
    <t>㈜오륙</t>
  </si>
  <si>
    <t>오륙공사</t>
  </si>
  <si>
    <t>㈜조영산업</t>
  </si>
  <si>
    <t>조영산업</t>
  </si>
  <si>
    <t>한울</t>
  </si>
  <si>
    <t>부림텍</t>
  </si>
  <si>
    <t>조영매입</t>
    <phoneticPr fontId="191" type="noConversion"/>
  </si>
  <si>
    <t>화승R&amp;A 부자재</t>
    <phoneticPr fontId="8" type="noConversion"/>
  </si>
  <si>
    <t>네트웍스 부자재</t>
    <phoneticPr fontId="8" type="noConversion"/>
  </si>
  <si>
    <t xml:space="preserve">광진포장
</t>
    <phoneticPr fontId="191" type="noConversion"/>
  </si>
  <si>
    <t>전력비</t>
    <phoneticPr fontId="7" type="noConversion"/>
  </si>
  <si>
    <t>조영결제</t>
    <phoneticPr fontId="7" type="noConversion"/>
  </si>
  <si>
    <t>㈜오륙</t>
    <phoneticPr fontId="7" type="noConversion"/>
  </si>
  <si>
    <t>오륙공사</t>
    <phoneticPr fontId="7" type="noConversion"/>
  </si>
  <si>
    <t>유성</t>
    <phoneticPr fontId="7" type="noConversion"/>
  </si>
  <si>
    <t>㈜조영산업</t>
    <phoneticPr fontId="7" type="noConversion"/>
  </si>
  <si>
    <t>조영산업</t>
    <phoneticPr fontId="7" type="noConversion"/>
  </si>
  <si>
    <t>한울</t>
    <phoneticPr fontId="7" type="noConversion"/>
  </si>
  <si>
    <t>부림텍</t>
    <phoneticPr fontId="7" type="noConversion"/>
  </si>
  <si>
    <t>내수
김다솜</t>
    <phoneticPr fontId="8" type="noConversion"/>
  </si>
  <si>
    <t>수출
서지연</t>
    <phoneticPr fontId="8" type="noConversion"/>
  </si>
  <si>
    <t>NX4 Glass run FR LH 현대CKD</t>
  </si>
  <si>
    <t>NX4 Glass run FR RH 현대CKD</t>
  </si>
  <si>
    <t>F1102-2028-01</t>
  </si>
  <si>
    <t>F1102-2029-01</t>
  </si>
  <si>
    <t>G1103-0631</t>
  </si>
  <si>
    <t>G1103-0632</t>
  </si>
  <si>
    <t>70*80(엑셀 오피닝)</t>
  </si>
  <si>
    <t>0.03*120*100</t>
  </si>
  <si>
    <t>0.03*120*100(노랑)</t>
  </si>
  <si>
    <t>조은초경</t>
    <phoneticPr fontId="191" type="noConversion"/>
  </si>
  <si>
    <t>TIP SAW 연마</t>
    <phoneticPr fontId="191" type="noConversion"/>
  </si>
  <si>
    <t>TIP SAW 수리</t>
    <phoneticPr fontId="191" type="noConversion"/>
  </si>
  <si>
    <t>T/B 700H 75W 라텍스5T</t>
    <phoneticPr fontId="191" type="noConversion"/>
  </si>
  <si>
    <t>T/B 320H 75W 라텍스5T</t>
    <phoneticPr fontId="191" type="noConversion"/>
  </si>
  <si>
    <t>25.6.24</t>
    <phoneticPr fontId="191" type="noConversion"/>
  </si>
  <si>
    <t>25.9.30</t>
    <phoneticPr fontId="191" type="noConversion"/>
  </si>
  <si>
    <t>현대B&amp;P(김동춘)
유림비앤피 대체</t>
    <phoneticPr fontId="191" type="noConversion"/>
  </si>
  <si>
    <t>T/B 700H 75외</t>
    <phoneticPr fontId="191" type="noConversion"/>
  </si>
  <si>
    <t>26.4.30</t>
    <phoneticPr fontId="191" type="noConversion"/>
  </si>
  <si>
    <t>G1103-2081-01</t>
  </si>
  <si>
    <t>G1103-2082-01</t>
  </si>
  <si>
    <t>G1103-1562-00</t>
  </si>
  <si>
    <t>G1103-1563-03</t>
  </si>
  <si>
    <t>G1102-1973-00</t>
  </si>
  <si>
    <t>G1102-1973-01</t>
  </si>
  <si>
    <t>G1102-1974-00</t>
  </si>
  <si>
    <t>G1102-1974-01</t>
  </si>
  <si>
    <t>G1102-2069-01</t>
  </si>
  <si>
    <t>G1102-2070-01</t>
  </si>
  <si>
    <t>G1102-2069-02</t>
  </si>
  <si>
    <t>G1102-2070-02</t>
  </si>
  <si>
    <t>G1103-1506-00</t>
  </si>
  <si>
    <t>G1103-1507-00</t>
  </si>
  <si>
    <t>G1125-0083-01</t>
  </si>
  <si>
    <t>G1125-0082-01</t>
  </si>
  <si>
    <t>G1103-1871-02</t>
  </si>
  <si>
    <t>G1103-1872-02</t>
  </si>
  <si>
    <t>G1103-1873-02</t>
  </si>
  <si>
    <t>G1103-1874-02</t>
  </si>
  <si>
    <t>G1109-0251-02</t>
  </si>
  <si>
    <t>G1109-0252-02</t>
  </si>
  <si>
    <t>DS D/SIDE RR B LH(CREW)</t>
    <phoneticPr fontId="7" type="noConversion"/>
  </si>
  <si>
    <t>DS D/SIDE RR B RH(CREW)</t>
    <phoneticPr fontId="7" type="noConversion"/>
  </si>
  <si>
    <t>DS D/SIDE FRT B LH(CREW)</t>
    <phoneticPr fontId="7" type="noConversion"/>
  </si>
  <si>
    <t>DS D/SIDE FRT B RH(CREW)</t>
    <phoneticPr fontId="7" type="noConversion"/>
  </si>
  <si>
    <t>G1102-1361-00</t>
  </si>
  <si>
    <t>G1102-1362-00</t>
  </si>
  <si>
    <t>G1110-0171-01</t>
  </si>
  <si>
    <t>86455-BC000</t>
  </si>
  <si>
    <t>BL7m Hood Seal (FRT)</t>
    <phoneticPr fontId="7" type="noConversion"/>
  </si>
  <si>
    <t>55112362AI</t>
  </si>
  <si>
    <t>55112363AI</t>
  </si>
  <si>
    <t>DS(CREW) Door Side RR RH(미)</t>
  </si>
  <si>
    <t>DS(CREW) Door Side RR LH(미)</t>
  </si>
  <si>
    <t>G1103-1499-00</t>
  </si>
  <si>
    <t>G1103-1504-00</t>
  </si>
  <si>
    <t>삼랑진매출</t>
    <phoneticPr fontId="8" type="noConversion"/>
  </si>
  <si>
    <t>H2103-0536</t>
  </si>
  <si>
    <t>HG D/SIDE "A"</t>
  </si>
  <si>
    <t>H2103-0536</t>
    <phoneticPr fontId="191" type="noConversion"/>
  </si>
  <si>
    <t>HG D/SIDE "A"</t>
    <phoneticPr fontId="191" type="noConversion"/>
  </si>
  <si>
    <t>KM</t>
    <phoneticPr fontId="8" type="noConversion"/>
  </si>
  <si>
    <t>DT(CREW) Door Side RR RH (CREW)</t>
  </si>
  <si>
    <t>DT(CREW) Door Side RR LH (CREW)</t>
  </si>
  <si>
    <t xml:space="preserve">촬영기 PLC </t>
    <phoneticPr fontId="191" type="noConversion"/>
  </si>
  <si>
    <t>밧데리교체</t>
    <phoneticPr fontId="191" type="noConversion"/>
  </si>
  <si>
    <t>프로그램 및 시운전</t>
    <phoneticPr fontId="191" type="noConversion"/>
  </si>
  <si>
    <t>대성종합상사</t>
    <phoneticPr fontId="191" type="noConversion"/>
  </si>
  <si>
    <t>OK버원시스템
라벨지</t>
    <phoneticPr fontId="191" type="noConversion"/>
  </si>
  <si>
    <t>포장재</t>
    <phoneticPr fontId="191" type="noConversion"/>
  </si>
  <si>
    <t>라벨류</t>
    <phoneticPr fontId="191" type="noConversion"/>
  </si>
  <si>
    <t>본드.오일</t>
    <phoneticPr fontId="191" type="noConversion"/>
  </si>
  <si>
    <t>폐고무.폐수</t>
    <phoneticPr fontId="191" type="noConversion"/>
  </si>
  <si>
    <t>삼랑진 신천 사상가위</t>
    <phoneticPr fontId="191" type="noConversion"/>
  </si>
  <si>
    <t>법인차량수리</t>
    <phoneticPr fontId="191" type="noConversion"/>
  </si>
  <si>
    <t>기타</t>
    <phoneticPr fontId="191" type="noConversion"/>
  </si>
  <si>
    <t>EPDM 상품</t>
  </si>
  <si>
    <t>EPDM 상품</t>
    <phoneticPr fontId="8" type="noConversion"/>
  </si>
  <si>
    <t>TPE, EPDM 상품</t>
  </si>
  <si>
    <t>EPDM 상품, 압출 PCM</t>
  </si>
  <si>
    <t>9BQC</t>
    <phoneticPr fontId="191" type="noConversion"/>
  </si>
  <si>
    <t>G1103-2139-01</t>
  </si>
  <si>
    <t>G1103-2140-01</t>
  </si>
  <si>
    <t>DT(QUAD) Door Side RR RH</t>
  </si>
  <si>
    <t>DT(QUAD) Door Side RR LH</t>
  </si>
  <si>
    <t>TPE, EPDM 상품</t>
    <phoneticPr fontId="8" type="noConversion"/>
  </si>
  <si>
    <t>DS D/SIDE RR D (CREW)</t>
    <phoneticPr fontId="7" type="noConversion"/>
  </si>
  <si>
    <t>XA1-65B</t>
    <phoneticPr fontId="288" type="noConversion"/>
  </si>
  <si>
    <t>지수</t>
    <phoneticPr fontId="8" type="noConversion"/>
  </si>
  <si>
    <t>출하수</t>
    <phoneticPr fontId="8" type="noConversion"/>
  </si>
  <si>
    <t>계산</t>
    <phoneticPr fontId="8" type="noConversion"/>
  </si>
  <si>
    <t>사용비</t>
    <phoneticPr fontId="8" type="noConversion"/>
  </si>
  <si>
    <t>9BQC FRT</t>
    <phoneticPr fontId="8" type="noConversion"/>
  </si>
  <si>
    <t>9BQC RR</t>
    <phoneticPr fontId="8" type="noConversion"/>
  </si>
  <si>
    <t>9BQC TOTAL</t>
    <phoneticPr fontId="8" type="noConversion"/>
  </si>
  <si>
    <t>9BQB C</t>
    <phoneticPr fontId="8" type="noConversion"/>
  </si>
  <si>
    <t>JA FRT</t>
    <phoneticPr fontId="8" type="noConversion"/>
  </si>
  <si>
    <t>JA RR</t>
    <phoneticPr fontId="8" type="noConversion"/>
  </si>
  <si>
    <t>QX D</t>
    <phoneticPr fontId="8" type="noConversion"/>
  </si>
  <si>
    <t>TPE TOTAL</t>
    <phoneticPr fontId="8" type="noConversion"/>
  </si>
  <si>
    <t>삼랑진.신천사용</t>
    <phoneticPr fontId="191" type="noConversion"/>
  </si>
  <si>
    <t>성창테크</t>
    <phoneticPr fontId="7" type="noConversion"/>
  </si>
  <si>
    <t>지피에스</t>
    <phoneticPr fontId="7" type="noConversion"/>
  </si>
  <si>
    <t>화승네트웍스 포장재</t>
    <phoneticPr fontId="7" type="noConversion"/>
  </si>
  <si>
    <t>태영지관</t>
    <phoneticPr fontId="7" type="noConversion"/>
  </si>
  <si>
    <t>0.05T*25W*30L</t>
    <phoneticPr fontId="191" type="noConversion"/>
  </si>
  <si>
    <t>G1103-2137-01</t>
  </si>
  <si>
    <t>G1103-2138-01</t>
  </si>
  <si>
    <t>G1110-0135-00</t>
    <phoneticPr fontId="191" type="noConversion"/>
  </si>
  <si>
    <t>에스에이치씨</t>
    <phoneticPr fontId="8" type="noConversion"/>
  </si>
  <si>
    <t>G1119-0245-02</t>
  </si>
  <si>
    <t>IA4-75B_1</t>
  </si>
  <si>
    <t>B64E</t>
  </si>
  <si>
    <t>L2KIA7-35B</t>
  </si>
  <si>
    <t>IA4-80B (G)</t>
  </si>
  <si>
    <t>IA4-68B</t>
  </si>
  <si>
    <t>IA4-78B</t>
  </si>
  <si>
    <t>XA1-65B_001 (명례)</t>
  </si>
  <si>
    <t>XA1-80B_001 (명례)</t>
  </si>
  <si>
    <t>ED2-53B</t>
  </si>
  <si>
    <t>ED2-52B</t>
  </si>
  <si>
    <t>ED2-50B</t>
  </si>
  <si>
    <t>ED2-50B_001</t>
  </si>
  <si>
    <t>EA1-73B</t>
  </si>
  <si>
    <t>XD1-40B_002</t>
  </si>
  <si>
    <t>ED2-48B</t>
  </si>
  <si>
    <t>GM-B70EM</t>
  </si>
  <si>
    <t>GM-B64EM</t>
  </si>
  <si>
    <t>G1110-0217-00</t>
  </si>
  <si>
    <t>NQ5a Hood Seal (FRT)</t>
  </si>
  <si>
    <t>G1110-0162-03</t>
  </si>
  <si>
    <t>NQ5a Hood Seal (FRT) (HEV)</t>
  </si>
  <si>
    <t>G1119-0224-04</t>
    <phoneticPr fontId="191" type="noConversion"/>
  </si>
  <si>
    <t>수성</t>
    <phoneticPr fontId="191" type="noConversion"/>
  </si>
  <si>
    <t>G1160-0004-02</t>
    <phoneticPr fontId="191" type="noConversion"/>
  </si>
  <si>
    <t>G1160-0004-01</t>
    <phoneticPr fontId="191" type="noConversion"/>
  </si>
  <si>
    <t xml:space="preserve">NE1a Door Side FR  "A" </t>
  </si>
  <si>
    <t xml:space="preserve">NE1a Door Side RR  "A" </t>
  </si>
  <si>
    <t>NE1a Door Side RR SECT  "C"</t>
  </si>
  <si>
    <t>NE1a Door Side RR SECT  "D"</t>
  </si>
  <si>
    <t>화승소재 신천</t>
    <phoneticPr fontId="7" type="noConversion"/>
  </si>
  <si>
    <t>F2103-1536</t>
  </si>
  <si>
    <t>DT D/SIDE QUAD "C"</t>
  </si>
  <si>
    <t>F2103-0609 ?</t>
    <phoneticPr fontId="7" type="noConversion"/>
  </si>
  <si>
    <t>클립머신(상승)</t>
  </si>
  <si>
    <t>단가</t>
    <phoneticPr fontId="7" type="noConversion"/>
  </si>
  <si>
    <t>합계</t>
    <phoneticPr fontId="7" type="noConversion"/>
  </si>
  <si>
    <t>W6059-4BJ2</t>
  </si>
  <si>
    <t>W6005-2</t>
  </si>
  <si>
    <t>W6059-3$W3</t>
  </si>
  <si>
    <t>W6005-4</t>
  </si>
  <si>
    <t>C동 밴딩 톱날</t>
    <phoneticPr fontId="191" type="noConversion"/>
  </si>
  <si>
    <t>G1131-7643-01</t>
  </si>
  <si>
    <t>DT(CREW) Sill Seal FR</t>
  </si>
  <si>
    <t>G1131-7644-01</t>
  </si>
  <si>
    <t>DT(CREW) Sill Seal RR</t>
  </si>
  <si>
    <t>수성품번</t>
  </si>
  <si>
    <t>수성품번</t>
    <phoneticPr fontId="191" type="noConversion"/>
  </si>
  <si>
    <t>G1132-0007-00</t>
  </si>
  <si>
    <t>G1132-0008-00</t>
  </si>
  <si>
    <t>G1132-0009-00</t>
  </si>
  <si>
    <t>CE1 P/SEAL RR LH</t>
    <phoneticPr fontId="8" type="noConversion"/>
  </si>
  <si>
    <t>R1102-1363-00</t>
  </si>
  <si>
    <t>JA GLASS RUN RR LH</t>
  </si>
  <si>
    <t>R1102-1364-00</t>
  </si>
  <si>
    <t>JA GLASS RUN RR RH</t>
  </si>
  <si>
    <t>JA GLASS RUN FRT LH</t>
  </si>
  <si>
    <t>JA GLASS RUN FRT RH</t>
  </si>
  <si>
    <t>JA Glass run RR LH</t>
  </si>
  <si>
    <t>JA Glass run RR RH</t>
  </si>
  <si>
    <t>NQ5a Hood (RR) (HEV)</t>
  </si>
  <si>
    <t>82530-1G000</t>
  </si>
  <si>
    <t>82540-1G000</t>
  </si>
  <si>
    <t>83531-1G000</t>
  </si>
  <si>
    <t>G/RUN RR LH(4DR)</t>
  </si>
  <si>
    <t>83541-1G000</t>
  </si>
  <si>
    <t>G/RUN RR RH(4DR)</t>
  </si>
  <si>
    <t>83531-1G200</t>
  </si>
  <si>
    <t>G/RUN RR LH(5DR)</t>
  </si>
  <si>
    <t>83541-1G200</t>
  </si>
  <si>
    <t>G/RUN RR RH(5DR)</t>
  </si>
  <si>
    <t>G1102-1489-02</t>
  </si>
  <si>
    <t>42574265</t>
  </si>
  <si>
    <t>G1125-0076-00</t>
  </si>
  <si>
    <t>CE1 P/SEAL RR LH</t>
  </si>
  <si>
    <t>G1125-0077-00</t>
  </si>
  <si>
    <t>M2JO Glass run RR RH</t>
  </si>
  <si>
    <t>G1160-0009-00</t>
  </si>
  <si>
    <t>G1160-0010-00</t>
  </si>
  <si>
    <t>82130-2V000</t>
  </si>
  <si>
    <t>FRT LH (LHD)</t>
  </si>
  <si>
    <t>82140-2V000</t>
  </si>
  <si>
    <t>FRT RH (LHD)</t>
  </si>
  <si>
    <t>83140-2V000</t>
  </si>
  <si>
    <t>RR RH (LHD)</t>
  </si>
  <si>
    <t>82140-2V900</t>
  </si>
  <si>
    <t>FRT RH (RHD)</t>
  </si>
  <si>
    <t>82130-2V900</t>
  </si>
  <si>
    <t>FRT LH (RHD)</t>
  </si>
  <si>
    <t>83130-2V900</t>
  </si>
  <si>
    <t>RR LH (RHD)</t>
  </si>
  <si>
    <t>G1129-0062-00</t>
  </si>
  <si>
    <t>831C0-AR000</t>
  </si>
  <si>
    <t>JK Wheel Seal RR LH</t>
  </si>
  <si>
    <t>G1129-0063-00</t>
  </si>
  <si>
    <t>831D0-AR000</t>
  </si>
  <si>
    <t>JK Wheel Seal RR RH</t>
  </si>
  <si>
    <t>G1129-0062-01</t>
  </si>
  <si>
    <t>JK Wheel Seal RR LH(22라인)</t>
  </si>
  <si>
    <t>G1129-0063-01</t>
  </si>
  <si>
    <t>JK Wheel Seal RR RH(22라인)</t>
  </si>
  <si>
    <t>FRT LH</t>
  </si>
  <si>
    <t>FRT RH</t>
  </si>
  <si>
    <t>RR LH</t>
  </si>
  <si>
    <t>RR RH</t>
  </si>
  <si>
    <t>82530-9N000</t>
  </si>
  <si>
    <t>82540-9N000</t>
  </si>
  <si>
    <t>8250-CW000</t>
  </si>
  <si>
    <t>68291618AD</t>
  </si>
  <si>
    <t>68291619AD</t>
  </si>
  <si>
    <t xml:space="preserve">SP3 D/SIDE RR "D" </t>
  </si>
  <si>
    <t>롤당 5킬로-30키로 한박스</t>
    <phoneticPr fontId="191" type="noConversion"/>
  </si>
  <si>
    <t>단위 30 / 60</t>
    <phoneticPr fontId="191" type="noConversion"/>
  </si>
  <si>
    <t>DT HOOD SEAL FRT "B"</t>
    <phoneticPr fontId="7" type="noConversion"/>
  </si>
  <si>
    <t>DT HOOD SEAL FRT "A"</t>
    <phoneticPr fontId="7" type="noConversion"/>
  </si>
  <si>
    <t>화승 R&amp;A 물품대(박수진)</t>
    <phoneticPr fontId="7" type="noConversion"/>
  </si>
  <si>
    <t>내수상품매출</t>
    <phoneticPr fontId="8" type="noConversion"/>
  </si>
  <si>
    <t>수출상품매출</t>
    <phoneticPr fontId="8" type="noConversion"/>
  </si>
  <si>
    <t>다솜</t>
    <phoneticPr fontId="46" type="noConversion"/>
  </si>
  <si>
    <t>압출동 기계수리 외</t>
    <phoneticPr fontId="191" type="noConversion"/>
  </si>
  <si>
    <t>압출동원사</t>
    <phoneticPr fontId="191" type="noConversion"/>
  </si>
  <si>
    <t>07월 납품실적</t>
    <phoneticPr fontId="8" type="noConversion"/>
  </si>
  <si>
    <t>2026년 07월 매출 현황표</t>
    <phoneticPr fontId="8" type="noConversion"/>
  </si>
  <si>
    <r>
      <t>(2026년 07월</t>
    </r>
    <r>
      <rPr>
        <sz val="14"/>
        <rFont val="맑은 고딕"/>
        <family val="1"/>
        <charset val="129"/>
      </rPr>
      <t>)</t>
    </r>
    <phoneticPr fontId="8" type="noConversion"/>
  </si>
  <si>
    <t>2026년  07월 자재매입금액</t>
    <phoneticPr fontId="8" type="noConversion"/>
  </si>
  <si>
    <t>▣ 07월 원자재 매입내역</t>
    <phoneticPr fontId="8" type="noConversion"/>
  </si>
  <si>
    <r>
      <rPr>
        <b/>
        <sz val="21"/>
        <color rgb="FF000000"/>
        <rFont val="현대하모니 L"/>
        <family val="1"/>
        <charset val="129"/>
      </rPr>
      <t>▣</t>
    </r>
    <r>
      <rPr>
        <b/>
        <sz val="21"/>
        <color indexed="8"/>
        <rFont val="현대하모니 L"/>
        <family val="1"/>
        <charset val="129"/>
      </rPr>
      <t xml:space="preserve"> 07월 부자재매입내역</t>
    </r>
    <phoneticPr fontId="8" type="noConversion"/>
  </si>
  <si>
    <r>
      <rPr>
        <b/>
        <sz val="21"/>
        <color rgb="FF000000"/>
        <rFont val="현대하모니 L"/>
        <family val="1"/>
        <charset val="129"/>
      </rPr>
      <t>▣</t>
    </r>
    <r>
      <rPr>
        <b/>
        <sz val="21"/>
        <color indexed="8"/>
        <rFont val="현대하모니 L"/>
        <family val="1"/>
        <charset val="129"/>
      </rPr>
      <t xml:space="preserve"> 07월 기타매입내역</t>
    </r>
    <phoneticPr fontId="8" type="noConversion"/>
  </si>
  <si>
    <t>7월 매출 세금계산서 발행현황</t>
    <phoneticPr fontId="191" type="noConversion"/>
  </si>
  <si>
    <t>G1103-2085-00</t>
  </si>
  <si>
    <t>68563582AC</t>
  </si>
  <si>
    <t>DS(TRUCK) Door Side FR RH</t>
  </si>
  <si>
    <t>G1103-2086-00</t>
  </si>
  <si>
    <t>68563583AC</t>
  </si>
  <si>
    <t>DS(TRUCK) Door Side FR LH</t>
  </si>
  <si>
    <t>천우이엔지</t>
    <phoneticPr fontId="191" type="noConversion"/>
  </si>
  <si>
    <t>부직포</t>
    <phoneticPr fontId="191" type="noConversion"/>
  </si>
  <si>
    <t>5T*1000L*20M</t>
    <phoneticPr fontId="191" type="noConversion"/>
  </si>
  <si>
    <t>법인카드</t>
    <phoneticPr fontId="191" type="noConversion"/>
  </si>
  <si>
    <t>26.6 마감</t>
    <phoneticPr fontId="8" type="noConversion"/>
  </si>
  <si>
    <t>DS DR SIDE SECT D, HALF RR (475mm)</t>
  </si>
  <si>
    <t>F2103-0615</t>
  </si>
  <si>
    <t>DS D/SIDE   A  (STD)</t>
  </si>
  <si>
    <t>F2103-0618</t>
  </si>
  <si>
    <t>DS D/SIDE  C (STD)</t>
  </si>
  <si>
    <t>G2102-2012</t>
    <phoneticPr fontId="7" type="noConversion"/>
  </si>
  <si>
    <t>G2102-2013</t>
    <phoneticPr fontId="7" type="noConversion"/>
  </si>
  <si>
    <t>G2102-2014</t>
    <phoneticPr fontId="7" type="noConversion"/>
  </si>
  <si>
    <t>G2110-0097</t>
    <phoneticPr fontId="7" type="noConversion"/>
  </si>
  <si>
    <t>G2110-0098</t>
    <phoneticPr fontId="7" type="noConversion"/>
  </si>
  <si>
    <t>G1103-0683</t>
    <phoneticPr fontId="7" type="noConversion"/>
  </si>
  <si>
    <t>G2103-0614</t>
    <phoneticPr fontId="7" type="noConversion"/>
  </si>
  <si>
    <t>G2103-2396</t>
    <phoneticPr fontId="7" type="noConversion"/>
  </si>
  <si>
    <t>G2103-2398</t>
    <phoneticPr fontId="7" type="noConversion"/>
  </si>
  <si>
    <t>G2103-2405</t>
    <phoneticPr fontId="7" type="noConversion"/>
  </si>
  <si>
    <t>G2103-2407</t>
    <phoneticPr fontId="7" type="noConversion"/>
  </si>
  <si>
    <t>F2103-0814-01</t>
    <phoneticPr fontId="7" type="noConversion"/>
  </si>
  <si>
    <t>F2103-0813-01</t>
    <phoneticPr fontId="7" type="noConversion"/>
  </si>
  <si>
    <t>F2103-0818</t>
    <phoneticPr fontId="7" type="noConversion"/>
  </si>
  <si>
    <t>F2103-0817</t>
    <phoneticPr fontId="7" type="noConversion"/>
  </si>
  <si>
    <t>F2103-2400</t>
    <phoneticPr fontId="7" type="noConversion"/>
  </si>
  <si>
    <t>F2103-2402</t>
    <phoneticPr fontId="7" type="noConversion"/>
  </si>
  <si>
    <t>F2103-2403</t>
    <phoneticPr fontId="7" type="noConversion"/>
  </si>
  <si>
    <t>F2103-2404</t>
    <phoneticPr fontId="7" type="noConversion"/>
  </si>
  <si>
    <t>신천
김명진마감</t>
    <phoneticPr fontId="8" type="noConversion"/>
  </si>
  <si>
    <t>삼랑진
T&amp;C
박수진마감</t>
    <phoneticPr fontId="191" type="noConversion"/>
  </si>
  <si>
    <t>G1131-7645-00</t>
    <phoneticPr fontId="191" type="noConversion"/>
  </si>
  <si>
    <t>DT(QUAD) Sill Seal RR</t>
  </si>
  <si>
    <t>G1103-0632</t>
    <phoneticPr fontId="7" type="noConversion"/>
  </si>
  <si>
    <t>G1103-0633</t>
    <phoneticPr fontId="7" type="noConversion"/>
  </si>
  <si>
    <t>이월</t>
    <phoneticPr fontId="7" type="noConversion"/>
  </si>
  <si>
    <t>6월,7월반품</t>
    <phoneticPr fontId="7" type="noConversion"/>
  </si>
  <si>
    <t>반출</t>
    <phoneticPr fontId="7" type="noConversion"/>
  </si>
  <si>
    <t>6월</t>
    <phoneticPr fontId="8" type="noConversion"/>
  </si>
  <si>
    <t>소재매입</t>
    <phoneticPr fontId="8" type="noConversion"/>
  </si>
  <si>
    <t>JK 1</t>
  </si>
  <si>
    <t>임가공</t>
    <phoneticPr fontId="46" type="noConversion"/>
  </si>
  <si>
    <t>F1129-0062-00</t>
    <phoneticPr fontId="46" type="noConversion"/>
  </si>
  <si>
    <t>F1129-0063-00</t>
    <phoneticPr fontId="46" type="noConversion"/>
  </si>
  <si>
    <t>G1102-2463-00</t>
  </si>
  <si>
    <t>G1102-2544-00</t>
  </si>
  <si>
    <t>9BQC Glass run RR RH PRIVACY</t>
  </si>
  <si>
    <t>9BQC Glass run FR RH</t>
  </si>
  <si>
    <t>42870825</t>
  </si>
  <si>
    <t>42896296</t>
  </si>
  <si>
    <t>세종공장</t>
    <phoneticPr fontId="191" type="noConversion"/>
  </si>
  <si>
    <t>G1102-0932</t>
  </si>
  <si>
    <t>G3101-0278-01</t>
    <phoneticPr fontId="8" type="noConversion"/>
  </si>
  <si>
    <t>G3101-0037-04</t>
    <phoneticPr fontId="8" type="noConversion"/>
  </si>
  <si>
    <t>G3101-0127-01</t>
    <phoneticPr fontId="8" type="noConversion"/>
  </si>
  <si>
    <t>G3105-0339-01</t>
    <phoneticPr fontId="8" type="noConversion"/>
  </si>
  <si>
    <t>NE1a Door Side FR LH SECT "B" 클립머신</t>
  </si>
  <si>
    <t>NE1a Door Side FR RH SECT "B"클립머신</t>
  </si>
  <si>
    <t>NE1a Door Side RR LH SECT "B"클립머신</t>
  </si>
  <si>
    <t>NE1a Door Side RR RH SECT "B"클립머신</t>
  </si>
  <si>
    <t>G1127-0018-00</t>
  </si>
  <si>
    <t>G1127-0020-00</t>
  </si>
  <si>
    <t>G1102-1346-00</t>
    <phoneticPr fontId="46" type="noConversion"/>
  </si>
  <si>
    <t>G1102-1347-00</t>
    <phoneticPr fontId="46" type="noConversion"/>
  </si>
  <si>
    <t>G1108-1348-00</t>
    <phoneticPr fontId="46" type="noConversion"/>
  </si>
  <si>
    <t>G1102-1350-00</t>
    <phoneticPr fontId="46" type="noConversion"/>
  </si>
  <si>
    <t>기존</t>
    <phoneticPr fontId="8" type="noConversion"/>
  </si>
  <si>
    <t>인상폭</t>
    <phoneticPr fontId="8" type="noConversion"/>
  </si>
  <si>
    <t>세동단가인상</t>
    <phoneticPr fontId="8" type="noConversion"/>
  </si>
  <si>
    <t>MV1a Power Tail Gate Side Strip LH</t>
  </si>
  <si>
    <t>G1160-0003-03</t>
  </si>
  <si>
    <t>81855XA100</t>
  </si>
  <si>
    <t>G1103-1872-01</t>
  </si>
  <si>
    <t>G1103-1874-01</t>
  </si>
  <si>
    <t>8MV1a</t>
  </si>
  <si>
    <t>8NE1a</t>
  </si>
  <si>
    <t>1ME1a</t>
  </si>
  <si>
    <t>다솜as</t>
    <phoneticPr fontId="8" type="noConversion"/>
  </si>
  <si>
    <t>G1103-1871-01</t>
  </si>
  <si>
    <t>JG,NE1A PE 개발비</t>
    <phoneticPr fontId="191" type="noConversion"/>
  </si>
  <si>
    <t>임가공비 외</t>
    <phoneticPr fontId="191" type="noConversion"/>
  </si>
  <si>
    <t>F2144-0032</t>
    <phoneticPr fontId="7" type="noConversion"/>
  </si>
  <si>
    <t>F2119-0258</t>
  </si>
  <si>
    <t>MX5a Hood RR</t>
  </si>
  <si>
    <t>4월이월</t>
    <phoneticPr fontId="8" type="noConversion"/>
  </si>
  <si>
    <t>적색4월이월수량</t>
    <phoneticPr fontId="7" type="noConversion"/>
  </si>
  <si>
    <t>4월이월수량포함</t>
    <phoneticPr fontId="8" type="noConversion"/>
  </si>
  <si>
    <t>G1103-0633</t>
    <phoneticPr fontId="8" type="noConversion"/>
  </si>
  <si>
    <t>G1106-0252</t>
  </si>
  <si>
    <t>G1106-0254</t>
  </si>
  <si>
    <t xml:space="preserve">ME1a Center Pillar Seal RR LH </t>
    <phoneticPr fontId="7" type="noConversion"/>
  </si>
  <si>
    <t>다솜 수정마감</t>
    <phoneticPr fontId="8" type="noConversion"/>
  </si>
  <si>
    <t>수정</t>
    <phoneticPr fontId="191" type="noConversion"/>
  </si>
  <si>
    <t>4140-3980-0108-8229</t>
  </si>
  <si>
    <t>수정2</t>
    <phoneticPr fontId="191" type="noConversion"/>
  </si>
  <si>
    <t>YT-150G</t>
    <phoneticPr fontId="191" type="noConversion"/>
  </si>
  <si>
    <t>YT-150G 25*50</t>
    <phoneticPr fontId="19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</si>
</sst>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#,##0_);[Red]\(#,##0\)"/>
    <numFmt numFmtId="178" formatCode="#,##0_);\(#,##0\)"/>
    <numFmt numFmtId="179" formatCode="0.0%"/>
    <numFmt numFmtId="180" formatCode="[$-F800]dddd\,\ mmmm\ dd\,\ yyyy"/>
    <numFmt numFmtId="181" formatCode="_ * #,##0_ ;_ * &quot;₩&quot;\!\-#,##0_ ;_ * &quot;-&quot;_ ;_ @_ "/>
    <numFmt numFmtId="182" formatCode="0_ "/>
    <numFmt numFmtId="183" formatCode="#,##0.00_ "/>
    <numFmt numFmtId="184" formatCode="_ &quot;₩&quot;* #,##0_ ;_ &quot;₩&quot;* \-#,##0_ ;_ &quot;₩&quot;* &quot;-&quot;_ ;_ @_ "/>
    <numFmt numFmtId="185" formatCode="_ &quot;₩&quot;* #,##0.00_ ;_ &quot;₩&quot;* \-#,##0.00_ ;_ &quot;₩&quot;* &quot;-&quot;??_ ;_ @_ "/>
    <numFmt numFmtId="186" formatCode="&quot;₩&quot;#,##0.00;[Red]&quot;₩&quot;\-#,##0.00"/>
    <numFmt numFmtId="187" formatCode="&quot;₩&quot;#,##0;[Red]&quot;₩&quot;\-#,##0"/>
    <numFmt numFmtId="188" formatCode="_ * #,##0.00_ ;_ * \-#,##0.00_ ;_ * &quot;-&quot;??_ ;_ @_ "/>
    <numFmt numFmtId="189" formatCode="_(&quot;$&quot;* #,##0.00_);_(&quot;$&quot;* \(#,##0.00\);_(&quot;$&quot;* &quot;-&quot;??_);_(@_)"/>
    <numFmt numFmtId="190" formatCode="_ * #,##0_ ;_ * \-#,##0_ ;_ * &quot;-&quot;_ ;_ @_ "/>
    <numFmt numFmtId="191" formatCode="_(* #,##0_);_(* \(#,##0\);_(* &quot;-&quot;??_);_(@_)"/>
    <numFmt numFmtId="192" formatCode="_ &quot;₩&quot;* #,##0_ ;_ &quot;₩&quot;* &quot;₩&quot;\-#,##0_ ;_ &quot;₩&quot;* &quot;-&quot;_ ;_ @_ "/>
    <numFmt numFmtId="193" formatCode="&quot;$&quot;#,##0_);&quot;₩&quot;&quot;₩&quot;&quot;₩&quot;&quot;₩&quot;&quot;₩&quot;&quot;₩&quot;&quot;₩&quot;&quot;₩&quot;&quot;₩&quot;&quot;₩&quot;&quot;₩&quot;&quot;₩&quot;\(&quot;$&quot;#,##0&quot;₩&quot;&quot;₩&quot;&quot;₩&quot;&quot;₩&quot;&quot;₩&quot;&quot;₩&quot;&quot;₩&quot;&quot;₩&quot;&quot;₩&quot;&quot;₩&quot;&quot;₩&quot;&quot;₩&quot;\)"/>
    <numFmt numFmtId="194" formatCode="_(&quot;$&quot;* #,##0_);_(&quot;$&quot;* \(#,##0\);_(&quot;$&quot;* &quot;-&quot;_);_(@_)"/>
    <numFmt numFmtId="195" formatCode="_(&quot;$&quot;* #,##0.0_);_(&quot;$&quot;* \(#,##0.0\);_(&quot;$&quot;* &quot;-&quot;??_);_(@_)"/>
    <numFmt numFmtId="196" formatCode="_-* #,##0\ _F_t_-;\-* #,##0\ _F_t_-;_-* &quot;-&quot;\ _F_t_-;_-@_-"/>
    <numFmt numFmtId="197" formatCode="_-* #,##0.00\ _F_t_-;\-* #,##0.00\ _F_t_-;_-* &quot;-&quot;??\ _F_t_-;_-@_-"/>
    <numFmt numFmtId="198" formatCode="0.00_)"/>
    <numFmt numFmtId="199" formatCode="_ * #,##0.00_ ;_ * &quot;₩&quot;&quot;₩&quot;&quot;₩&quot;&quot;₩&quot;&quot;₩&quot;\-#,##0.00_ ;_ * &quot;-&quot;??_ ;_ @_ "/>
    <numFmt numFmtId="200" formatCode="&quot;₩&quot;#,##0.00;[Red]&quot;₩&quot;&quot;₩&quot;&quot;₩&quot;\-#,##0.00"/>
    <numFmt numFmtId="201" formatCode="_(* #,##0.000_);_(* \(#,##0.000\);_(* &quot;-&quot;??_);_(@_)"/>
    <numFmt numFmtId="202" formatCode="_-* #,##0_-;\-* #,##0_-;_-* &quot;-&quot;??_-;_-@_-"/>
    <numFmt numFmtId="203" formatCode="_-* #,##0.0_-;\-* #,##0.0_-;_-* &quot;-&quot;?_-;_-@_-"/>
    <numFmt numFmtId="204" formatCode="mm&quot;월&quot;\ dd&quot;일&quot;"/>
    <numFmt numFmtId="205" formatCode="_-* #,##0.0_-;\-* #,##0.0_-;_-* &quot;-&quot;_-;_-@_-"/>
    <numFmt numFmtId="206" formatCode="yy\.mm\.dd"/>
    <numFmt numFmtId="207" formatCode="&quot;$&quot;#,##0_);[Red]\(&quot;$&quot;#,##0\)"/>
    <numFmt numFmtId="208" formatCode="#,##0;[Red]&quot;-&quot;#,##0"/>
    <numFmt numFmtId="209" formatCode="yy/mm/d"/>
    <numFmt numFmtId="210" formatCode="&quot;$&quot;#,##0.00_);[Red]\(&quot;$&quot;#,##0.00\)"/>
    <numFmt numFmtId="211" formatCode=";;"/>
    <numFmt numFmtId="212" formatCode=".00"/>
    <numFmt numFmtId="213" formatCode="#,##0&quot;%&quot;"/>
    <numFmt numFmtId="214" formatCode="#,##0.0&quot;%&quot;"/>
    <numFmt numFmtId="215" formatCode="&quot;?#,##0;\-&quot;&quot;?&quot;#,##0"/>
    <numFmt numFmtId="216" formatCode="&quot;     &quot;@"/>
    <numFmt numFmtId="217" formatCode="&quot;₩&quot;#,##0;&quot;₩&quot;&quot;₩&quot;&quot;₩&quot;&quot;₩&quot;&quot;₩&quot;&quot;₩&quot;&quot;₩&quot;&quot;₩&quot;&quot;₩&quot;&quot;₩&quot;&quot;₩&quot;\-#,##0"/>
    <numFmt numFmtId="218" formatCode="&quot;kr&quot;\ #,##0;[Red]&quot;kr&quot;\ \-#,##0"/>
    <numFmt numFmtId="219" formatCode="#,##0;&quot;-&quot;#,##0"/>
    <numFmt numFmtId="220" formatCode="0.0%_);[Red]\(0.0%\)"/>
    <numFmt numFmtId="221" formatCode="_(* #,##0_);_(* \(#,##0\);_(* &quot;-&quot;_);_(@_)"/>
    <numFmt numFmtId="222" formatCode="\$#,##0;\(\$#,##0\)"/>
    <numFmt numFmtId="223" formatCode="_(* #,##0.00_);_(* \(#,##0.00\);_(* &quot;-&quot;??_);_(@_)"/>
    <numFmt numFmtId="224" formatCode="yy/m/d"/>
    <numFmt numFmtId="225" formatCode="#,##0.00;[Red]&quot;-&quot;#,##0.00"/>
    <numFmt numFmtId="226" formatCode="#,##0.00_);[Red]\(#,##0.00\)"/>
    <numFmt numFmtId="227" formatCode="_ * #,##0.000000000000000000000000000000_ ;_ * \-#,##0.000000000000000000000000000000_ ;_ * &quot;-&quot;_ ;_ @_ "/>
    <numFmt numFmtId="228" formatCode="#."/>
    <numFmt numFmtId="229" formatCode="&quot;₩&quot;#,##0;&quot;₩&quot;&quot;₩&quot;&quot;₩&quot;\-#,##0"/>
    <numFmt numFmtId="230" formatCode="0_);[Red]&quot;₩&quot;\!\(0&quot;₩&quot;\!\)"/>
    <numFmt numFmtId="231" formatCode="#,##0.00;&quot;-&quot;#,##0.00"/>
    <numFmt numFmtId="232" formatCode="_(&quot;$&quot;* #,##0_);_(&quot;$&quot;* &quot;₩&quot;&quot;₩&quot;&quot;₩&quot;&quot;₩&quot;&quot;₩&quot;&quot;₩&quot;&quot;₩&quot;&quot;₩&quot;&quot;₩&quot;&quot;₩&quot;&quot;₩&quot;&quot;₩&quot;\(#,##0&quot;₩&quot;&quot;₩&quot;&quot;₩&quot;&quot;₩&quot;&quot;₩&quot;&quot;₩&quot;&quot;₩&quot;&quot;₩&quot;&quot;₩&quot;&quot;₩&quot;&quot;₩&quot;&quot;₩&quot;\);_(&quot;$&quot;* &quot;-&quot;_);_(@_)"/>
    <numFmt numFmtId="233" formatCode="#,##0.00_);[Red]&quot;₩&quot;\!\(#,##0.00&quot;₩&quot;\!\)"/>
    <numFmt numFmtId="234" formatCode="&quot;₩&quot;#,##0;&quot;₩&quot;\-#,##0"/>
    <numFmt numFmtId="235" formatCode="&quot;₩&quot;#,##0.00;&quot;₩&quot;&quot;₩&quot;\-#,##0.00"/>
    <numFmt numFmtId="236" formatCode="\$#,##0.00;\(\$#,##0.00\)"/>
    <numFmt numFmtId="237" formatCode="yy\-m\-d"/>
    <numFmt numFmtId="238" formatCode="&quot;₩&quot;#,##0.00;[Red]&quot;₩&quot;&quot;₩&quot;&quot;₩&quot;&quot;₩&quot;&quot;₩&quot;&quot;₩&quot;&quot;₩&quot;\-#,##0.00"/>
    <numFmt numFmtId="239" formatCode="_ * #,##0.00_ ;_ * &quot;₩&quot;&quot;₩&quot;\-#,##0.00_ ;_ * &quot;-&quot;??_ ;_ @_ "/>
    <numFmt numFmtId="240" formatCode="_ * #,##0_ ;_ * &quot;₩&quot;&quot;₩&quot;&quot;₩&quot;&quot;₩&quot;&quot;₩&quot;&quot;₩&quot;&quot;₩&quot;&quot;₩&quot;\-#,##0_ ;_ * &quot;-&quot;_ ;_ @_ "/>
    <numFmt numFmtId="241" formatCode="&quot;₩&quot;#,##0.00;&quot;₩&quot;\-#,##0.00"/>
    <numFmt numFmtId="242" formatCode="0.000_)"/>
    <numFmt numFmtId="243" formatCode="#,##0.0;\-#,##0.0"/>
    <numFmt numFmtId="244" formatCode="&quot;₩&quot;#,##0.00\ ;\(&quot;₩&quot;#,##0.00\)"/>
    <numFmt numFmtId="245" formatCode="#"/>
    <numFmt numFmtId="246" formatCode="0.0_ ;[Red]\-0.0\ "/>
    <numFmt numFmtId="247" formatCode="_-* #,##0.00_-;\-* #,##0.00_-;_-* &quot;-&quot;?_-;_-@_-"/>
    <numFmt numFmtId="248" formatCode="_-* #,##0.00_-;\-* #,##0.00_-;_-* &quot;-&quot;_-;_-@_-"/>
    <numFmt numFmtId="249" formatCode="&quot;Rp&quot;#,##0_);\(&quot;Rp&quot;#,##0\)"/>
    <numFmt numFmtId="250" formatCode="&quot;?#,##0;[Red]\-&quot;&quot;?&quot;#,##0"/>
  </numFmts>
  <fonts count="305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HY견고딕"/>
      <family val="1"/>
      <charset val="129"/>
    </font>
    <font>
      <sz val="8"/>
      <name val="바탕체"/>
      <family val="1"/>
      <charset val="129"/>
    </font>
    <font>
      <sz val="12"/>
      <name val="HY견고딕"/>
      <family val="1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0"/>
      <name val="돋움"/>
      <family val="3"/>
      <charset val="129"/>
    </font>
    <font>
      <sz val="11"/>
      <name val="맑은 고딕"/>
      <family val="3"/>
      <charset val="129"/>
    </font>
    <font>
      <sz val="10"/>
      <name val="Arial"/>
      <family val="2"/>
    </font>
    <font>
      <sz val="10"/>
      <name val="Helv"/>
      <family val="2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u/>
      <sz val="10"/>
      <color indexed="14"/>
      <name val="돋움체"/>
      <family val="3"/>
      <charset val="129"/>
    </font>
    <font>
      <sz val="11"/>
      <name val="뼻뮝"/>
      <family val="3"/>
      <charset val="129"/>
    </font>
    <font>
      <sz val="12"/>
      <name val="굃굍 굊긕긘긞긏"/>
      <family val="1"/>
      <charset val="129"/>
    </font>
    <font>
      <sz val="12"/>
      <name val="宋体"/>
      <family val="3"/>
      <charset val="255"/>
    </font>
    <font>
      <sz val="12"/>
      <name val="굴림체"/>
      <family val="3"/>
      <charset val="129"/>
    </font>
    <font>
      <sz val="11"/>
      <name val="돋?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8"/>
      <name val="Times New Roman"/>
      <family val="1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b/>
      <sz val="10"/>
      <name val="Helv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b/>
      <i/>
      <sz val="16"/>
      <name val="Helv"/>
      <family val="2"/>
    </font>
    <font>
      <sz val="11"/>
      <name val="‚l‚r –¾’©"/>
      <family val="2"/>
      <charset val="128"/>
    </font>
    <font>
      <b/>
      <sz val="10"/>
      <name val="MS Sans Serif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돋움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indexed="10"/>
      <name val="맑은 고딕"/>
      <family val="3"/>
      <charset val="129"/>
    </font>
    <font>
      <sz val="12"/>
      <name val="돋움체"/>
      <family val="3"/>
      <charset val="129"/>
    </font>
    <font>
      <sz val="10"/>
      <name val="바탕체"/>
      <family val="1"/>
      <charset val="129"/>
    </font>
    <font>
      <sz val="14"/>
      <name val="??"/>
      <family val="1"/>
    </font>
    <font>
      <sz val="12"/>
      <name val="???"/>
      <family val="1"/>
    </font>
    <font>
      <sz val="12"/>
      <name val="¹????¼"/>
      <family val="3"/>
      <charset val="129"/>
    </font>
    <font>
      <sz val="12"/>
      <name val="?¸¿??¼"/>
      <family val="3"/>
      <charset val="129"/>
    </font>
    <font>
      <sz val="12"/>
      <name val="±¼¸²?¼"/>
      <family val="3"/>
      <charset val="129"/>
    </font>
    <font>
      <sz val="12"/>
      <name val="Times New Roman"/>
      <family val="1"/>
    </font>
    <font>
      <sz val="10"/>
      <name val="Times New Roman"/>
      <family val="1"/>
    </font>
    <font>
      <sz val="11"/>
      <name val="바탕체"/>
      <family val="1"/>
      <charset val="129"/>
    </font>
    <font>
      <sz val="14"/>
      <name val="–¾’©"/>
      <family val="3"/>
      <charset val="129"/>
    </font>
    <font>
      <sz val="20"/>
      <name val="돋움체"/>
      <family val="3"/>
      <charset val="129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2"/>
      <name val="–¾’©"/>
      <family val="3"/>
      <charset val="129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1"/>
      <name val="?¸¿?"/>
      <family val="3"/>
      <charset val="129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맑은 고딕"/>
      <family val="3"/>
      <charset val="129"/>
    </font>
    <font>
      <sz val="12"/>
      <name val="¨IoUAAA¡§u"/>
      <family val="1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"/>
      <family val="3"/>
      <charset val="129"/>
    </font>
    <font>
      <sz val="11"/>
      <name val="A"/>
      <family val="3"/>
      <charset val="129"/>
    </font>
    <font>
      <sz val="11"/>
      <name val="µ¸"/>
      <family val="3"/>
      <charset val="129"/>
    </font>
    <font>
      <sz val="10"/>
      <color indexed="20"/>
      <name val="Calibri"/>
      <family val="2"/>
    </font>
    <font>
      <sz val="12"/>
      <name val="Tms Rmn"/>
      <family val="1"/>
    </font>
    <font>
      <sz val="8"/>
      <name val="Helvetica"/>
      <family val="2"/>
    </font>
    <font>
      <sz val="12"/>
      <color indexed="32"/>
      <name val="MIN 훈민08체"/>
      <family val="3"/>
      <charset val="129"/>
    </font>
    <font>
      <sz val="14"/>
      <name val="±¼¸²Ã¼"/>
      <family val="3"/>
      <charset val="129"/>
    </font>
    <font>
      <sz val="14"/>
      <name val="±¼¸²A¼"/>
      <family val="3"/>
      <charset val="129"/>
    </font>
    <font>
      <sz val="12"/>
      <name val="µ¸¿òÃ¼p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¹Ù_x0002_"/>
      <family val="1"/>
      <charset val="129"/>
    </font>
    <font>
      <sz val="12"/>
      <name val="System"/>
      <family val="2"/>
      <charset val="129"/>
    </font>
    <font>
      <sz val="12"/>
      <name val="System"/>
      <family val="2"/>
      <charset val="238"/>
    </font>
    <font>
      <sz val="10"/>
      <name val="±¼¸²Ã¼"/>
      <family val="3"/>
      <charset val="129"/>
    </font>
    <font>
      <sz val="12"/>
      <name val="Arial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sz val="1"/>
      <color indexed="16"/>
      <name val="Courier"/>
      <family val="3"/>
    </font>
    <font>
      <sz val="12"/>
      <name val="굴림"/>
      <family val="3"/>
      <charset val="129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16"/>
      <name val="Courier"/>
      <family val="3"/>
    </font>
    <font>
      <sz val="10"/>
      <color indexed="62"/>
      <name val="Calibri"/>
      <family val="2"/>
    </font>
    <font>
      <sz val="8"/>
      <color indexed="8"/>
      <name val="Tahoma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sz val="14"/>
      <name val="뼻뮝"/>
      <family val="3"/>
      <charset val="129"/>
    </font>
    <font>
      <b/>
      <sz val="10"/>
      <color indexed="63"/>
      <name val="Calibri"/>
      <family val="2"/>
    </font>
    <font>
      <sz val="12"/>
      <color indexed="32"/>
      <name val="모음디"/>
      <family val="1"/>
      <charset val="129"/>
    </font>
    <font>
      <b/>
      <sz val="18"/>
      <color indexed="56"/>
      <name val="Cambria"/>
      <family val="1"/>
    </font>
    <font>
      <sz val="12"/>
      <name val="SWISS"/>
      <family val="1"/>
    </font>
    <font>
      <sz val="8"/>
      <color indexed="18"/>
      <name val="Tahoma"/>
      <family val="2"/>
    </font>
    <font>
      <sz val="8"/>
      <color indexed="20"/>
      <name val="Tahoma"/>
      <family val="2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0"/>
      <color indexed="10"/>
      <name val="Calibri"/>
      <family val="2"/>
    </font>
    <font>
      <b/>
      <sz val="10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color indexed="20"/>
      <name val="맑은 고딕"/>
      <family val="3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1"/>
      <charset val="129"/>
    </font>
    <font>
      <sz val="12"/>
      <name val="┭병릇"/>
      <family val="1"/>
      <charset val="129"/>
    </font>
    <font>
      <sz val="11"/>
      <color indexed="8"/>
      <name val="현대하모니 L"/>
      <family val="1"/>
      <charset val="129"/>
    </font>
    <font>
      <sz val="12"/>
      <name val="뼻뮝"/>
      <family val="3"/>
      <charset val="129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0"/>
      <name val="ＭＳ Ｐゴシック"/>
      <family val="2"/>
      <charset val="129"/>
    </font>
    <font>
      <sz val="12"/>
      <name val="芥竟"/>
      <family val="1"/>
      <charset val="129"/>
    </font>
    <font>
      <sz val="12"/>
      <name val="옢?릇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sz val="8"/>
      <name val="맑은 고딕"/>
      <family val="3"/>
      <charset val="129"/>
      <scheme val="minor"/>
    </font>
    <font>
      <sz val="11"/>
      <name val="현대하모니 L"/>
      <family val="1"/>
      <charset val="129"/>
    </font>
    <font>
      <sz val="8"/>
      <name val="현대하모니 L"/>
      <family val="1"/>
      <charset val="129"/>
    </font>
    <font>
      <sz val="8"/>
      <color theme="1"/>
      <name val="현대하모니 L"/>
      <family val="1"/>
      <charset val="129"/>
    </font>
    <font>
      <b/>
      <sz val="8"/>
      <name val="현대하모니 L"/>
      <family val="1"/>
      <charset val="129"/>
    </font>
    <font>
      <sz val="9"/>
      <color theme="1"/>
      <name val="현대하모니 L"/>
      <family val="1"/>
      <charset val="129"/>
    </font>
    <font>
      <sz val="10"/>
      <color theme="1"/>
      <name val="현대하모니 L"/>
      <family val="1"/>
      <charset val="129"/>
    </font>
    <font>
      <b/>
      <sz val="16"/>
      <name val="현대하모니 L"/>
      <family val="1"/>
      <charset val="129"/>
    </font>
    <font>
      <b/>
      <sz val="16"/>
      <color indexed="9"/>
      <name val="현대하모니 L"/>
      <family val="1"/>
      <charset val="129"/>
    </font>
    <font>
      <sz val="8"/>
      <color indexed="8"/>
      <name val="현대하모니 L"/>
      <family val="1"/>
      <charset val="129"/>
    </font>
    <font>
      <sz val="11"/>
      <color indexed="12"/>
      <name val="현대하모니 L"/>
      <family val="1"/>
      <charset val="129"/>
    </font>
    <font>
      <sz val="8"/>
      <color indexed="10"/>
      <name val="현대하모니 L"/>
      <family val="1"/>
      <charset val="129"/>
    </font>
    <font>
      <b/>
      <sz val="9"/>
      <name val="현대하모니 L"/>
      <family val="1"/>
      <charset val="129"/>
    </font>
    <font>
      <sz val="11"/>
      <color indexed="9"/>
      <name val="현대하모니 L"/>
      <family val="1"/>
      <charset val="129"/>
    </font>
    <font>
      <b/>
      <sz val="11"/>
      <color indexed="9"/>
      <name val="현대하모니 L"/>
      <family val="1"/>
      <charset val="129"/>
    </font>
    <font>
      <sz val="11"/>
      <color indexed="30"/>
      <name val="현대하모니 L"/>
      <family val="1"/>
      <charset val="129"/>
    </font>
    <font>
      <sz val="10"/>
      <name val="현대하모니 L"/>
      <family val="1"/>
      <charset val="129"/>
    </font>
    <font>
      <sz val="9"/>
      <name val="현대하모니 L"/>
      <family val="1"/>
      <charset val="129"/>
    </font>
    <font>
      <sz val="6"/>
      <name val="현대하모니 L"/>
      <family val="1"/>
      <charset val="129"/>
    </font>
    <font>
      <sz val="11"/>
      <color indexed="18"/>
      <name val="현대하모니 L"/>
      <family val="1"/>
      <charset val="129"/>
    </font>
    <font>
      <b/>
      <sz val="11"/>
      <name val="현대하모니 L"/>
      <family val="1"/>
      <charset val="129"/>
    </font>
    <font>
      <b/>
      <sz val="11"/>
      <color indexed="10"/>
      <name val="현대하모니 L"/>
      <family val="1"/>
      <charset val="129"/>
    </font>
    <font>
      <b/>
      <sz val="7"/>
      <name val="현대하모니 L"/>
      <family val="1"/>
      <charset val="129"/>
    </font>
    <font>
      <sz val="7"/>
      <name val="현대하모니 L"/>
      <family val="1"/>
      <charset val="129"/>
    </font>
    <font>
      <b/>
      <sz val="10"/>
      <color indexed="8"/>
      <name val="현대하모니 L"/>
      <family val="1"/>
      <charset val="129"/>
    </font>
    <font>
      <sz val="10"/>
      <color indexed="8"/>
      <name val="현대하모니 L"/>
      <family val="1"/>
      <charset val="129"/>
    </font>
    <font>
      <sz val="9"/>
      <color indexed="8"/>
      <name val="현대하모니 L"/>
      <family val="1"/>
      <charset val="129"/>
    </font>
    <font>
      <b/>
      <sz val="7"/>
      <color indexed="12"/>
      <name val="현대하모니 L"/>
      <family val="1"/>
      <charset val="129"/>
    </font>
    <font>
      <b/>
      <sz val="21"/>
      <color indexed="8"/>
      <name val="현대하모니 L"/>
      <family val="1"/>
      <charset val="129"/>
    </font>
    <font>
      <sz val="12"/>
      <color indexed="8"/>
      <name val="현대하모니 L"/>
      <family val="1"/>
      <charset val="129"/>
    </font>
    <font>
      <b/>
      <sz val="14"/>
      <color indexed="8"/>
      <name val="현대하모니 L"/>
      <family val="1"/>
      <charset val="129"/>
    </font>
    <font>
      <b/>
      <sz val="9"/>
      <color indexed="8"/>
      <name val="현대하모니 L"/>
      <family val="1"/>
      <charset val="129"/>
    </font>
    <font>
      <b/>
      <sz val="10"/>
      <color theme="0"/>
      <name val="현대하모니 L"/>
      <family val="1"/>
      <charset val="129"/>
    </font>
    <font>
      <b/>
      <sz val="12"/>
      <color indexed="8"/>
      <name val="현대하모니 L"/>
      <family val="1"/>
      <charset val="129"/>
    </font>
    <font>
      <b/>
      <sz val="8"/>
      <color indexed="8"/>
      <name val="현대하모니 L"/>
      <family val="1"/>
      <charset val="129"/>
    </font>
    <font>
      <b/>
      <sz val="10"/>
      <color indexed="9"/>
      <name val="현대하모니 L"/>
      <family val="1"/>
      <charset val="129"/>
    </font>
    <font>
      <sz val="6"/>
      <color indexed="8"/>
      <name val="현대하모니 L"/>
      <family val="1"/>
      <charset val="129"/>
    </font>
    <font>
      <b/>
      <sz val="14"/>
      <name val="현대하모니 L"/>
      <family val="1"/>
      <charset val="129"/>
    </font>
    <font>
      <b/>
      <sz val="18"/>
      <name val="현대하모니 L"/>
      <family val="1"/>
      <charset val="129"/>
    </font>
    <font>
      <sz val="9"/>
      <color indexed="12"/>
      <name val="현대하모니 L"/>
      <family val="1"/>
      <charset val="129"/>
    </font>
    <font>
      <b/>
      <i/>
      <sz val="9"/>
      <name val="현대하모니 L"/>
      <family val="1"/>
      <charset val="129"/>
    </font>
    <font>
      <sz val="11"/>
      <color rgb="FFFF0000"/>
      <name val="현대하모니 L"/>
      <family val="1"/>
      <charset val="129"/>
    </font>
    <font>
      <sz val="14"/>
      <color indexed="8"/>
      <name val="현대하모니 L"/>
      <family val="1"/>
      <charset val="129"/>
    </font>
    <font>
      <sz val="14"/>
      <name val="현대하모니 L"/>
      <family val="1"/>
      <charset val="129"/>
    </font>
    <font>
      <sz val="14"/>
      <color theme="1"/>
      <name val="현대하모니 L"/>
      <family val="1"/>
      <charset val="129"/>
    </font>
    <font>
      <sz val="10"/>
      <color theme="0"/>
      <name val="현대하모니 L"/>
      <family val="1"/>
      <charset val="129"/>
    </font>
    <font>
      <sz val="12"/>
      <color theme="0"/>
      <name val="현대하모니 L"/>
      <family val="1"/>
      <charset val="129"/>
    </font>
    <font>
      <b/>
      <sz val="9"/>
      <color theme="1"/>
      <name val="현대하모니 L"/>
      <family val="1"/>
      <charset val="129"/>
    </font>
    <font>
      <b/>
      <sz val="6"/>
      <color indexed="8"/>
      <name val="현대하모니 L"/>
      <family val="1"/>
      <charset val="129"/>
    </font>
    <font>
      <b/>
      <sz val="9"/>
      <color rgb="FFFF0000"/>
      <name val="현대하모니 L"/>
      <family val="1"/>
      <charset val="129"/>
    </font>
    <font>
      <b/>
      <sz val="9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6"/>
      <color theme="1"/>
      <name val="현대하모니 L"/>
      <family val="1"/>
      <charset val="129"/>
    </font>
    <font>
      <sz val="10"/>
      <color rgb="FFFF0000"/>
      <name val="현대하모니 L"/>
      <family val="1"/>
      <charset val="129"/>
    </font>
    <font>
      <b/>
      <sz val="8"/>
      <color theme="1"/>
      <name val="현대하모니 L"/>
      <family val="1"/>
      <charset val="129"/>
    </font>
    <font>
      <b/>
      <sz val="11"/>
      <color theme="1"/>
      <name val="현대하모니 L"/>
      <family val="1"/>
      <charset val="129"/>
    </font>
    <font>
      <b/>
      <sz val="21"/>
      <color theme="1"/>
      <name val="현대하모니 L"/>
      <family val="1"/>
      <charset val="129"/>
    </font>
    <font>
      <b/>
      <sz val="10"/>
      <color theme="1"/>
      <name val="현대하모니 L"/>
      <family val="1"/>
      <charset val="129"/>
    </font>
    <font>
      <sz val="8"/>
      <color rgb="FFFF0000"/>
      <name val="현대하모니 L"/>
      <family val="1"/>
      <charset val="129"/>
    </font>
    <font>
      <b/>
      <sz val="9"/>
      <color theme="1"/>
      <name val="맑은 고딕"/>
      <family val="3"/>
      <charset val="129"/>
      <scheme val="minor"/>
    </font>
    <font>
      <b/>
      <sz val="11"/>
      <color indexed="8"/>
      <name val="현대하모니 L"/>
      <family val="1"/>
      <charset val="129"/>
    </font>
    <font>
      <b/>
      <sz val="14"/>
      <color theme="1"/>
      <name val="현대하모니 L"/>
      <family val="1"/>
      <charset val="129"/>
    </font>
    <font>
      <b/>
      <sz val="16"/>
      <color indexed="8"/>
      <name val="현대하모니 L"/>
      <family val="1"/>
      <charset val="129"/>
    </font>
    <font>
      <b/>
      <sz val="12"/>
      <color theme="0"/>
      <name val="현대하모니 L"/>
      <family val="1"/>
      <charset val="129"/>
    </font>
    <font>
      <b/>
      <sz val="10"/>
      <name val="현대하모니 L"/>
      <family val="1"/>
      <charset val="129"/>
    </font>
    <font>
      <b/>
      <sz val="20"/>
      <color theme="1" tint="4.9989318521683403E-2"/>
      <name val="현대하모니 L"/>
      <family val="1"/>
      <charset val="129"/>
    </font>
    <font>
      <sz val="8"/>
      <name val="현대하모니 B"/>
      <family val="1"/>
      <charset val="129"/>
    </font>
    <font>
      <b/>
      <sz val="12"/>
      <color theme="1"/>
      <name val="현대하모니 L"/>
      <family val="1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2"/>
      <color rgb="FFFF0000"/>
      <name val="현대하모니 L"/>
      <family val="1"/>
      <charset val="129"/>
    </font>
    <font>
      <b/>
      <sz val="12"/>
      <name val="현대하모니 L"/>
      <family val="1"/>
      <charset val="129"/>
    </font>
    <font>
      <sz val="10"/>
      <color rgb="FF0070C0"/>
      <name val="현대하모니 L"/>
      <family val="1"/>
      <charset val="129"/>
    </font>
    <font>
      <sz val="12"/>
      <color rgb="FF0070C0"/>
      <name val="현대하모니 L"/>
      <family val="1"/>
      <charset val="129"/>
    </font>
    <font>
      <b/>
      <sz val="11"/>
      <color theme="0"/>
      <name val="현대하모니 L"/>
      <family val="1"/>
      <charset val="129"/>
    </font>
    <font>
      <sz val="8"/>
      <color theme="1"/>
      <name val="맑은 고딕"/>
      <family val="3"/>
      <charset val="129"/>
      <scheme val="minor"/>
    </font>
    <font>
      <sz val="12"/>
      <color theme="1"/>
      <name val="돋움체"/>
      <family val="3"/>
      <charset val="129"/>
    </font>
    <font>
      <sz val="12"/>
      <name val="현대하모니 L"/>
      <family val="1"/>
      <charset val="129"/>
    </font>
    <font>
      <b/>
      <sz val="16"/>
      <color theme="1"/>
      <name val="현대하모니 L"/>
      <family val="1"/>
      <charset val="129"/>
    </font>
    <font>
      <b/>
      <sz val="9"/>
      <color rgb="FF000000"/>
      <name val="맑은 고딕"/>
      <family val="1"/>
      <charset val="129"/>
    </font>
    <font>
      <sz val="8"/>
      <name val="맑은 고딕"/>
      <family val="1"/>
      <charset val="129"/>
    </font>
    <font>
      <b/>
      <sz val="9"/>
      <color theme="1"/>
      <name val="맑은 고딕"/>
      <family val="1"/>
      <charset val="129"/>
    </font>
    <font>
      <sz val="8"/>
      <color theme="1"/>
      <name val="현대하모니 B"/>
      <family val="1"/>
      <charset val="129"/>
    </font>
    <font>
      <sz val="10"/>
      <color theme="1"/>
      <name val="맑은 고딕"/>
      <family val="1"/>
      <charset val="129"/>
    </font>
    <font>
      <sz val="8"/>
      <color theme="1"/>
      <name val="맑은 고딕"/>
      <family val="1"/>
      <charset val="129"/>
    </font>
    <font>
      <b/>
      <sz val="21"/>
      <color rgb="FF000000"/>
      <name val="현대하모니 L"/>
      <family val="1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theme="0"/>
      <name val="현대하모니 L"/>
      <family val="1"/>
      <charset val="129"/>
    </font>
    <font>
      <sz val="14"/>
      <name val="맑은 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5"/>
      <name val="현대하모니 L"/>
      <family val="1"/>
      <charset val="129"/>
    </font>
    <font>
      <b/>
      <sz val="15"/>
      <color theme="1"/>
      <name val="현대하모니 L"/>
      <family val="1"/>
      <charset val="129"/>
    </font>
    <font>
      <b/>
      <sz val="13"/>
      <color theme="1"/>
      <name val="현대하모니 L"/>
      <family val="1"/>
      <charset val="129"/>
    </font>
    <font>
      <sz val="8"/>
      <name val="현대하모니 L"/>
      <family val="2"/>
      <charset val="129"/>
    </font>
    <font>
      <b/>
      <sz val="11"/>
      <color rgb="FFFF0000"/>
      <name val="맑은 고딕"/>
      <family val="3"/>
      <charset val="129"/>
      <scheme val="minor"/>
    </font>
    <font>
      <b/>
      <sz val="9"/>
      <color rgb="FF000000"/>
      <name val="현대하모니 L"/>
      <family val="1"/>
      <charset val="129"/>
    </font>
    <font>
      <b/>
      <sz val="8"/>
      <color rgb="FF000000"/>
      <name val="현대하모니 L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3"/>
      <color indexed="8"/>
      <name val="현대하모니 L"/>
      <family val="1"/>
      <charset val="129"/>
    </font>
    <font>
      <b/>
      <sz val="13"/>
      <color rgb="FF000000"/>
      <name val="맑은 고딕"/>
      <family val="1"/>
      <charset val="129"/>
    </font>
    <font>
      <u/>
      <sz val="12"/>
      <name val="바탕체"/>
      <family val="1"/>
      <charset val="129"/>
    </font>
    <font>
      <u/>
      <sz val="9"/>
      <color indexed="36"/>
      <name val="바탕체"/>
      <family val="1"/>
      <charset val="129"/>
    </font>
    <font>
      <sz val="8"/>
      <color indexed="17"/>
      <name val="Tahoma"/>
      <family val="2"/>
    </font>
    <font>
      <sz val="8"/>
      <name val="Tahoma"/>
      <family val="2"/>
    </font>
    <font>
      <b/>
      <sz val="8"/>
      <color theme="1"/>
      <name val="맑은 고딕"/>
      <family val="1"/>
      <charset val="129"/>
    </font>
    <font>
      <sz val="11"/>
      <color theme="1"/>
      <name val="맑은 고딕"/>
      <family val="1"/>
      <charset val="129"/>
    </font>
    <font>
      <sz val="9"/>
      <color theme="1"/>
      <name val="맑은 고딕"/>
      <family val="1"/>
      <charset val="129"/>
    </font>
    <font>
      <b/>
      <sz val="10"/>
      <color rgb="FFFF0000"/>
      <name val="현대하모니 L"/>
      <family val="1"/>
      <charset val="129"/>
    </font>
    <font>
      <b/>
      <sz val="11"/>
      <color rgb="FFFF0000"/>
      <name val="현대하모니 L"/>
      <family val="1"/>
      <charset val="129"/>
    </font>
    <font>
      <b/>
      <sz val="8"/>
      <color rgb="FFFF0000"/>
      <name val="현대하모니 L"/>
      <family val="1"/>
      <charset val="129"/>
    </font>
  </fonts>
  <fills count="11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Gray"/>
    </fill>
    <fill>
      <patternFill patternType="gray0625">
        <fgColor indexed="15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22"/>
        <bgColor indexed="2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939">
    <xf numFmtId="0" fontId="0" fillId="0" borderId="0">
      <alignment vertical="center"/>
    </xf>
    <xf numFmtId="0" fontId="13" fillId="0" borderId="0"/>
    <xf numFmtId="0" fontId="13" fillId="0" borderId="0"/>
    <xf numFmtId="184" fontId="9" fillId="0" borderId="0" applyFont="0" applyFill="0" applyBorder="0" applyAlignment="0" applyProtection="0"/>
    <xf numFmtId="0" fontId="17" fillId="0" borderId="0"/>
    <xf numFmtId="0" fontId="18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8" fillId="0" borderId="0"/>
    <xf numFmtId="42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18" fillId="0" borderId="0"/>
    <xf numFmtId="0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13" fillId="0" borderId="0" applyFont="0" applyFill="0" applyBorder="0" applyAlignment="0" applyProtection="0"/>
    <xf numFmtId="42" fontId="9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>
      <alignment horizontal="center" wrapText="1"/>
      <protection locked="0"/>
    </xf>
    <xf numFmtId="19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8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/>
    <xf numFmtId="0" fontId="28" fillId="0" borderId="0"/>
    <xf numFmtId="191" fontId="17" fillId="0" borderId="0" applyFill="0" applyBorder="0" applyAlignment="0"/>
    <xf numFmtId="0" fontId="32" fillId="0" borderId="0"/>
    <xf numFmtId="190" fontId="17" fillId="0" borderId="0" applyFont="0" applyFill="0" applyBorder="0" applyAlignment="0" applyProtection="0"/>
    <xf numFmtId="192" fontId="9" fillId="0" borderId="0" applyFont="0" applyFill="0" applyBorder="0" applyAlignment="0" applyProtection="0"/>
    <xf numFmtId="188" fontId="17" fillId="0" borderId="0" applyFont="0" applyFill="0" applyBorder="0" applyAlignment="0" applyProtection="0"/>
    <xf numFmtId="193" fontId="9" fillId="0" borderId="0">
      <alignment horizontal="center"/>
    </xf>
    <xf numFmtId="191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94" fontId="17" fillId="16" borderId="0" applyFont="0" applyBorder="0"/>
    <xf numFmtId="15" fontId="33" fillId="0" borderId="0"/>
    <xf numFmtId="14" fontId="34" fillId="0" borderId="0" applyFill="0" applyBorder="0" applyAlignment="0"/>
    <xf numFmtId="192" fontId="9" fillId="0" borderId="0" applyFill="0" applyBorder="0" applyAlignment="0"/>
    <xf numFmtId="191" fontId="17" fillId="0" borderId="0" applyFill="0" applyBorder="0" applyAlignment="0"/>
    <xf numFmtId="192" fontId="9" fillId="0" borderId="0" applyFill="0" applyBorder="0" applyAlignment="0"/>
    <xf numFmtId="195" fontId="17" fillId="0" borderId="0" applyFill="0" applyBorder="0" applyAlignment="0"/>
    <xf numFmtId="191" fontId="17" fillId="0" borderId="0" applyFill="0" applyBorder="0" applyAlignment="0"/>
    <xf numFmtId="38" fontId="35" fillId="17" borderId="0" applyNumberFormat="0" applyBorder="0" applyAlignment="0" applyProtection="0"/>
    <xf numFmtId="0" fontId="36" fillId="0" borderId="0">
      <alignment horizontal="left"/>
    </xf>
    <xf numFmtId="0" fontId="37" fillId="0" borderId="1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0" applyNumberFormat="0" applyFill="0" applyBorder="0" applyAlignment="0" applyProtection="0">
      <alignment vertical="top"/>
      <protection locked="0"/>
    </xf>
    <xf numFmtId="185" fontId="13" fillId="0" borderId="0" applyFont="0" applyFill="0" applyBorder="0" applyAlignment="0" applyProtection="0"/>
    <xf numFmtId="10" fontId="35" fillId="17" borderId="3" applyNumberFormat="0" applyBorder="0" applyAlignment="0" applyProtection="0"/>
    <xf numFmtId="184" fontId="13" fillId="0" borderId="0" applyFont="0" applyFill="0" applyBorder="0" applyAlignment="0" applyProtection="0"/>
    <xf numFmtId="192" fontId="9" fillId="0" borderId="0" applyFill="0" applyBorder="0" applyAlignment="0"/>
    <xf numFmtId="191" fontId="17" fillId="0" borderId="0" applyFill="0" applyBorder="0" applyAlignment="0"/>
    <xf numFmtId="192" fontId="9" fillId="0" borderId="0" applyFill="0" applyBorder="0" applyAlignment="0"/>
    <xf numFmtId="195" fontId="17" fillId="0" borderId="0" applyFill="0" applyBorder="0" applyAlignment="0"/>
    <xf numFmtId="191" fontId="17" fillId="0" borderId="0" applyFill="0" applyBorder="0" applyAlignment="0"/>
    <xf numFmtId="196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0" fontId="39" fillId="0" borderId="4"/>
    <xf numFmtId="194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98" fontId="40" fillId="0" borderId="0"/>
    <xf numFmtId="0" fontId="33" fillId="0" borderId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4" fontId="29" fillId="0" borderId="0">
      <alignment horizontal="center" wrapText="1"/>
      <protection locked="0"/>
    </xf>
    <xf numFmtId="199" fontId="9" fillId="0" borderId="0" applyFont="0" applyFill="0" applyBorder="0" applyAlignment="0" applyProtection="0"/>
    <xf numFmtId="200" fontId="9" fillId="0" borderId="0" applyFont="0" applyFill="0" applyBorder="0" applyAlignment="0" applyProtection="0"/>
    <xf numFmtId="10" fontId="17" fillId="0" borderId="0" applyFont="0" applyFill="0" applyBorder="0" applyAlignment="0" applyProtection="0"/>
    <xf numFmtId="192" fontId="9" fillId="0" borderId="0" applyFill="0" applyBorder="0" applyAlignment="0"/>
    <xf numFmtId="191" fontId="17" fillId="0" borderId="0" applyFill="0" applyBorder="0" applyAlignment="0"/>
    <xf numFmtId="192" fontId="9" fillId="0" borderId="0" applyFill="0" applyBorder="0" applyAlignment="0"/>
    <xf numFmtId="195" fontId="17" fillId="0" borderId="0" applyFill="0" applyBorder="0" applyAlignment="0"/>
    <xf numFmtId="191" fontId="17" fillId="0" borderId="0" applyFill="0" applyBorder="0" applyAlignment="0"/>
    <xf numFmtId="0" fontId="33" fillId="0" borderId="0" applyNumberFormat="0" applyFont="0" applyFill="0" applyBorder="0" applyAlignment="0" applyProtection="0">
      <alignment horizontal="left"/>
    </xf>
    <xf numFmtId="15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0" fontId="42" fillId="0" borderId="4">
      <alignment horizontal="center"/>
    </xf>
    <xf numFmtId="3" fontId="33" fillId="0" borderId="0" applyFont="0" applyFill="0" applyBorder="0" applyAlignment="0" applyProtection="0"/>
    <xf numFmtId="0" fontId="33" fillId="18" borderId="0" applyNumberFormat="0" applyFont="0" applyBorder="0" applyAlignment="0" applyProtection="0"/>
    <xf numFmtId="188" fontId="13" fillId="0" borderId="0" applyFont="0" applyFill="0" applyBorder="0" applyAlignment="0" applyProtection="0"/>
    <xf numFmtId="0" fontId="30" fillId="0" borderId="0" applyFont="0" applyFill="0" applyBorder="0" applyAlignment="0" applyProtection="0"/>
    <xf numFmtId="199" fontId="9" fillId="0" borderId="0">
      <alignment horizontal="center"/>
    </xf>
    <xf numFmtId="0" fontId="39" fillId="0" borderId="0"/>
    <xf numFmtId="49" fontId="34" fillId="0" borderId="0" applyFill="0" applyBorder="0" applyAlignment="0"/>
    <xf numFmtId="201" fontId="17" fillId="0" borderId="0" applyFill="0" applyBorder="0" applyAlignment="0"/>
    <xf numFmtId="201" fontId="17" fillId="0" borderId="0" applyFill="0" applyBorder="0" applyAlignment="0"/>
    <xf numFmtId="0" fontId="33" fillId="0" borderId="0"/>
    <xf numFmtId="185" fontId="1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40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23" fillId="0" borderId="0"/>
    <xf numFmtId="0" fontId="24" fillId="0" borderId="0"/>
    <xf numFmtId="184" fontId="9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3" fillId="0" borderId="0"/>
    <xf numFmtId="188" fontId="2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>
      <alignment vertical="center"/>
    </xf>
    <xf numFmtId="0" fontId="67" fillId="0" borderId="0">
      <alignment vertical="center"/>
    </xf>
    <xf numFmtId="0" fontId="9" fillId="0" borderId="0"/>
    <xf numFmtId="0" fontId="17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25" fillId="0" borderId="0" applyFont="0" applyFill="0" applyBorder="0" applyAlignment="0" applyProtection="0"/>
    <xf numFmtId="185" fontId="1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207" fontId="33" fillId="0" borderId="0" applyFont="0" applyFill="0" applyBorder="0" applyAlignment="0" applyProtection="0"/>
    <xf numFmtId="0" fontId="87" fillId="0" borderId="0"/>
    <xf numFmtId="0" fontId="17" fillId="0" borderId="0"/>
    <xf numFmtId="194" fontId="17" fillId="0" borderId="0" applyFont="0" applyFill="0" applyBorder="0" applyAlignment="0" applyProtection="0"/>
    <xf numFmtId="0" fontId="13" fillId="0" borderId="0"/>
    <xf numFmtId="194" fontId="17" fillId="0" borderId="0" applyFont="0" applyFill="0" applyBorder="0" applyAlignment="0" applyProtection="0"/>
    <xf numFmtId="3" fontId="86" fillId="0" borderId="3"/>
    <xf numFmtId="208" fontId="13" fillId="0" borderId="0"/>
    <xf numFmtId="0" fontId="13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208" fontId="13" fillId="0" borderId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13" fillId="0" borderId="0"/>
    <xf numFmtId="0" fontId="13" fillId="0" borderId="0"/>
    <xf numFmtId="0" fontId="90" fillId="0" borderId="0" applyFont="0" applyFill="0" applyBorder="0" applyAlignment="0" applyProtection="0"/>
    <xf numFmtId="40" fontId="88" fillId="0" borderId="0" applyFont="0" applyFill="0" applyBorder="0" applyAlignment="0" applyProtection="0"/>
    <xf numFmtId="38" fontId="88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/>
    <xf numFmtId="0" fontId="89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0" fillId="0" borderId="0" applyFont="0" applyFill="0" applyBorder="0" applyAlignment="0" applyProtection="0"/>
    <xf numFmtId="188" fontId="92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17" fillId="0" borderId="0"/>
    <xf numFmtId="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188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18" fillId="0" borderId="0"/>
    <xf numFmtId="9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209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3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17" fillId="0" borderId="0"/>
    <xf numFmtId="0" fontId="13" fillId="0" borderId="0"/>
    <xf numFmtId="0" fontId="9" fillId="0" borderId="0" applyFont="0" applyFill="0" applyBorder="0" applyAlignment="0" applyProtection="0"/>
    <xf numFmtId="0" fontId="17" fillId="0" borderId="0"/>
    <xf numFmtId="0" fontId="13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13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4" fillId="0" borderId="0"/>
    <xf numFmtId="0" fontId="17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 applyNumberForma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3" fillId="0" borderId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9" fillId="0" borderId="0" applyFont="0" applyFill="0" applyBorder="0" applyAlignment="0" applyProtection="0"/>
    <xf numFmtId="0" fontId="93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48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3" fillId="0" borderId="0"/>
    <xf numFmtId="0" fontId="17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3" fillId="0" borderId="0"/>
    <xf numFmtId="212" fontId="9" fillId="0" borderId="0" applyFont="0" applyFill="0" applyBorder="0" applyAlignment="0" applyProtection="0"/>
    <xf numFmtId="213" fontId="9" fillId="0" borderId="0" applyFont="0" applyFill="0" applyBorder="0" applyAlignment="0" applyProtection="0"/>
    <xf numFmtId="186" fontId="95" fillId="0" borderId="0" applyFont="0" applyFill="0" applyBorder="0" applyAlignment="0" applyProtection="0"/>
    <xf numFmtId="214" fontId="9" fillId="0" borderId="0" applyFont="0" applyFill="0" applyBorder="0" applyAlignment="0" applyProtection="0"/>
    <xf numFmtId="215" fontId="95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/>
    <xf numFmtId="0" fontId="17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3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0" fontId="13" fillId="0" borderId="0"/>
    <xf numFmtId="18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9" fillId="0" borderId="0" applyFont="0" applyFill="0" applyBorder="0" applyAlignment="0" applyProtection="0"/>
    <xf numFmtId="216" fontId="1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7" fillId="0" borderId="0"/>
    <xf numFmtId="0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3" fillId="0" borderId="0"/>
    <xf numFmtId="0" fontId="17" fillId="0" borderId="0" applyFont="0" applyFill="0" applyBorder="0" applyAlignment="0" applyProtection="0"/>
    <xf numFmtId="0" fontId="97" fillId="0" borderId="0">
      <alignment horizontal="centerContinuous"/>
    </xf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/>
    <xf numFmtId="40" fontId="101" fillId="0" borderId="0" applyFont="0" applyFill="0" applyBorder="0" applyAlignment="0" applyProtection="0"/>
    <xf numFmtId="38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2" fillId="0" borderId="0"/>
    <xf numFmtId="0" fontId="102" fillId="0" borderId="0"/>
    <xf numFmtId="190" fontId="13" fillId="0" borderId="0" applyFont="0" applyFill="0" applyBorder="0" applyAlignment="0" applyProtection="0"/>
    <xf numFmtId="3" fontId="86" fillId="0" borderId="3"/>
    <xf numFmtId="3" fontId="86" fillId="0" borderId="3"/>
    <xf numFmtId="207" fontId="33" fillId="0" borderId="0" applyFont="0" applyFill="0" applyBorder="0" applyAlignment="0" applyProtection="0"/>
    <xf numFmtId="0" fontId="17" fillId="0" borderId="0"/>
    <xf numFmtId="184" fontId="103" fillId="0" borderId="0" applyFont="0" applyFill="0" applyBorder="0" applyAlignment="0" applyProtection="0"/>
    <xf numFmtId="0" fontId="49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0" fontId="18" fillId="84" borderId="0">
      <protection locked="0"/>
    </xf>
    <xf numFmtId="217" fontId="18" fillId="84" borderId="0">
      <protection locked="0"/>
    </xf>
    <xf numFmtId="0" fontId="9" fillId="0" borderId="0"/>
    <xf numFmtId="9" fontId="28" fillId="0" borderId="0" applyFont="0" applyFill="0" applyBorder="0" applyAlignment="0" applyProtection="0"/>
    <xf numFmtId="207" fontId="3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4" fillId="2" borderId="0" applyNumberFormat="0" applyBorder="0" applyAlignment="0" applyProtection="0">
      <alignment vertical="center"/>
    </xf>
    <xf numFmtId="0" fontId="104" fillId="3" borderId="0" applyNumberFormat="0" applyBorder="0" applyAlignment="0" applyProtection="0">
      <alignment vertical="center"/>
    </xf>
    <xf numFmtId="0" fontId="104" fillId="4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6" borderId="0" applyNumberFormat="0" applyBorder="0" applyAlignment="0" applyProtection="0">
      <alignment vertical="center"/>
    </xf>
    <xf numFmtId="0" fontId="104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4" fillId="2" borderId="0" applyNumberFormat="0" applyBorder="0" applyAlignment="0" applyProtection="0">
      <alignment vertical="center"/>
    </xf>
    <xf numFmtId="0" fontId="67" fillId="7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67" fillId="7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67" fillId="7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67" fillId="7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4" fillId="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4" fillId="5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67" fillId="7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3" fillId="0" borderId="0"/>
    <xf numFmtId="0" fontId="105" fillId="12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68" fillId="78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68" fillId="7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68" fillId="8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206" fontId="13" fillId="0" borderId="0">
      <alignment vertical="center"/>
    </xf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179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194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4" fontId="111" fillId="0" borderId="0" applyFont="0" applyFill="0" applyBorder="0" applyAlignment="0" applyProtection="0"/>
    <xf numFmtId="184" fontId="112" fillId="0" borderId="0" applyFont="0" applyFill="0" applyBorder="0" applyAlignment="0" applyProtection="0"/>
    <xf numFmtId="184" fontId="111" fillId="0" borderId="0" applyFont="0" applyFill="0" applyBorder="0" applyAlignment="0" applyProtection="0"/>
    <xf numFmtId="184" fontId="112" fillId="0" borderId="0" applyFont="0" applyFill="0" applyBorder="0" applyAlignment="0" applyProtection="0"/>
    <xf numFmtId="186" fontId="113" fillId="0" borderId="0" applyFont="0" applyFill="0" applyBorder="0" applyAlignment="0" applyProtection="0"/>
    <xf numFmtId="186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113" fillId="0" borderId="0" applyFont="0" applyFill="0" applyBorder="0" applyAlignment="0" applyProtection="0"/>
    <xf numFmtId="186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114" fillId="0" borderId="0" applyFont="0" applyFill="0" applyBorder="0" applyAlignment="0" applyProtection="0"/>
    <xf numFmtId="186" fontId="113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4" fontId="111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194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194" fontId="28" fillId="0" borderId="0" applyFont="0" applyFill="0" applyBorder="0" applyAlignment="0" applyProtection="0"/>
    <xf numFmtId="194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218" fontId="9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4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111" fillId="0" borderId="0" applyFont="0" applyFill="0" applyBorder="0" applyAlignment="0" applyProtection="0"/>
    <xf numFmtId="184" fontId="11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1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5" fontId="111" fillId="0" borderId="0" applyFont="0" applyFill="0" applyBorder="0" applyAlignment="0" applyProtection="0"/>
    <xf numFmtId="185" fontId="112" fillId="0" borderId="0" applyFont="0" applyFill="0" applyBorder="0" applyAlignment="0" applyProtection="0"/>
    <xf numFmtId="185" fontId="111" fillId="0" borderId="0" applyFont="0" applyFill="0" applyBorder="0" applyAlignment="0" applyProtection="0"/>
    <xf numFmtId="185" fontId="112" fillId="0" borderId="0" applyFont="0" applyFill="0" applyBorder="0" applyAlignment="0" applyProtection="0"/>
    <xf numFmtId="187" fontId="113" fillId="0" borderId="0" applyFont="0" applyFill="0" applyBorder="0" applyAlignment="0" applyProtection="0"/>
    <xf numFmtId="187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113" fillId="0" borderId="0" applyFont="0" applyFill="0" applyBorder="0" applyAlignment="0" applyProtection="0"/>
    <xf numFmtId="187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114" fillId="0" borderId="0" applyFont="0" applyFill="0" applyBorder="0" applyAlignment="0" applyProtection="0"/>
    <xf numFmtId="187" fontId="113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44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7" fillId="0" borderId="0" applyFont="0" applyFill="0" applyBorder="0" applyAlignment="0" applyProtection="0"/>
    <xf numFmtId="44" fontId="111" fillId="0" borderId="0" applyFont="0" applyFill="0" applyBorder="0" applyAlignment="0" applyProtection="0"/>
    <xf numFmtId="187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219" fontId="9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7" fontId="28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10" fontId="28" fillId="0" borderId="0" applyFont="0" applyFill="0" applyBorder="0" applyAlignment="0" applyProtection="0"/>
    <xf numFmtId="21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5" fontId="111" fillId="0" borderId="0" applyFont="0" applyFill="0" applyBorder="0" applyAlignment="0" applyProtection="0"/>
    <xf numFmtId="185" fontId="11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33" fillId="0" borderId="0"/>
    <xf numFmtId="0" fontId="33" fillId="0" borderId="0"/>
    <xf numFmtId="220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190" fontId="111" fillId="0" borderId="0" applyFont="0" applyFill="0" applyBorder="0" applyAlignment="0" applyProtection="0"/>
    <xf numFmtId="190" fontId="112" fillId="0" borderId="0" applyFont="0" applyFill="0" applyBorder="0" applyAlignment="0" applyProtection="0"/>
    <xf numFmtId="190" fontId="111" fillId="0" borderId="0" applyFont="0" applyFill="0" applyBorder="0" applyAlignment="0" applyProtection="0"/>
    <xf numFmtId="190" fontId="112" fillId="0" borderId="0" applyFont="0" applyFill="0" applyBorder="0" applyAlignment="0" applyProtection="0"/>
    <xf numFmtId="208" fontId="113" fillId="0" borderId="0" applyFont="0" applyFill="0" applyBorder="0" applyAlignment="0" applyProtection="0"/>
    <xf numFmtId="208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8" fontId="28" fillId="0" borderId="0" applyFont="0" applyFill="0" applyBorder="0" applyAlignment="0" applyProtection="0"/>
    <xf numFmtId="0" fontId="27" fillId="0" borderId="0" applyFont="0" applyFill="0" applyBorder="0" applyAlignment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113" fillId="0" borderId="0" applyFont="0" applyFill="0" applyBorder="0" applyAlignment="0" applyProtection="0"/>
    <xf numFmtId="208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114" fillId="0" borderId="0" applyFont="0" applyFill="0" applyBorder="0" applyAlignment="0" applyProtection="0"/>
    <xf numFmtId="208" fontId="113" fillId="0" borderId="0" applyFont="0" applyFill="0" applyBorder="0" applyAlignment="0" applyProtection="0"/>
    <xf numFmtId="0" fontId="27" fillId="0" borderId="0" applyFont="0" applyFill="0" applyBorder="0" applyAlignment="0"/>
    <xf numFmtId="0" fontId="28" fillId="0" borderId="0" applyFont="0" applyFill="0" applyBorder="0" applyAlignment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41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7" fillId="0" borderId="0" applyFont="0" applyFill="0" applyBorder="0" applyAlignment="0" applyProtection="0"/>
    <xf numFmtId="221" fontId="118" fillId="0" borderId="0" applyFont="0" applyFill="0" applyBorder="0" applyAlignment="0" applyProtection="0"/>
    <xf numFmtId="221" fontId="119" fillId="0" borderId="0" applyFont="0" applyFill="0" applyBorder="0" applyAlignment="0" applyProtection="0"/>
    <xf numFmtId="41" fontId="111" fillId="0" borderId="0" applyFont="0" applyFill="0" applyBorder="0" applyAlignment="0" applyProtection="0"/>
    <xf numFmtId="208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222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222" fontId="9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17" fillId="0" borderId="0" applyFont="0" applyFill="0" applyBorder="0" applyAlignment="0" applyProtection="0"/>
    <xf numFmtId="190" fontId="27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22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21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90" fontId="28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9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90" fontId="111" fillId="0" borderId="0" applyFont="0" applyFill="0" applyBorder="0" applyAlignment="0" applyProtection="0"/>
    <xf numFmtId="190" fontId="11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8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223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220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188" fontId="111" fillId="0" borderId="0" applyFont="0" applyFill="0" applyBorder="0" applyAlignment="0" applyProtection="0"/>
    <xf numFmtId="188" fontId="112" fillId="0" borderId="0" applyFont="0" applyFill="0" applyBorder="0" applyAlignment="0" applyProtection="0"/>
    <xf numFmtId="188" fontId="111" fillId="0" borderId="0" applyFont="0" applyFill="0" applyBorder="0" applyAlignment="0" applyProtection="0"/>
    <xf numFmtId="188" fontId="112" fillId="0" borderId="0" applyFont="0" applyFill="0" applyBorder="0" applyAlignment="0" applyProtection="0"/>
    <xf numFmtId="225" fontId="113" fillId="0" borderId="0" applyFont="0" applyFill="0" applyBorder="0" applyAlignment="0" applyProtection="0"/>
    <xf numFmtId="225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8" fontId="20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113" fillId="0" borderId="0" applyFont="0" applyFill="0" applyBorder="0" applyAlignment="0" applyProtection="0"/>
    <xf numFmtId="225" fontId="1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114" fillId="0" borderId="0" applyFont="0" applyFill="0" applyBorder="0" applyAlignment="0" applyProtection="0"/>
    <xf numFmtId="225" fontId="113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188" fontId="111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25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225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40" fontId="28" fillId="0" borderId="0" applyFont="0" applyFill="0" applyBorder="0" applyAlignment="0" applyProtection="0"/>
    <xf numFmtId="4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5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27" fillId="0" borderId="0" applyFont="0" applyFill="0" applyBorder="0" applyAlignment="0" applyProtection="0"/>
    <xf numFmtId="220" fontId="9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7" fillId="0" borderId="0" applyFont="0" applyFill="0" applyBorder="0" applyAlignment="0" applyProtection="0"/>
    <xf numFmtId="188" fontId="27" fillId="0" borderId="0" applyFont="0" applyFill="0" applyBorder="0" applyAlignment="0" applyProtection="0"/>
    <xf numFmtId="223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223" fontId="28" fillId="0" borderId="0" applyFont="0" applyFill="0" applyBorder="0" applyAlignment="0" applyProtection="0"/>
    <xf numFmtId="223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2" fillId="0" borderId="0" applyFont="0" applyFill="0" applyBorder="0" applyAlignment="0" applyProtection="0"/>
    <xf numFmtId="226" fontId="113" fillId="0" borderId="0" applyFont="0" applyFill="0" applyBorder="0" applyAlignment="0" applyProtection="0"/>
    <xf numFmtId="225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0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0" fontId="9" fillId="0" borderId="0" applyFont="0" applyFill="0" applyBorder="0" applyAlignment="0" applyProtection="0"/>
    <xf numFmtId="223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8" fontId="27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188" fontId="111" fillId="0" borderId="0" applyFont="0" applyFill="0" applyBorder="0" applyAlignment="0" applyProtection="0"/>
    <xf numFmtId="188" fontId="112" fillId="0" borderId="0" applyFont="0" applyFill="0" applyBorder="0" applyAlignment="0" applyProtection="0"/>
    <xf numFmtId="226" fontId="113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0" fillId="3" borderId="0" applyNumberFormat="0" applyBorder="0" applyAlignment="0" applyProtection="0">
      <alignment vertical="center"/>
    </xf>
    <xf numFmtId="3" fontId="13" fillId="0" borderId="0">
      <alignment vertical="center"/>
    </xf>
    <xf numFmtId="0" fontId="121" fillId="0" borderId="0" applyNumberFormat="0" applyFill="0" applyBorder="0" applyAlignment="0" applyProtection="0"/>
    <xf numFmtId="0" fontId="122" fillId="0" borderId="40" applyFont="0" applyAlignment="0">
      <alignment vertical="center"/>
    </xf>
    <xf numFmtId="0" fontId="93" fillId="0" borderId="44">
      <alignment horizontal="center" vertical="center" wrapText="1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23" fillId="85" borderId="39">
      <alignment horizontal="center" vertical="center"/>
    </xf>
    <xf numFmtId="0" fontId="110" fillId="0" borderId="0"/>
    <xf numFmtId="0" fontId="108" fillId="0" borderId="0"/>
    <xf numFmtId="0" fontId="109" fillId="0" borderId="0"/>
    <xf numFmtId="0" fontId="108" fillId="0" borderId="0"/>
    <xf numFmtId="0" fontId="109" fillId="0" borderId="0"/>
    <xf numFmtId="0" fontId="108" fillId="0" borderId="0"/>
    <xf numFmtId="0" fontId="107" fillId="0" borderId="0"/>
    <xf numFmtId="0" fontId="27" fillId="0" borderId="0"/>
    <xf numFmtId="0" fontId="28" fillId="0" borderId="0"/>
    <xf numFmtId="0" fontId="27" fillId="0" borderId="0"/>
    <xf numFmtId="0" fontId="115" fillId="0" borderId="0"/>
    <xf numFmtId="0" fontId="124" fillId="0" borderId="0">
      <alignment vertical="center"/>
    </xf>
    <xf numFmtId="0" fontId="111" fillId="0" borderId="0"/>
    <xf numFmtId="0" fontId="124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11" fillId="0" borderId="0"/>
    <xf numFmtId="0" fontId="112" fillId="0" borderId="0"/>
    <xf numFmtId="0" fontId="111" fillId="0" borderId="0"/>
    <xf numFmtId="0" fontId="112" fillId="0" borderId="0"/>
    <xf numFmtId="0" fontId="111" fillId="0" borderId="0"/>
    <xf numFmtId="0" fontId="112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111" fillId="0" borderId="0"/>
    <xf numFmtId="0" fontId="112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13" fillId="0" borderId="0"/>
    <xf numFmtId="0" fontId="114" fillId="0" borderId="0"/>
    <xf numFmtId="0" fontId="113" fillId="0" borderId="0"/>
    <xf numFmtId="0" fontId="126" fillId="0" borderId="0"/>
    <xf numFmtId="0" fontId="28" fillId="0" borderId="0"/>
    <xf numFmtId="0" fontId="27" fillId="0" borderId="0"/>
    <xf numFmtId="0" fontId="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28" fillId="0" borderId="0"/>
    <xf numFmtId="0" fontId="127" fillId="0" borderId="0"/>
    <xf numFmtId="0" fontId="113" fillId="0" borderId="0"/>
    <xf numFmtId="0" fontId="19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17" fillId="0" borderId="0"/>
    <xf numFmtId="0" fontId="112" fillId="0" borderId="0"/>
    <xf numFmtId="0" fontId="111" fillId="0" borderId="0"/>
    <xf numFmtId="0" fontId="114" fillId="0" borderId="0"/>
    <xf numFmtId="0" fontId="113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129" fillId="0" borderId="0"/>
    <xf numFmtId="0" fontId="114" fillId="0" borderId="0"/>
    <xf numFmtId="0" fontId="113" fillId="0" borderId="0"/>
    <xf numFmtId="0" fontId="19" fillId="0" borderId="0"/>
    <xf numFmtId="0" fontId="20" fillId="0" borderId="0"/>
    <xf numFmtId="0" fontId="19" fillId="0" borderId="0"/>
    <xf numFmtId="0" fontId="111" fillId="0" borderId="0"/>
    <xf numFmtId="0" fontId="112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30" fillId="0" borderId="0"/>
    <xf numFmtId="0" fontId="131" fillId="0" borderId="0"/>
    <xf numFmtId="0" fontId="31" fillId="0" borderId="0"/>
    <xf numFmtId="2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12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11" fillId="0" borderId="0"/>
    <xf numFmtId="0" fontId="27" fillId="0" borderId="0"/>
    <xf numFmtId="0" fontId="111" fillId="0" borderId="0"/>
    <xf numFmtId="0" fontId="112" fillId="0" borderId="0"/>
    <xf numFmtId="0" fontId="132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16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28" fillId="0" borderId="0"/>
    <xf numFmtId="0" fontId="116" fillId="0" borderId="0"/>
    <xf numFmtId="0" fontId="135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28" fillId="0" borderId="0"/>
    <xf numFmtId="0" fontId="27" fillId="0" borderId="0"/>
    <xf numFmtId="0" fontId="111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115" fillId="0" borderId="0"/>
    <xf numFmtId="0" fontId="19" fillId="0" borderId="0"/>
    <xf numFmtId="0" fontId="17" fillId="0" borderId="0"/>
    <xf numFmtId="0" fontId="17" fillId="0" borderId="0"/>
    <xf numFmtId="0" fontId="28" fillId="0" borderId="0"/>
    <xf numFmtId="0" fontId="17" fillId="0" borderId="0"/>
    <xf numFmtId="0" fontId="20" fillId="0" borderId="0"/>
    <xf numFmtId="0" fontId="112" fillId="0" borderId="0"/>
    <xf numFmtId="0" fontId="111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11" fillId="0" borderId="0" applyBorder="0"/>
    <xf numFmtId="0" fontId="116" fillId="0" borderId="0"/>
    <xf numFmtId="0" fontId="115" fillId="0" borderId="0"/>
    <xf numFmtId="0" fontId="116" fillId="0" borderId="0"/>
    <xf numFmtId="0" fontId="28" fillId="0" borderId="0"/>
    <xf numFmtId="0" fontId="136" fillId="0" borderId="0"/>
    <xf numFmtId="0" fontId="28" fillId="0" borderId="0"/>
    <xf numFmtId="0" fontId="27" fillId="0" borderId="0"/>
    <xf numFmtId="0" fontId="2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28" fillId="0" borderId="0"/>
    <xf numFmtId="0" fontId="27" fillId="0" borderId="0" applyBorder="0"/>
    <xf numFmtId="0" fontId="111" fillId="0" borderId="0"/>
    <xf numFmtId="0" fontId="112" fillId="0" borderId="0"/>
    <xf numFmtId="0" fontId="20" fillId="0" borderId="0"/>
    <xf numFmtId="0" fontId="19" fillId="0" borderId="0"/>
    <xf numFmtId="0" fontId="20" fillId="0" borderId="0"/>
    <xf numFmtId="0" fontId="27" fillId="0" borderId="0" applyBorder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29" fillId="0" borderId="0"/>
    <xf numFmtId="0" fontId="139" fillId="0" borderId="0"/>
    <xf numFmtId="0" fontId="28" fillId="0" borderId="0"/>
    <xf numFmtId="0" fontId="27" fillId="0" borderId="0"/>
    <xf numFmtId="0" fontId="28" fillId="0" borderId="0"/>
    <xf numFmtId="0" fontId="31" fillId="0" borderId="0"/>
    <xf numFmtId="0" fontId="20" fillId="0" borderId="0"/>
    <xf numFmtId="0" fontId="139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11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133" fillId="0" borderId="0"/>
    <xf numFmtId="0" fontId="134" fillId="0" borderId="0"/>
    <xf numFmtId="0" fontId="20" fillId="0" borderId="0"/>
    <xf numFmtId="0" fontId="27" fillId="0" borderId="0"/>
    <xf numFmtId="0" fontId="28" fillId="0" borderId="0" applyBorder="0"/>
    <xf numFmtId="0" fontId="27" fillId="0" borderId="0" applyBorder="0"/>
    <xf numFmtId="0" fontId="28" fillId="0" borderId="0" applyBorder="0"/>
    <xf numFmtId="0" fontId="112" fillId="0" borderId="0"/>
    <xf numFmtId="0" fontId="111" fillId="0" borderId="0"/>
    <xf numFmtId="0" fontId="27" fillId="0" borderId="0" applyBorder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40" fillId="0" borderId="0"/>
    <xf numFmtId="0" fontId="19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16" fillId="0" borderId="0"/>
    <xf numFmtId="0" fontId="115" fillId="0" borderId="0"/>
    <xf numFmtId="0" fontId="141" fillId="23" borderId="5" applyNumberFormat="0" applyAlignment="0" applyProtection="0">
      <alignment vertical="center"/>
    </xf>
    <xf numFmtId="0" fontId="142" fillId="26" borderId="7" applyNumberFormat="0" applyAlignment="0" applyProtection="0">
      <alignment vertical="center"/>
    </xf>
    <xf numFmtId="227" fontId="9" fillId="0" borderId="0" applyFont="0" applyFill="0" applyBorder="0" applyAlignment="0" applyProtection="0"/>
    <xf numFmtId="228" fontId="143" fillId="0" borderId="0">
      <protection locked="0"/>
    </xf>
    <xf numFmtId="0" fontId="18" fillId="0" borderId="101"/>
    <xf numFmtId="38" fontId="17" fillId="0" borderId="0" applyFont="0" applyFill="0" applyBorder="0" applyAlignment="0" applyProtection="0"/>
    <xf numFmtId="190" fontId="13" fillId="0" borderId="0" applyFont="0" applyFill="0" applyBorder="0" applyAlignment="0" applyProtection="0"/>
    <xf numFmtId="229" fontId="9" fillId="0" borderId="0" applyFont="0" applyFill="0" applyBorder="0" applyAlignment="0" applyProtection="0"/>
    <xf numFmtId="230" fontId="13" fillId="0" borderId="0"/>
    <xf numFmtId="231" fontId="9" fillId="0" borderId="0"/>
    <xf numFmtId="10" fontId="29" fillId="0" borderId="0">
      <alignment horizontal="right"/>
    </xf>
    <xf numFmtId="0" fontId="17" fillId="0" borderId="0" applyFont="0" applyFill="0" applyBorder="0" applyAlignment="0" applyProtection="0"/>
    <xf numFmtId="0" fontId="18" fillId="0" borderId="101"/>
    <xf numFmtId="228" fontId="143" fillId="0" borderId="0">
      <protection locked="0"/>
    </xf>
    <xf numFmtId="232" fontId="9" fillId="0" borderId="0">
      <alignment horizontal="center"/>
    </xf>
    <xf numFmtId="0" fontId="17" fillId="0" borderId="0" applyFont="0" applyFill="0" applyBorder="0" applyAlignment="0" applyProtection="0"/>
    <xf numFmtId="0" fontId="9" fillId="0" borderId="0"/>
    <xf numFmtId="228" fontId="143" fillId="0" borderId="0">
      <protection locked="0"/>
    </xf>
    <xf numFmtId="228" fontId="143" fillId="0" borderId="0">
      <protection locked="0"/>
    </xf>
    <xf numFmtId="0" fontId="33" fillId="0" borderId="0"/>
    <xf numFmtId="233" fontId="144" fillId="0" borderId="0"/>
    <xf numFmtId="234" fontId="9" fillId="0" borderId="0"/>
    <xf numFmtId="0" fontId="13" fillId="0" borderId="0"/>
    <xf numFmtId="186" fontId="95" fillId="0" borderId="0" applyFont="0" applyFill="0" applyBorder="0" applyAlignment="0" applyProtection="0"/>
    <xf numFmtId="229" fontId="9" fillId="0" borderId="0" applyFill="0" applyBorder="0" applyAlignment="0"/>
    <xf numFmtId="229" fontId="9" fillId="0" borderId="0" applyFill="0" applyBorder="0" applyAlignment="0"/>
    <xf numFmtId="194" fontId="17" fillId="0" borderId="0" applyFont="0" applyFill="0" applyBorder="0" applyAlignment="0" applyProtection="0"/>
    <xf numFmtId="0" fontId="17" fillId="0" borderId="0"/>
    <xf numFmtId="0" fontId="17" fillId="0" borderId="0"/>
    <xf numFmtId="0" fontId="94" fillId="0" borderId="0"/>
    <xf numFmtId="0" fontId="145" fillId="0" borderId="0" applyNumberFormat="0" applyFill="0" applyBorder="0" applyAlignment="0" applyProtection="0">
      <alignment vertical="center"/>
    </xf>
    <xf numFmtId="228" fontId="143" fillId="0" borderId="0">
      <protection locked="0"/>
    </xf>
    <xf numFmtId="0" fontId="146" fillId="4" borderId="0" applyNumberFormat="0" applyBorder="0" applyAlignment="0" applyProtection="0">
      <alignment vertical="center"/>
    </xf>
    <xf numFmtId="0" fontId="147" fillId="0" borderId="10" applyNumberFormat="0" applyFill="0" applyAlignment="0" applyProtection="0">
      <alignment vertical="center"/>
    </xf>
    <xf numFmtId="0" fontId="148" fillId="0" borderId="11" applyNumberFormat="0" applyFill="0" applyAlignment="0" applyProtection="0">
      <alignment vertical="center"/>
    </xf>
    <xf numFmtId="0" fontId="149" fillId="0" borderId="12" applyNumberFormat="0" applyFill="0" applyAlignment="0" applyProtection="0">
      <alignment vertical="center"/>
    </xf>
    <xf numFmtId="0" fontId="149" fillId="0" borderId="0" applyNumberFormat="0" applyFill="0" applyBorder="0" applyAlignment="0" applyProtection="0">
      <alignment vertical="center"/>
    </xf>
    <xf numFmtId="228" fontId="150" fillId="0" borderId="0">
      <protection locked="0"/>
    </xf>
    <xf numFmtId="228" fontId="150" fillId="0" borderId="0">
      <protection locked="0"/>
    </xf>
    <xf numFmtId="0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151" fillId="7" borderId="5" applyNumberFormat="0" applyAlignment="0" applyProtection="0">
      <alignment vertical="center"/>
    </xf>
    <xf numFmtId="0" fontId="152" fillId="0" borderId="0" applyNumberFormat="0" applyFill="0" applyBorder="0" applyProtection="0">
      <alignment horizontal="left"/>
    </xf>
    <xf numFmtId="0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23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229" fontId="9" fillId="0" borderId="0" applyFill="0" applyBorder="0" applyAlignment="0"/>
    <xf numFmtId="229" fontId="9" fillId="0" borderId="0" applyFill="0" applyBorder="0" applyAlignment="0"/>
    <xf numFmtId="0" fontId="153" fillId="0" borderId="8" applyNumberFormat="0" applyFill="0" applyAlignment="0" applyProtection="0">
      <alignment vertical="center"/>
    </xf>
    <xf numFmtId="4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36" fontId="9" fillId="0" borderId="0" applyFont="0" applyFill="0" applyBorder="0" applyAlignment="0" applyProtection="0"/>
    <xf numFmtId="189" fontId="34" fillId="0" borderId="0" applyFont="0" applyFill="0" applyBorder="0" applyAlignment="0" applyProtection="0"/>
    <xf numFmtId="0" fontId="154" fillId="25" borderId="0" applyNumberFormat="0" applyBorder="0" applyAlignment="0" applyProtection="0">
      <alignment vertical="center"/>
    </xf>
    <xf numFmtId="37" fontId="155" fillId="0" borderId="0"/>
    <xf numFmtId="0" fontId="156" fillId="0" borderId="0"/>
    <xf numFmtId="0" fontId="13" fillId="0" borderId="0"/>
    <xf numFmtId="0" fontId="157" fillId="0" borderId="0"/>
    <xf numFmtId="0" fontId="17" fillId="0" borderId="0"/>
    <xf numFmtId="0" fontId="10" fillId="24" borderId="6" applyNumberFormat="0" applyFont="0" applyAlignment="0" applyProtection="0">
      <alignment vertical="center"/>
    </xf>
    <xf numFmtId="0" fontId="13" fillId="0" borderId="0" applyFont="0" applyFill="0" applyBorder="0" applyAlignment="0" applyProtection="0"/>
    <xf numFmtId="237" fontId="25" fillId="86" borderId="0">
      <alignment vertical="center"/>
    </xf>
    <xf numFmtId="0" fontId="29" fillId="0" borderId="0">
      <alignment horizontal="right" vertical="top"/>
    </xf>
    <xf numFmtId="40" fontId="15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59" fillId="23" borderId="13" applyNumberFormat="0" applyAlignment="0" applyProtection="0">
      <alignment vertical="center"/>
    </xf>
    <xf numFmtId="228" fontId="143" fillId="0" borderId="0">
      <protection locked="0"/>
    </xf>
    <xf numFmtId="238" fontId="9" fillId="0" borderId="0" applyFont="0" applyFill="0" applyBorder="0" applyAlignment="0" applyProtection="0"/>
    <xf numFmtId="23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228" fontId="143" fillId="0" borderId="0">
      <protection locked="0"/>
    </xf>
    <xf numFmtId="229" fontId="9" fillId="0" borderId="0" applyFill="0" applyBorder="0" applyAlignment="0"/>
    <xf numFmtId="229" fontId="9" fillId="0" borderId="0" applyFill="0" applyBorder="0" applyAlignment="0"/>
    <xf numFmtId="0" fontId="17" fillId="0" borderId="0"/>
    <xf numFmtId="0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160" fillId="87" borderId="39">
      <alignment horizontal="center" vertical="center"/>
    </xf>
    <xf numFmtId="0" fontId="93" fillId="0" borderId="0"/>
    <xf numFmtId="240" fontId="9" fillId="0" borderId="0" applyFont="0" applyFill="0" applyBorder="0" applyAlignment="0" applyProtection="0"/>
    <xf numFmtId="184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38" fontId="9" fillId="0" borderId="0">
      <alignment horizontal="center"/>
    </xf>
    <xf numFmtId="0" fontId="25" fillId="0" borderId="0">
      <alignment vertical="center"/>
    </xf>
    <xf numFmtId="0" fontId="17" fillId="0" borderId="0"/>
    <xf numFmtId="215" fontId="95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28" fillId="0" borderId="0"/>
    <xf numFmtId="0" fontId="28" fillId="0" borderId="0"/>
    <xf numFmtId="0" fontId="161" fillId="0" borderId="0" applyNumberFormat="0" applyFill="0" applyBorder="0" applyAlignment="0" applyProtection="0">
      <alignment vertical="center"/>
    </xf>
    <xf numFmtId="228" fontId="143" fillId="0" borderId="102">
      <protection locked="0"/>
    </xf>
    <xf numFmtId="213" fontId="9" fillId="0" borderId="0" applyFont="0" applyFill="0" applyBorder="0" applyAlignment="0" applyProtection="0"/>
    <xf numFmtId="0" fontId="162" fillId="0" borderId="0"/>
    <xf numFmtId="190" fontId="13" fillId="0" borderId="0" applyFont="0" applyFill="0" applyBorder="0" applyAlignment="0" applyProtection="0"/>
    <xf numFmtId="0" fontId="163" fillId="0" borderId="0" applyNumberFormat="0" applyFill="0" applyBorder="0" applyAlignment="0" applyProtection="0"/>
    <xf numFmtId="0" fontId="164" fillId="88" borderId="103" applyNumberFormat="0" applyAlignment="0" applyProtection="0"/>
    <xf numFmtId="0" fontId="165" fillId="0" borderId="0" applyNumberFormat="0" applyFill="0" applyBorder="0" applyProtection="0">
      <alignment horizontal="right"/>
    </xf>
    <xf numFmtId="0" fontId="166" fillId="0" borderId="0"/>
    <xf numFmtId="0" fontId="167" fillId="0" borderId="0" applyNumberForma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9" fillId="0" borderId="0"/>
    <xf numFmtId="0" fontId="9" fillId="0" borderId="0" applyFont="0" applyFill="0" applyBorder="0" applyAlignment="0" applyProtection="0"/>
    <xf numFmtId="0" fontId="66" fillId="0" borderId="0"/>
    <xf numFmtId="0" fontId="50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3" borderId="5" applyNumberFormat="0" applyAlignment="0" applyProtection="0">
      <alignment vertical="center"/>
    </xf>
    <xf numFmtId="0" fontId="168" fillId="23" borderId="5" applyNumberFormat="0" applyAlignment="0" applyProtection="0">
      <alignment vertical="center"/>
    </xf>
    <xf numFmtId="0" fontId="70" fillId="62" borderId="92" applyNumberFormat="0" applyAlignment="0" applyProtection="0">
      <alignment vertical="center"/>
    </xf>
    <xf numFmtId="0" fontId="52" fillId="23" borderId="5" applyNumberFormat="0" applyAlignment="0" applyProtection="0">
      <alignment vertical="center"/>
    </xf>
    <xf numFmtId="2" fontId="169" fillId="0" borderId="0" applyFon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53" fillId="3" borderId="0" applyNumberFormat="0" applyBorder="0" applyAlignment="0" applyProtection="0">
      <alignment vertical="center"/>
    </xf>
    <xf numFmtId="0" fontId="172" fillId="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38" fontId="47" fillId="0" borderId="0">
      <alignment vertical="center"/>
    </xf>
    <xf numFmtId="0" fontId="173" fillId="0" borderId="0" applyNumberFormat="0" applyFill="0" applyBorder="0" applyAlignment="0" applyProtection="0">
      <alignment vertical="top"/>
      <protection locked="0"/>
    </xf>
    <xf numFmtId="40" fontId="174" fillId="0" borderId="0" applyFont="0" applyFill="0" applyBorder="0" applyAlignment="0" applyProtection="0"/>
    <xf numFmtId="38" fontId="174" fillId="0" borderId="0" applyFont="0" applyFill="0" applyBorder="0" applyAlignment="0" applyProtection="0"/>
    <xf numFmtId="0" fontId="9" fillId="24" borderId="6" applyNumberFormat="0" applyFont="0" applyAlignment="0" applyProtection="0">
      <alignment vertical="center"/>
    </xf>
    <xf numFmtId="0" fontId="6" fillId="24" borderId="6" applyNumberFormat="0" applyFont="0" applyAlignment="0" applyProtection="0">
      <alignment vertical="center"/>
    </xf>
    <xf numFmtId="0" fontId="10" fillId="24" borderId="6" applyNumberFormat="0" applyFont="0" applyAlignment="0" applyProtection="0">
      <alignment vertical="center"/>
    </xf>
    <xf numFmtId="0" fontId="10" fillId="24" borderId="6" applyNumberFormat="0" applyFont="0" applyAlignment="0" applyProtection="0">
      <alignment vertical="center"/>
    </xf>
    <xf numFmtId="0" fontId="6" fillId="64" borderId="93" applyNumberFormat="0" applyFont="0" applyAlignment="0" applyProtection="0">
      <alignment vertical="center"/>
    </xf>
    <xf numFmtId="0" fontId="9" fillId="24" borderId="6" applyNumberFormat="0" applyFont="0" applyAlignment="0" applyProtection="0">
      <alignment vertical="center"/>
    </xf>
    <xf numFmtId="0" fontId="6" fillId="64" borderId="93" applyNumberFormat="0" applyFont="0" applyAlignment="0" applyProtection="0">
      <alignment vertical="center"/>
    </xf>
    <xf numFmtId="0" fontId="13" fillId="0" borderId="0"/>
    <xf numFmtId="0" fontId="174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175" fillId="0" borderId="0" applyFont="0" applyFill="0" applyBorder="0" applyAlignment="0" applyProtection="0"/>
    <xf numFmtId="41" fontId="9" fillId="0" borderId="0" applyFont="0" applyFill="0" applyBorder="0" applyAlignment="0" applyProtection="0"/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9" fontId="94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17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72" fillId="65" borderId="0" applyNumberFormat="0" applyBorder="0" applyAlignment="0" applyProtection="0">
      <alignment vertical="center"/>
    </xf>
    <xf numFmtId="0" fontId="177" fillId="0" borderId="0"/>
    <xf numFmtId="0" fontId="177" fillId="0" borderId="0"/>
    <xf numFmtId="0" fontId="175" fillId="0" borderId="0" applyFont="0" applyFill="0" applyBorder="0" applyAlignment="0" applyProtection="0"/>
    <xf numFmtId="0" fontId="175" fillId="0" borderId="0" applyFont="0" applyFill="0" applyBorder="0" applyAlignment="0" applyProtection="0"/>
    <xf numFmtId="242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6" borderId="7" applyNumberFormat="0" applyAlignment="0" applyProtection="0">
      <alignment vertical="center"/>
    </xf>
    <xf numFmtId="0" fontId="179" fillId="26" borderId="7" applyNumberFormat="0" applyAlignment="0" applyProtection="0">
      <alignment vertical="center"/>
    </xf>
    <xf numFmtId="0" fontId="74" fillId="66" borderId="94" applyNumberFormat="0" applyAlignment="0" applyProtection="0">
      <alignment vertical="center"/>
    </xf>
    <xf numFmtId="0" fontId="56" fillId="26" borderId="7" applyNumberFormat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17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186" fontId="1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13" fillId="0" borderId="0"/>
    <xf numFmtId="0" fontId="86" fillId="0" borderId="0"/>
    <xf numFmtId="0" fontId="86" fillId="0" borderId="0"/>
    <xf numFmtId="0" fontId="86" fillId="0" borderId="0"/>
    <xf numFmtId="215" fontId="9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211" fontId="9" fillId="0" borderId="0" applyFont="0" applyFill="0" applyBorder="0" applyAlignment="0" applyProtection="0"/>
    <xf numFmtId="215" fontId="95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13" fillId="0" borderId="0"/>
    <xf numFmtId="215" fontId="95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8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13" fillId="0" borderId="0"/>
    <xf numFmtId="0" fontId="86" fillId="0" borderId="0"/>
    <xf numFmtId="0" fontId="86" fillId="0" borderId="0"/>
    <xf numFmtId="0" fontId="57" fillId="0" borderId="8" applyNumberFormat="0" applyFill="0" applyAlignment="0" applyProtection="0">
      <alignment vertical="center"/>
    </xf>
    <xf numFmtId="0" fontId="180" fillId="0" borderId="8" applyNumberFormat="0" applyFill="0" applyAlignment="0" applyProtection="0">
      <alignment vertical="center"/>
    </xf>
    <xf numFmtId="0" fontId="75" fillId="0" borderId="95" applyNumberFormat="0" applyFill="0" applyAlignment="0" applyProtection="0">
      <alignment vertical="center"/>
    </xf>
    <xf numFmtId="0" fontId="57" fillId="0" borderId="8" applyNumberFormat="0" applyFill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181" fillId="0" borderId="9" applyNumberFormat="0" applyFill="0" applyAlignment="0" applyProtection="0">
      <alignment vertical="center"/>
    </xf>
    <xf numFmtId="0" fontId="76" fillId="0" borderId="96" applyNumberFormat="0" applyFill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9" fillId="0" borderId="0"/>
    <xf numFmtId="0" fontId="59" fillId="7" borderId="5" applyNumberFormat="0" applyAlignment="0" applyProtection="0">
      <alignment vertical="center"/>
    </xf>
    <xf numFmtId="0" fontId="182" fillId="7" borderId="5" applyNumberFormat="0" applyAlignment="0" applyProtection="0">
      <alignment vertical="center"/>
    </xf>
    <xf numFmtId="0" fontId="77" fillId="67" borderId="92" applyNumberFormat="0" applyAlignment="0" applyProtection="0">
      <alignment vertical="center"/>
    </xf>
    <xf numFmtId="0" fontId="59" fillId="7" borderId="5" applyNumberFormat="0" applyAlignment="0" applyProtection="0">
      <alignment vertical="center"/>
    </xf>
    <xf numFmtId="4" fontId="169" fillId="0" borderId="0" applyFont="0" applyFill="0" applyBorder="0" applyAlignment="0" applyProtection="0"/>
    <xf numFmtId="3" fontId="169" fillId="0" borderId="0" applyFont="0" applyFill="0" applyBorder="0" applyAlignment="0" applyProtection="0"/>
    <xf numFmtId="0" fontId="86" fillId="0" borderId="0">
      <alignment vertical="center"/>
    </xf>
    <xf numFmtId="0" fontId="61" fillId="0" borderId="10" applyNumberFormat="0" applyFill="0" applyAlignment="0" applyProtection="0">
      <alignment vertical="center"/>
    </xf>
    <xf numFmtId="0" fontId="79" fillId="0" borderId="97" applyNumberFormat="0" applyFill="0" applyAlignment="0" applyProtection="0">
      <alignment vertical="center"/>
    </xf>
    <xf numFmtId="0" fontId="62" fillId="0" borderId="11" applyNumberFormat="0" applyFill="0" applyAlignment="0" applyProtection="0">
      <alignment vertical="center"/>
    </xf>
    <xf numFmtId="0" fontId="80" fillId="0" borderId="98" applyNumberFormat="0" applyFill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81" fillId="0" borderId="9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183" fillId="4" borderId="0" applyNumberFormat="0" applyBorder="0" applyAlignment="0" applyProtection="0">
      <alignment vertical="center"/>
    </xf>
    <xf numFmtId="0" fontId="82" fillId="68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33" fillId="0" borderId="0" applyFont="0" applyFill="0" applyBorder="0" applyAlignment="0" applyProtection="0"/>
    <xf numFmtId="0" fontId="25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5" fillId="23" borderId="13" applyNumberFormat="0" applyAlignment="0" applyProtection="0">
      <alignment vertical="center"/>
    </xf>
    <xf numFmtId="0" fontId="184" fillId="23" borderId="13" applyNumberFormat="0" applyAlignment="0" applyProtection="0">
      <alignment vertical="center"/>
    </xf>
    <xf numFmtId="0" fontId="83" fillId="62" borderId="100" applyNumberFormat="0" applyAlignment="0" applyProtection="0">
      <alignment vertical="center"/>
    </xf>
    <xf numFmtId="0" fontId="65" fillId="23" borderId="13" applyNumberFormat="0" applyAlignment="0" applyProtection="0">
      <alignment vertical="center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1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0" fontId="9" fillId="0" borderId="0" applyFont="0" applyFill="0" applyBorder="0" applyAlignment="0" applyProtection="0"/>
    <xf numFmtId="3" fontId="13" fillId="0" borderId="39"/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10" fontId="169" fillId="0" borderId="0" applyFont="0" applyFill="0" applyBorder="0" applyAlignment="0" applyProtection="0"/>
    <xf numFmtId="222" fontId="25" fillId="86" borderId="0">
      <alignment vertical="center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241" fontId="48" fillId="0" borderId="0">
      <protection locked="0"/>
    </xf>
    <xf numFmtId="241" fontId="48" fillId="0" borderId="0">
      <protection locked="0"/>
    </xf>
    <xf numFmtId="237" fontId="25" fillId="0" borderId="39">
      <alignment vertical="center"/>
    </xf>
    <xf numFmtId="0" fontId="9" fillId="0" borderId="0">
      <alignment vertical="center"/>
    </xf>
    <xf numFmtId="0" fontId="10" fillId="0" borderId="0" applyNumberFormat="0" applyFill="0" applyBorder="0" applyAlignment="0" applyProtection="0"/>
    <xf numFmtId="0" fontId="12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188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67" fillId="0" borderId="0">
      <alignment vertical="center"/>
    </xf>
    <xf numFmtId="0" fontId="13" fillId="0" borderId="0"/>
    <xf numFmtId="0" fontId="9" fillId="0" borderId="0">
      <alignment vertical="center"/>
    </xf>
    <xf numFmtId="0" fontId="67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0" fillId="0" borderId="0" applyNumberFormat="0" applyFill="0" applyBorder="0" applyAlignment="0" applyProtection="0"/>
    <xf numFmtId="0" fontId="6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190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3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/>
    <xf numFmtId="0" fontId="13" fillId="0" borderId="0"/>
    <xf numFmtId="0" fontId="13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67" fillId="0" borderId="0">
      <alignment vertical="center"/>
    </xf>
    <xf numFmtId="0" fontId="9" fillId="0" borderId="0">
      <alignment vertical="center"/>
    </xf>
    <xf numFmtId="0" fontId="9" fillId="0" borderId="0"/>
    <xf numFmtId="0" fontId="67" fillId="0" borderId="0">
      <alignment vertical="center"/>
    </xf>
    <xf numFmtId="0" fontId="9" fillId="0" borderId="0"/>
    <xf numFmtId="0" fontId="185" fillId="0" borderId="0"/>
    <xf numFmtId="0" fontId="9" fillId="0" borderId="0"/>
    <xf numFmtId="41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0" fontId="187" fillId="0" borderId="0"/>
    <xf numFmtId="0" fontId="169" fillId="0" borderId="104" applyNumberFormat="0" applyFont="0" applyFill="0" applyAlignment="0" applyProtection="0"/>
    <xf numFmtId="0" fontId="86" fillId="0" borderId="0">
      <alignment vertical="center"/>
    </xf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99" fontId="48" fillId="0" borderId="0" applyFont="0" applyFill="0" applyBorder="0" applyAlignment="0" applyProtection="0"/>
    <xf numFmtId="244" fontId="169" fillId="0" borderId="0" applyFont="0" applyFill="0" applyBorder="0" applyAlignment="0" applyProtection="0"/>
    <xf numFmtId="234" fontId="169" fillId="0" borderId="0" applyFont="0" applyFill="0" applyBorder="0" applyAlignment="0" applyProtection="0"/>
    <xf numFmtId="0" fontId="1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2" fillId="0" borderId="0">
      <alignment vertical="center"/>
    </xf>
    <xf numFmtId="0" fontId="243" fillId="0" borderId="0">
      <alignment vertical="center"/>
    </xf>
    <xf numFmtId="9" fontId="67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3" fillId="0" borderId="0"/>
    <xf numFmtId="0" fontId="13" fillId="0" borderId="0"/>
    <xf numFmtId="184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210" fontId="9" fillId="0" borderId="0" applyFont="0" applyFill="0" applyBorder="0" applyAlignment="0" applyProtection="0"/>
    <xf numFmtId="0" fontId="17" fillId="0" borderId="0"/>
    <xf numFmtId="184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0" fontId="140" fillId="0" borderId="0"/>
    <xf numFmtId="0" fontId="17" fillId="0" borderId="0"/>
    <xf numFmtId="0" fontId="140" fillId="0" borderId="0"/>
    <xf numFmtId="184" fontId="9" fillId="0" borderId="0" applyFont="0" applyFill="0" applyBorder="0" applyAlignment="0" applyProtection="0"/>
    <xf numFmtId="0" fontId="17" fillId="0" borderId="0"/>
    <xf numFmtId="0" fontId="17" fillId="0" borderId="0"/>
    <xf numFmtId="0" fontId="140" fillId="0" borderId="0"/>
    <xf numFmtId="0" fontId="140" fillId="0" borderId="0"/>
    <xf numFmtId="0" fontId="140" fillId="0" borderId="0"/>
    <xf numFmtId="40" fontId="33" fillId="0" borderId="0" applyFont="0" applyFill="0" applyBorder="0" applyAlignment="0" applyProtection="0"/>
    <xf numFmtId="0" fontId="13" fillId="0" borderId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40" fillId="0" borderId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210" fontId="9" fillId="0" borderId="0" applyFont="0" applyFill="0" applyBorder="0" applyAlignment="0" applyProtection="0"/>
    <xf numFmtId="0" fontId="140" fillId="0" borderId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40" fontId="33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40" fillId="0" borderId="0"/>
    <xf numFmtId="0" fontId="13" fillId="0" borderId="0"/>
    <xf numFmtId="0" fontId="140" fillId="0" borderId="0"/>
    <xf numFmtId="0" fontId="13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184" fontId="9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40" fillId="0" borderId="0"/>
    <xf numFmtId="0" fontId="140" fillId="0" borderId="0"/>
    <xf numFmtId="40" fontId="33" fillId="0" borderId="0" applyFont="0" applyFill="0" applyBorder="0" applyAlignment="0" applyProtection="0"/>
    <xf numFmtId="0" fontId="17" fillId="0" borderId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84" fontId="9" fillId="0" borderId="0" applyFont="0" applyFill="0" applyBorder="0" applyAlignment="0" applyProtection="0"/>
    <xf numFmtId="0" fontId="17" fillId="0" borderId="0"/>
    <xf numFmtId="0" fontId="140" fillId="0" borderId="0"/>
    <xf numFmtId="40" fontId="33" fillId="0" borderId="0" applyFont="0" applyFill="0" applyBorder="0" applyAlignment="0" applyProtection="0"/>
    <xf numFmtId="0" fontId="17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3" fillId="0" borderId="0"/>
    <xf numFmtId="40" fontId="33" fillId="0" borderId="0" applyFont="0" applyFill="0" applyBorder="0" applyAlignment="0" applyProtection="0"/>
    <xf numFmtId="0" fontId="140" fillId="0" borderId="0"/>
    <xf numFmtId="40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/>
    <xf numFmtId="0" fontId="295" fillId="0" borderId="0">
      <alignment horizontal="centerContinuous"/>
    </xf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09" fillId="0" borderId="0"/>
    <xf numFmtId="0" fontId="28" fillId="0" borderId="0"/>
    <xf numFmtId="0" fontId="27" fillId="0" borderId="0"/>
    <xf numFmtId="0" fontId="28" fillId="0" borderId="0"/>
    <xf numFmtId="0" fontId="13" fillId="0" borderId="0"/>
    <xf numFmtId="250" fontId="13" fillId="0" borderId="0"/>
    <xf numFmtId="40" fontId="33" fillId="0" borderId="0"/>
    <xf numFmtId="40" fontId="33" fillId="0" borderId="0"/>
    <xf numFmtId="0" fontId="297" fillId="0" borderId="0" applyNumberFormat="0" applyFill="0" applyBorder="0" applyProtection="0">
      <alignment horizontal="left"/>
    </xf>
    <xf numFmtId="4" fontId="298" fillId="0" borderId="0" applyFont="0" applyFill="0" applyBorder="0" applyProtection="0">
      <alignment horizontal="right"/>
    </xf>
    <xf numFmtId="0" fontId="2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96" fillId="0" borderId="0" applyNumberFormat="0" applyFill="0" applyBorder="0" applyAlignment="0" applyProtection="0">
      <alignment vertical="top"/>
      <protection locked="0"/>
    </xf>
    <xf numFmtId="41" fontId="9" fillId="0" borderId="0" applyFont="0" applyFill="0" applyBorder="0" applyAlignment="0" applyProtection="0"/>
    <xf numFmtId="0" fontId="17" fillId="0" borderId="0"/>
    <xf numFmtId="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249" fontId="13" fillId="0" borderId="0" applyFont="0" applyFill="0" applyBorder="0" applyAlignment="0" applyProtection="0"/>
  </cellStyleXfs>
  <cellXfs count="2758">
    <xf numFmtId="0" fontId="0" fillId="0" borderId="0" xfId="0">
      <alignment vertical="center"/>
    </xf>
    <xf numFmtId="0" fontId="192" fillId="0" borderId="0" xfId="128" applyFont="1" applyAlignment="1">
      <alignment horizontal="center" vertical="center"/>
    </xf>
    <xf numFmtId="41" fontId="194" fillId="0" borderId="3" xfId="116" applyFont="1" applyBorder="1" applyAlignment="1">
      <alignment horizontal="center" vertical="center"/>
    </xf>
    <xf numFmtId="0" fontId="193" fillId="27" borderId="3" xfId="136" applyFont="1" applyFill="1" applyBorder="1" applyAlignment="1">
      <alignment horizontal="center" vertical="center"/>
    </xf>
    <xf numFmtId="0" fontId="193" fillId="43" borderId="3" xfId="136" applyFont="1" applyFill="1" applyBorder="1" applyAlignment="1">
      <alignment horizontal="center" vertical="center"/>
    </xf>
    <xf numFmtId="0" fontId="192" fillId="0" borderId="0" xfId="136" applyFont="1" applyAlignment="1">
      <alignment vertical="center"/>
    </xf>
    <xf numFmtId="0" fontId="192" fillId="0" borderId="0" xfId="128" applyFont="1">
      <alignment vertical="center"/>
    </xf>
    <xf numFmtId="176" fontId="192" fillId="0" borderId="0" xfId="136" applyNumberFormat="1" applyFont="1" applyAlignment="1">
      <alignment vertical="center"/>
    </xf>
    <xf numFmtId="176" fontId="198" fillId="0" borderId="0" xfId="136" applyNumberFormat="1" applyFont="1" applyAlignment="1">
      <alignment vertical="center"/>
    </xf>
    <xf numFmtId="176" fontId="198" fillId="0" borderId="4" xfId="136" applyNumberFormat="1" applyFont="1" applyBorder="1" applyAlignment="1">
      <alignment vertical="center"/>
    </xf>
    <xf numFmtId="0" fontId="192" fillId="0" borderId="4" xfId="136" applyFont="1" applyBorder="1" applyAlignment="1">
      <alignment vertical="center"/>
    </xf>
    <xf numFmtId="0" fontId="192" fillId="28" borderId="22" xfId="136" applyFont="1" applyFill="1" applyBorder="1" applyAlignment="1">
      <alignment horizontal="center" vertical="center"/>
    </xf>
    <xf numFmtId="0" fontId="192" fillId="28" borderId="69" xfId="136" applyFont="1" applyFill="1" applyBorder="1" applyAlignment="1">
      <alignment horizontal="center" vertical="center"/>
    </xf>
    <xf numFmtId="0" fontId="192" fillId="28" borderId="23" xfId="136" applyFont="1" applyFill="1" applyBorder="1" applyAlignment="1">
      <alignment horizontal="center" vertical="center"/>
    </xf>
    <xf numFmtId="0" fontId="192" fillId="16" borderId="69" xfId="136" applyFont="1" applyFill="1" applyBorder="1" applyAlignment="1">
      <alignment horizontal="center" vertical="center" wrapText="1"/>
    </xf>
    <xf numFmtId="0" fontId="192" fillId="16" borderId="37" xfId="136" applyFont="1" applyFill="1" applyBorder="1" applyAlignment="1">
      <alignment horizontal="center" vertical="center" wrapText="1"/>
    </xf>
    <xf numFmtId="0" fontId="192" fillId="16" borderId="23" xfId="136" applyFont="1" applyFill="1" applyBorder="1" applyAlignment="1">
      <alignment horizontal="center" vertical="center"/>
    </xf>
    <xf numFmtId="0" fontId="193" fillId="0" borderId="3" xfId="136" applyFont="1" applyBorder="1" applyAlignment="1">
      <alignment horizontal="center" vertical="center"/>
    </xf>
    <xf numFmtId="41" fontId="200" fillId="0" borderId="24" xfId="116" applyFont="1" applyBorder="1" applyAlignment="1">
      <alignment horizontal="center" vertical="center"/>
    </xf>
    <xf numFmtId="176" fontId="195" fillId="70" borderId="3" xfId="136" applyNumberFormat="1" applyFont="1" applyFill="1" applyBorder="1" applyAlignment="1">
      <alignment vertical="center"/>
    </xf>
    <xf numFmtId="0" fontId="193" fillId="27" borderId="14" xfId="136" applyFont="1" applyFill="1" applyBorder="1" applyAlignment="1">
      <alignment horizontal="center" vertical="center"/>
    </xf>
    <xf numFmtId="41" fontId="200" fillId="27" borderId="3" xfId="116" applyFont="1" applyFill="1" applyBorder="1" applyAlignment="1">
      <alignment horizontal="center" vertical="center"/>
    </xf>
    <xf numFmtId="0" fontId="193" fillId="27" borderId="14" xfId="136" applyFont="1" applyFill="1" applyBorder="1" applyAlignment="1" applyProtection="1">
      <alignment vertical="center"/>
      <protection locked="0"/>
    </xf>
    <xf numFmtId="0" fontId="193" fillId="27" borderId="3" xfId="136" applyFont="1" applyFill="1" applyBorder="1" applyAlignment="1" applyProtection="1">
      <alignment vertical="center"/>
      <protection locked="0"/>
    </xf>
    <xf numFmtId="0" fontId="193" fillId="43" borderId="14" xfId="136" applyFont="1" applyFill="1" applyBorder="1" applyAlignment="1">
      <alignment horizontal="center" vertical="center"/>
    </xf>
    <xf numFmtId="41" fontId="200" fillId="43" borderId="3" xfId="116" applyFont="1" applyFill="1" applyBorder="1" applyAlignment="1">
      <alignment horizontal="center" vertical="center"/>
    </xf>
    <xf numFmtId="0" fontId="193" fillId="43" borderId="14" xfId="136" applyFont="1" applyFill="1" applyBorder="1" applyAlignment="1" applyProtection="1">
      <alignment vertical="center"/>
      <protection locked="0"/>
    </xf>
    <xf numFmtId="0" fontId="193" fillId="43" borderId="3" xfId="136" applyFont="1" applyFill="1" applyBorder="1" applyAlignment="1" applyProtection="1">
      <alignment vertical="center"/>
      <protection locked="0"/>
    </xf>
    <xf numFmtId="0" fontId="193" fillId="40" borderId="29" xfId="136" applyFont="1" applyFill="1" applyBorder="1" applyAlignment="1">
      <alignment horizontal="center" vertical="center"/>
    </xf>
    <xf numFmtId="0" fontId="193" fillId="40" borderId="27" xfId="136" applyFont="1" applyFill="1" applyBorder="1" applyAlignment="1">
      <alignment horizontal="center" vertical="center"/>
    </xf>
    <xf numFmtId="41" fontId="200" fillId="40" borderId="27" xfId="116" applyFont="1" applyFill="1" applyBorder="1" applyAlignment="1">
      <alignment horizontal="center" vertical="center"/>
    </xf>
    <xf numFmtId="0" fontId="193" fillId="40" borderId="29" xfId="136" applyFont="1" applyFill="1" applyBorder="1" applyAlignment="1" applyProtection="1">
      <alignment vertical="center"/>
      <protection locked="0"/>
    </xf>
    <xf numFmtId="0" fontId="193" fillId="40" borderId="27" xfId="136" applyFont="1" applyFill="1" applyBorder="1" applyAlignment="1" applyProtection="1">
      <alignment vertical="center"/>
      <protection locked="0"/>
    </xf>
    <xf numFmtId="176" fontId="192" fillId="0" borderId="0" xfId="128" applyNumberFormat="1" applyFont="1">
      <alignment vertical="center"/>
    </xf>
    <xf numFmtId="0" fontId="193" fillId="0" borderId="18" xfId="136" applyFont="1" applyBorder="1" applyAlignment="1">
      <alignment horizontal="center" vertical="center"/>
    </xf>
    <xf numFmtId="0" fontId="193" fillId="0" borderId="19" xfId="136" applyFont="1" applyBorder="1" applyAlignment="1">
      <alignment horizontal="center" vertical="center"/>
    </xf>
    <xf numFmtId="41" fontId="200" fillId="0" borderId="19" xfId="116" applyFont="1" applyBorder="1" applyAlignment="1">
      <alignment horizontal="center" vertical="center"/>
    </xf>
    <xf numFmtId="0" fontId="193" fillId="0" borderId="18" xfId="136" applyFont="1" applyBorder="1" applyAlignment="1" applyProtection="1">
      <alignment vertical="center"/>
      <protection locked="0"/>
    </xf>
    <xf numFmtId="0" fontId="193" fillId="0" borderId="19" xfId="136" applyFont="1" applyBorder="1" applyAlignment="1" applyProtection="1">
      <alignment vertical="center"/>
      <protection locked="0"/>
    </xf>
    <xf numFmtId="0" fontId="193" fillId="27" borderId="29" xfId="136" applyFont="1" applyFill="1" applyBorder="1" applyAlignment="1">
      <alignment horizontal="center" vertical="center"/>
    </xf>
    <xf numFmtId="0" fontId="193" fillId="27" borderId="27" xfId="136" applyFont="1" applyFill="1" applyBorder="1" applyAlignment="1">
      <alignment horizontal="center" vertical="center"/>
    </xf>
    <xf numFmtId="41" fontId="200" fillId="27" borderId="27" xfId="116" applyFont="1" applyFill="1" applyBorder="1" applyAlignment="1">
      <alignment horizontal="center" vertical="center"/>
    </xf>
    <xf numFmtId="41" fontId="200" fillId="0" borderId="3" xfId="116" applyFont="1" applyBorder="1" applyAlignment="1">
      <alignment horizontal="center" vertical="center"/>
    </xf>
    <xf numFmtId="0" fontId="193" fillId="40" borderId="3" xfId="136" applyFont="1" applyFill="1" applyBorder="1" applyAlignment="1">
      <alignment horizontal="center" vertical="center"/>
    </xf>
    <xf numFmtId="41" fontId="200" fillId="40" borderId="3" xfId="116" applyFont="1" applyFill="1" applyBorder="1" applyAlignment="1">
      <alignment horizontal="center" vertical="center"/>
    </xf>
    <xf numFmtId="0" fontId="193" fillId="40" borderId="14" xfId="136" applyFont="1" applyFill="1" applyBorder="1" applyAlignment="1" applyProtection="1">
      <alignment vertical="center"/>
      <protection locked="0"/>
    </xf>
    <xf numFmtId="0" fontId="193" fillId="40" borderId="3" xfId="136" applyFont="1" applyFill="1" applyBorder="1" applyAlignment="1" applyProtection="1">
      <alignment vertical="center"/>
      <protection locked="0"/>
    </xf>
    <xf numFmtId="176" fontId="201" fillId="27" borderId="0" xfId="128" applyNumberFormat="1" applyFont="1" applyFill="1">
      <alignment vertical="center"/>
    </xf>
    <xf numFmtId="0" fontId="193" fillId="0" borderId="24" xfId="136" applyFont="1" applyBorder="1" applyAlignment="1">
      <alignment horizontal="center" vertical="center"/>
    </xf>
    <xf numFmtId="0" fontId="193" fillId="0" borderId="25" xfId="136" applyFont="1" applyBorder="1" applyAlignment="1" applyProtection="1">
      <alignment vertical="center"/>
      <protection locked="0"/>
    </xf>
    <xf numFmtId="0" fontId="193" fillId="0" borderId="24" xfId="136" applyFont="1" applyBorder="1" applyAlignment="1" applyProtection="1">
      <alignment vertical="center"/>
      <protection locked="0"/>
    </xf>
    <xf numFmtId="0" fontId="193" fillId="0" borderId="27" xfId="136" applyFont="1" applyBorder="1" applyAlignment="1">
      <alignment horizontal="center" vertical="center"/>
    </xf>
    <xf numFmtId="41" fontId="200" fillId="0" borderId="37" xfId="116" applyFont="1" applyBorder="1" applyAlignment="1">
      <alignment horizontal="center" vertical="center"/>
    </xf>
    <xf numFmtId="0" fontId="193" fillId="0" borderId="3" xfId="128" applyFont="1" applyBorder="1" applyAlignment="1">
      <alignment horizontal="center" vertical="center"/>
    </xf>
    <xf numFmtId="0" fontId="192" fillId="17" borderId="0" xfId="128" applyFont="1" applyFill="1">
      <alignment vertical="center"/>
    </xf>
    <xf numFmtId="0" fontId="193" fillId="0" borderId="27" xfId="128" applyFont="1" applyBorder="1" applyAlignment="1">
      <alignment horizontal="center" vertical="center"/>
    </xf>
    <xf numFmtId="41" fontId="200" fillId="0" borderId="27" xfId="116" applyFont="1" applyBorder="1" applyAlignment="1">
      <alignment horizontal="center" vertical="center"/>
    </xf>
    <xf numFmtId="0" fontId="193" fillId="27" borderId="19" xfId="128" applyFont="1" applyFill="1" applyBorder="1" applyAlignment="1">
      <alignment horizontal="center" vertical="center"/>
    </xf>
    <xf numFmtId="0" fontId="193" fillId="27" borderId="19" xfId="136" applyFont="1" applyFill="1" applyBorder="1" applyAlignment="1">
      <alignment horizontal="center" vertical="center"/>
    </xf>
    <xf numFmtId="41" fontId="200" fillId="27" borderId="19" xfId="116" applyFont="1" applyFill="1" applyBorder="1" applyAlignment="1">
      <alignment horizontal="center" vertical="center"/>
    </xf>
    <xf numFmtId="0" fontId="193" fillId="40" borderId="3" xfId="128" applyFont="1" applyFill="1" applyBorder="1" applyAlignment="1">
      <alignment horizontal="center" vertical="center"/>
    </xf>
    <xf numFmtId="0" fontId="193" fillId="43" borderId="3" xfId="128" applyFont="1" applyFill="1" applyBorder="1" applyAlignment="1">
      <alignment horizontal="center" vertical="center"/>
    </xf>
    <xf numFmtId="0" fontId="193" fillId="43" borderId="3" xfId="128" applyFont="1" applyFill="1" applyBorder="1">
      <alignment vertical="center"/>
    </xf>
    <xf numFmtId="0" fontId="193" fillId="43" borderId="27" xfId="128" applyFont="1" applyFill="1" applyBorder="1" applyAlignment="1">
      <alignment horizontal="center" vertical="center"/>
    </xf>
    <xf numFmtId="0" fontId="193" fillId="43" borderId="27" xfId="136" applyFont="1" applyFill="1" applyBorder="1" applyAlignment="1">
      <alignment horizontal="center" vertical="center"/>
    </xf>
    <xf numFmtId="41" fontId="200" fillId="43" borderId="27" xfId="116" applyFont="1" applyFill="1" applyBorder="1" applyAlignment="1">
      <alignment horizontal="center" vertical="center"/>
    </xf>
    <xf numFmtId="0" fontId="193" fillId="0" borderId="19" xfId="128" applyFont="1" applyBorder="1" applyAlignment="1">
      <alignment horizontal="center" vertical="center"/>
    </xf>
    <xf numFmtId="0" fontId="193" fillId="27" borderId="3" xfId="128" applyFont="1" applyFill="1" applyBorder="1" applyAlignment="1">
      <alignment horizontal="center" vertical="center"/>
    </xf>
    <xf numFmtId="0" fontId="193" fillId="27" borderId="3" xfId="128" applyFont="1" applyFill="1" applyBorder="1">
      <alignment vertical="center"/>
    </xf>
    <xf numFmtId="0" fontId="193" fillId="40" borderId="27" xfId="128" applyFont="1" applyFill="1" applyBorder="1" applyAlignment="1">
      <alignment horizontal="center" vertical="center"/>
    </xf>
    <xf numFmtId="0" fontId="192" fillId="0" borderId="31" xfId="128" applyFont="1" applyBorder="1" applyAlignment="1">
      <alignment horizontal="center" vertical="center"/>
    </xf>
    <xf numFmtId="0" fontId="193" fillId="0" borderId="32" xfId="128" applyFont="1" applyBorder="1" applyAlignment="1">
      <alignment horizontal="center" vertical="center"/>
    </xf>
    <xf numFmtId="0" fontId="193" fillId="0" borderId="31" xfId="136" applyFont="1" applyBorder="1" applyAlignment="1">
      <alignment horizontal="center" vertical="center"/>
    </xf>
    <xf numFmtId="41" fontId="200" fillId="0" borderId="31" xfId="116" applyFont="1" applyBorder="1" applyAlignment="1">
      <alignment horizontal="center" vertical="center"/>
    </xf>
    <xf numFmtId="0" fontId="192" fillId="0" borderId="34" xfId="128" applyFont="1" applyBorder="1" applyAlignment="1">
      <alignment horizontal="center" vertical="center"/>
    </xf>
    <xf numFmtId="0" fontId="193" fillId="0" borderId="35" xfId="128" applyFont="1" applyBorder="1" applyAlignment="1">
      <alignment horizontal="center" vertical="center"/>
    </xf>
    <xf numFmtId="0" fontId="193" fillId="0" borderId="34" xfId="136" applyFont="1" applyBorder="1" applyAlignment="1">
      <alignment horizontal="center" vertical="center"/>
    </xf>
    <xf numFmtId="41" fontId="200" fillId="0" borderId="34" xfId="116" applyFont="1" applyBorder="1" applyAlignment="1">
      <alignment horizontal="center" vertical="center"/>
    </xf>
    <xf numFmtId="0" fontId="193" fillId="0" borderId="34" xfId="128" applyFont="1" applyBorder="1" applyAlignment="1">
      <alignment horizontal="center" vertical="center"/>
    </xf>
    <xf numFmtId="0" fontId="193" fillId="0" borderId="31" xfId="128" applyFont="1" applyBorder="1" applyAlignment="1">
      <alignment horizontal="center" vertical="center"/>
    </xf>
    <xf numFmtId="0" fontId="193" fillId="0" borderId="27" xfId="128" applyFont="1" applyBorder="1">
      <alignment vertical="center"/>
    </xf>
    <xf numFmtId="0" fontId="193" fillId="0" borderId="19" xfId="128" applyFont="1" applyBorder="1">
      <alignment vertical="center"/>
    </xf>
    <xf numFmtId="0" fontId="193" fillId="40" borderId="31" xfId="128" applyFont="1" applyFill="1" applyBorder="1">
      <alignment vertical="center"/>
    </xf>
    <xf numFmtId="41" fontId="200" fillId="40" borderId="31" xfId="116" applyFont="1" applyFill="1" applyBorder="1" applyAlignment="1">
      <alignment horizontal="center" vertical="center"/>
    </xf>
    <xf numFmtId="0" fontId="193" fillId="0" borderId="3" xfId="128" applyFont="1" applyBorder="1">
      <alignment vertical="center"/>
    </xf>
    <xf numFmtId="0" fontId="193" fillId="0" borderId="37" xfId="128" applyFont="1" applyBorder="1" applyAlignment="1">
      <alignment horizontal="center" vertical="center"/>
    </xf>
    <xf numFmtId="0" fontId="193" fillId="0" borderId="37" xfId="128" applyFont="1" applyBorder="1">
      <alignment vertical="center"/>
    </xf>
    <xf numFmtId="41" fontId="200" fillId="0" borderId="52" xfId="116" applyFont="1" applyBorder="1" applyAlignment="1">
      <alignment horizontal="center" vertical="center"/>
    </xf>
    <xf numFmtId="176" fontId="205" fillId="42" borderId="41" xfId="128" applyNumberFormat="1" applyFont="1" applyFill="1" applyBorder="1">
      <alignment vertical="center"/>
    </xf>
    <xf numFmtId="176" fontId="195" fillId="70" borderId="24" xfId="136" applyNumberFormat="1" applyFont="1" applyFill="1" applyBorder="1" applyAlignment="1">
      <alignment vertical="center"/>
    </xf>
    <xf numFmtId="176" fontId="195" fillId="70" borderId="27" xfId="136" applyNumberFormat="1" applyFont="1" applyFill="1" applyBorder="1" applyAlignment="1">
      <alignment vertical="center"/>
    </xf>
    <xf numFmtId="0" fontId="192" fillId="28" borderId="41" xfId="136" applyFont="1" applyFill="1" applyBorder="1" applyAlignment="1">
      <alignment horizontal="center" vertical="center"/>
    </xf>
    <xf numFmtId="0" fontId="192" fillId="28" borderId="36" xfId="136" applyFont="1" applyFill="1" applyBorder="1" applyAlignment="1">
      <alignment horizontal="center" vertical="center"/>
    </xf>
    <xf numFmtId="0" fontId="192" fillId="28" borderId="34" xfId="136" applyFont="1" applyFill="1" applyBorder="1" applyAlignment="1">
      <alignment horizontal="center" vertical="center"/>
    </xf>
    <xf numFmtId="177" fontId="192" fillId="16" borderId="34" xfId="138" applyNumberFormat="1" applyFont="1" applyFill="1" applyBorder="1" applyAlignment="1" applyProtection="1">
      <alignment horizontal="center" vertical="center"/>
      <protection locked="0"/>
    </xf>
    <xf numFmtId="0" fontId="192" fillId="16" borderId="36" xfId="136" applyFont="1" applyFill="1" applyBorder="1" applyAlignment="1">
      <alignment horizontal="center" vertical="center" wrapText="1"/>
    </xf>
    <xf numFmtId="0" fontId="192" fillId="16" borderId="34" xfId="136" applyFont="1" applyFill="1" applyBorder="1" applyAlignment="1">
      <alignment horizontal="center" vertical="center" wrapText="1"/>
    </xf>
    <xf numFmtId="0" fontId="192" fillId="16" borderId="35" xfId="136" applyFont="1" applyFill="1" applyBorder="1" applyAlignment="1">
      <alignment horizontal="center" vertical="center" wrapText="1"/>
    </xf>
    <xf numFmtId="0" fontId="192" fillId="16" borderId="34" xfId="136" applyFont="1" applyFill="1" applyBorder="1" applyAlignment="1">
      <alignment horizontal="center" vertical="center"/>
    </xf>
    <xf numFmtId="0" fontId="192" fillId="16" borderId="55" xfId="136" applyFont="1" applyFill="1" applyBorder="1" applyAlignment="1">
      <alignment horizontal="center" vertical="center"/>
    </xf>
    <xf numFmtId="41" fontId="195" fillId="70" borderId="19" xfId="116" applyFont="1" applyFill="1" applyBorder="1">
      <alignment vertical="center"/>
    </xf>
    <xf numFmtId="41" fontId="195" fillId="41" borderId="42" xfId="116" applyFont="1" applyFill="1" applyBorder="1">
      <alignment vertical="center"/>
    </xf>
    <xf numFmtId="41" fontId="195" fillId="41" borderId="43" xfId="116" applyFont="1" applyFill="1" applyBorder="1">
      <alignment vertical="center"/>
    </xf>
    <xf numFmtId="41" fontId="195" fillId="41" borderId="63" xfId="116" applyFont="1" applyFill="1" applyBorder="1">
      <alignment vertical="center"/>
    </xf>
    <xf numFmtId="41" fontId="192" fillId="0" borderId="0" xfId="128" applyNumberFormat="1" applyFont="1">
      <alignment vertical="center"/>
    </xf>
    <xf numFmtId="0" fontId="193" fillId="40" borderId="14" xfId="136" applyFont="1" applyFill="1" applyBorder="1" applyAlignment="1">
      <alignment horizontal="center" vertical="center"/>
    </xf>
    <xf numFmtId="0" fontId="193" fillId="69" borderId="51" xfId="136" applyFont="1" applyFill="1" applyBorder="1" applyAlignment="1">
      <alignment horizontal="center" vertical="center"/>
    </xf>
    <xf numFmtId="0" fontId="193" fillId="69" borderId="52" xfId="136" applyFont="1" applyFill="1" applyBorder="1" applyAlignment="1">
      <alignment horizontal="center" vertical="center"/>
    </xf>
    <xf numFmtId="0" fontId="193" fillId="72" borderId="51" xfId="136" applyFont="1" applyFill="1" applyBorder="1" applyAlignment="1">
      <alignment horizontal="center" vertical="center"/>
    </xf>
    <xf numFmtId="0" fontId="193" fillId="72" borderId="52" xfId="136" applyFont="1" applyFill="1" applyBorder="1" applyAlignment="1">
      <alignment horizontal="center" vertical="center"/>
    </xf>
    <xf numFmtId="0" fontId="193" fillId="43" borderId="51" xfId="136" applyFont="1" applyFill="1" applyBorder="1" applyAlignment="1">
      <alignment horizontal="center" vertical="center"/>
    </xf>
    <xf numFmtId="0" fontId="193" fillId="43" borderId="52" xfId="136" applyFont="1" applyFill="1" applyBorder="1" applyAlignment="1">
      <alignment horizontal="center" vertical="center"/>
    </xf>
    <xf numFmtId="0" fontId="206" fillId="0" borderId="0" xfId="128" applyFont="1">
      <alignment vertical="center"/>
    </xf>
    <xf numFmtId="41" fontId="195" fillId="41" borderId="44" xfId="116" applyFont="1" applyFill="1" applyBorder="1">
      <alignment vertical="center"/>
    </xf>
    <xf numFmtId="41" fontId="195" fillId="41" borderId="53" xfId="116" applyFont="1" applyFill="1" applyBorder="1">
      <alignment vertical="center"/>
    </xf>
    <xf numFmtId="41" fontId="195" fillId="41" borderId="50" xfId="116" applyFont="1" applyFill="1" applyBorder="1">
      <alignment vertical="center"/>
    </xf>
    <xf numFmtId="0" fontId="193" fillId="27" borderId="0" xfId="136" applyFont="1" applyFill="1" applyAlignment="1">
      <alignment horizontal="center" vertical="center"/>
    </xf>
    <xf numFmtId="0" fontId="193" fillId="27" borderId="37" xfId="136" applyFont="1" applyFill="1" applyBorder="1" applyAlignment="1">
      <alignment horizontal="center" vertical="center"/>
    </xf>
    <xf numFmtId="0" fontId="193" fillId="27" borderId="24" xfId="136" applyFont="1" applyFill="1" applyBorder="1" applyAlignment="1">
      <alignment horizontal="center" vertical="center"/>
    </xf>
    <xf numFmtId="0" fontId="193" fillId="27" borderId="25" xfId="136" applyFont="1" applyFill="1" applyBorder="1" applyAlignment="1" applyProtection="1">
      <alignment vertical="center"/>
      <protection locked="0"/>
    </xf>
    <xf numFmtId="0" fontId="193" fillId="27" borderId="24" xfId="136" applyFont="1" applyFill="1" applyBorder="1" applyAlignment="1" applyProtection="1">
      <alignment vertical="center"/>
      <protection locked="0"/>
    </xf>
    <xf numFmtId="0" fontId="193" fillId="43" borderId="37" xfId="136" applyFont="1" applyFill="1" applyBorder="1" applyAlignment="1">
      <alignment horizontal="center" vertical="center"/>
    </xf>
    <xf numFmtId="0" fontId="192" fillId="0" borderId="0" xfId="136" applyFont="1" applyAlignment="1">
      <alignment horizontal="center" vertical="center"/>
    </xf>
    <xf numFmtId="176" fontId="205" fillId="35" borderId="4" xfId="136" applyNumberFormat="1" applyFont="1" applyFill="1" applyBorder="1" applyAlignment="1">
      <alignment vertical="center"/>
    </xf>
    <xf numFmtId="176" fontId="205" fillId="35" borderId="53" xfId="136" applyNumberFormat="1" applyFont="1" applyFill="1" applyBorder="1" applyAlignment="1">
      <alignment vertical="center"/>
    </xf>
    <xf numFmtId="41" fontId="195" fillId="70" borderId="3" xfId="116" applyFont="1" applyFill="1" applyBorder="1">
      <alignment vertical="center"/>
    </xf>
    <xf numFmtId="41" fontId="195" fillId="70" borderId="27" xfId="116" applyFont="1" applyFill="1" applyBorder="1">
      <alignment vertical="center"/>
    </xf>
    <xf numFmtId="41" fontId="195" fillId="41" borderId="64" xfId="116" applyFont="1" applyFill="1" applyBorder="1">
      <alignment vertical="center"/>
    </xf>
    <xf numFmtId="0" fontId="193" fillId="0" borderId="37" xfId="136" applyFont="1" applyBorder="1" applyAlignment="1">
      <alignment horizontal="center" vertical="center"/>
    </xf>
    <xf numFmtId="0" fontId="193" fillId="89" borderId="52" xfId="136" applyFont="1" applyFill="1" applyBorder="1" applyAlignment="1">
      <alignment horizontal="center" vertical="center"/>
    </xf>
    <xf numFmtId="0" fontId="205" fillId="0" borderId="0" xfId="136" applyFont="1" applyAlignment="1">
      <alignment horizontal="center" vertical="center"/>
    </xf>
    <xf numFmtId="176" fontId="205" fillId="0" borderId="0" xfId="136" applyNumberFormat="1" applyFont="1" applyAlignment="1">
      <alignment vertical="center"/>
    </xf>
    <xf numFmtId="178" fontId="192" fillId="0" borderId="0" xfId="136" applyNumberFormat="1" applyFont="1" applyAlignment="1">
      <alignment vertical="center"/>
    </xf>
    <xf numFmtId="178" fontId="192" fillId="0" borderId="0" xfId="128" applyNumberFormat="1" applyFont="1">
      <alignment vertical="center"/>
    </xf>
    <xf numFmtId="0" fontId="192" fillId="16" borderId="35" xfId="136" applyFont="1" applyFill="1" applyBorder="1" applyAlignment="1">
      <alignment horizontal="center" vertical="center"/>
    </xf>
    <xf numFmtId="178" fontId="192" fillId="16" borderId="55" xfId="136" applyNumberFormat="1" applyFont="1" applyFill="1" applyBorder="1" applyAlignment="1">
      <alignment horizontal="center" vertical="center"/>
    </xf>
    <xf numFmtId="176" fontId="195" fillId="36" borderId="68" xfId="136" applyNumberFormat="1" applyFont="1" applyFill="1" applyBorder="1" applyAlignment="1">
      <alignment vertical="center"/>
    </xf>
    <xf numFmtId="178" fontId="195" fillId="41" borderId="70" xfId="136" applyNumberFormat="1" applyFont="1" applyFill="1" applyBorder="1" applyAlignment="1">
      <alignment vertical="center"/>
    </xf>
    <xf numFmtId="176" fontId="195" fillId="36" borderId="16" xfId="136" applyNumberFormat="1" applyFont="1" applyFill="1" applyBorder="1" applyAlignment="1">
      <alignment vertical="center"/>
    </xf>
    <xf numFmtId="178" fontId="195" fillId="41" borderId="43" xfId="136" applyNumberFormat="1" applyFont="1" applyFill="1" applyBorder="1" applyAlignment="1">
      <alignment vertical="center"/>
    </xf>
    <xf numFmtId="0" fontId="193" fillId="43" borderId="24" xfId="136" applyFont="1" applyFill="1" applyBorder="1" applyAlignment="1">
      <alignment horizontal="center" vertical="center"/>
    </xf>
    <xf numFmtId="41" fontId="200" fillId="43" borderId="24" xfId="116" applyFont="1" applyFill="1" applyBorder="1" applyAlignment="1">
      <alignment horizontal="center" vertical="center"/>
    </xf>
    <xf numFmtId="0" fontId="193" fillId="43" borderId="25" xfId="136" applyFont="1" applyFill="1" applyBorder="1" applyAlignment="1" applyProtection="1">
      <alignment vertical="center"/>
      <protection locked="0"/>
    </xf>
    <xf numFmtId="0" fontId="193" fillId="43" borderId="24" xfId="136" applyFont="1" applyFill="1" applyBorder="1" applyAlignment="1" applyProtection="1">
      <alignment vertical="center"/>
      <protection locked="0"/>
    </xf>
    <xf numFmtId="176" fontId="195" fillId="36" borderId="32" xfId="136" applyNumberFormat="1" applyFont="1" applyFill="1" applyBorder="1" applyAlignment="1">
      <alignment vertical="center"/>
    </xf>
    <xf numFmtId="178" fontId="195" fillId="41" borderId="53" xfId="136" applyNumberFormat="1" applyFont="1" applyFill="1" applyBorder="1" applyAlignment="1">
      <alignment vertical="center"/>
    </xf>
    <xf numFmtId="176" fontId="195" fillId="36" borderId="39" xfId="136" applyNumberFormat="1" applyFont="1" applyFill="1" applyBorder="1" applyAlignment="1">
      <alignment vertical="center"/>
    </xf>
    <xf numFmtId="178" fontId="195" fillId="41" borderId="50" xfId="136" applyNumberFormat="1" applyFont="1" applyFill="1" applyBorder="1" applyAlignment="1">
      <alignment vertical="center"/>
    </xf>
    <xf numFmtId="0" fontId="193" fillId="40" borderId="52" xfId="136" applyFont="1" applyFill="1" applyBorder="1" applyAlignment="1">
      <alignment horizontal="center" vertical="center"/>
    </xf>
    <xf numFmtId="41" fontId="200" fillId="40" borderId="52" xfId="116" applyFont="1" applyFill="1" applyBorder="1" applyAlignment="1">
      <alignment horizontal="center" vertical="center"/>
    </xf>
    <xf numFmtId="0" fontId="193" fillId="40" borderId="51" xfId="136" applyFont="1" applyFill="1" applyBorder="1" applyAlignment="1" applyProtection="1">
      <alignment vertical="center"/>
      <protection locked="0"/>
    </xf>
    <xf numFmtId="0" fontId="193" fillId="40" borderId="52" xfId="136" applyFont="1" applyFill="1" applyBorder="1" applyAlignment="1" applyProtection="1">
      <alignment vertical="center"/>
      <protection locked="0"/>
    </xf>
    <xf numFmtId="178" fontId="205" fillId="42" borderId="49" xfId="128" applyNumberFormat="1" applyFont="1" applyFill="1" applyBorder="1">
      <alignment vertical="center"/>
    </xf>
    <xf numFmtId="41" fontId="192" fillId="38" borderId="25" xfId="111" applyFont="1" applyFill="1" applyBorder="1">
      <alignment vertical="center"/>
    </xf>
    <xf numFmtId="177" fontId="192" fillId="16" borderId="23" xfId="138" applyNumberFormat="1" applyFont="1" applyFill="1" applyBorder="1" applyAlignment="1" applyProtection="1">
      <alignment horizontal="center" vertical="center"/>
      <protection locked="0"/>
    </xf>
    <xf numFmtId="0" fontId="192" fillId="16" borderId="23" xfId="136" applyFont="1" applyFill="1" applyBorder="1" applyAlignment="1">
      <alignment horizontal="center" vertical="center" wrapText="1"/>
    </xf>
    <xf numFmtId="0" fontId="192" fillId="16" borderId="68" xfId="136" applyFont="1" applyFill="1" applyBorder="1" applyAlignment="1">
      <alignment horizontal="center" vertical="center" wrapText="1"/>
    </xf>
    <xf numFmtId="0" fontId="192" fillId="16" borderId="68" xfId="136" applyFont="1" applyFill="1" applyBorder="1" applyAlignment="1">
      <alignment horizontal="center" vertical="center"/>
    </xf>
    <xf numFmtId="0" fontId="192" fillId="16" borderId="70" xfId="136" applyFont="1" applyFill="1" applyBorder="1" applyAlignment="1">
      <alignment horizontal="center" vertical="center"/>
    </xf>
    <xf numFmtId="41" fontId="200" fillId="0" borderId="19" xfId="116" applyFont="1" applyBorder="1">
      <alignment vertical="center"/>
    </xf>
    <xf numFmtId="176" fontId="195" fillId="71" borderId="68" xfId="136" applyNumberFormat="1" applyFont="1" applyFill="1" applyBorder="1" applyAlignment="1">
      <alignment vertical="center"/>
    </xf>
    <xf numFmtId="176" fontId="195" fillId="31" borderId="70" xfId="136" applyNumberFormat="1" applyFont="1" applyFill="1" applyBorder="1" applyAlignment="1">
      <alignment vertical="center"/>
    </xf>
    <xf numFmtId="41" fontId="200" fillId="27" borderId="3" xfId="116" applyFont="1" applyFill="1" applyBorder="1">
      <alignment vertical="center"/>
    </xf>
    <xf numFmtId="176" fontId="195" fillId="71" borderId="16" xfId="136" applyNumberFormat="1" applyFont="1" applyFill="1" applyBorder="1" applyAlignment="1">
      <alignment vertical="center"/>
    </xf>
    <xf numFmtId="176" fontId="195" fillId="31" borderId="43" xfId="136" applyNumberFormat="1" applyFont="1" applyFill="1" applyBorder="1" applyAlignment="1">
      <alignment vertical="center"/>
    </xf>
    <xf numFmtId="41" fontId="200" fillId="43" borderId="3" xfId="116" applyFont="1" applyFill="1" applyBorder="1">
      <alignment vertical="center"/>
    </xf>
    <xf numFmtId="41" fontId="200" fillId="40" borderId="27" xfId="116" applyFont="1" applyFill="1" applyBorder="1">
      <alignment vertical="center"/>
    </xf>
    <xf numFmtId="176" fontId="195" fillId="31" borderId="53" xfId="136" applyNumberFormat="1" applyFont="1" applyFill="1" applyBorder="1" applyAlignment="1">
      <alignment vertical="center"/>
    </xf>
    <xf numFmtId="41" fontId="200" fillId="0" borderId="24" xfId="116" applyFont="1" applyBorder="1">
      <alignment vertical="center"/>
    </xf>
    <xf numFmtId="176" fontId="195" fillId="31" borderId="50" xfId="136" applyNumberFormat="1" applyFont="1" applyFill="1" applyBorder="1" applyAlignment="1">
      <alignment vertical="center"/>
    </xf>
    <xf numFmtId="41" fontId="200" fillId="43" borderId="24" xfId="116" applyFont="1" applyFill="1" applyBorder="1">
      <alignment vertical="center"/>
    </xf>
    <xf numFmtId="176" fontId="195" fillId="31" borderId="44" xfId="136" applyNumberFormat="1" applyFont="1" applyFill="1" applyBorder="1" applyAlignment="1">
      <alignment vertical="center"/>
    </xf>
    <xf numFmtId="41" fontId="200" fillId="40" borderId="3" xfId="116" applyFont="1" applyFill="1" applyBorder="1">
      <alignment vertical="center"/>
    </xf>
    <xf numFmtId="176" fontId="201" fillId="17" borderId="0" xfId="128" applyNumberFormat="1" applyFont="1" applyFill="1">
      <alignment vertical="center"/>
    </xf>
    <xf numFmtId="0" fontId="193" fillId="37" borderId="24" xfId="136" applyFont="1" applyFill="1" applyBorder="1" applyAlignment="1">
      <alignment horizontal="center" vertical="center"/>
    </xf>
    <xf numFmtId="41" fontId="200" fillId="37" borderId="24" xfId="116" applyFont="1" applyFill="1" applyBorder="1">
      <alignment vertical="center"/>
    </xf>
    <xf numFmtId="0" fontId="193" fillId="37" borderId="25" xfId="136" applyFont="1" applyFill="1" applyBorder="1" applyAlignment="1" applyProtection="1">
      <alignment vertical="center"/>
      <protection locked="0"/>
    </xf>
    <xf numFmtId="0" fontId="193" fillId="37" borderId="24" xfId="136" applyFont="1" applyFill="1" applyBorder="1" applyAlignment="1" applyProtection="1">
      <alignment vertical="center"/>
      <protection locked="0"/>
    </xf>
    <xf numFmtId="176" fontId="195" fillId="31" borderId="64" xfId="136" applyNumberFormat="1" applyFont="1" applyFill="1" applyBorder="1" applyAlignment="1">
      <alignment vertical="center"/>
    </xf>
    <xf numFmtId="0" fontId="193" fillId="37" borderId="27" xfId="136" applyFont="1" applyFill="1" applyBorder="1" applyAlignment="1">
      <alignment horizontal="center" vertical="center"/>
    </xf>
    <xf numFmtId="41" fontId="200" fillId="37" borderId="27" xfId="116" applyFont="1" applyFill="1" applyBorder="1">
      <alignment vertical="center"/>
    </xf>
    <xf numFmtId="0" fontId="193" fillId="37" borderId="29" xfId="136" applyFont="1" applyFill="1" applyBorder="1" applyAlignment="1" applyProtection="1">
      <alignment vertical="center"/>
      <protection locked="0"/>
    </xf>
    <xf numFmtId="0" fontId="193" fillId="37" borderId="27" xfId="136" applyFont="1" applyFill="1" applyBorder="1" applyAlignment="1" applyProtection="1">
      <alignment vertical="center"/>
      <protection locked="0"/>
    </xf>
    <xf numFmtId="0" fontId="208" fillId="17" borderId="0" xfId="128" applyFont="1" applyFill="1">
      <alignment vertical="center"/>
    </xf>
    <xf numFmtId="176" fontId="195" fillId="71" borderId="26" xfId="136" applyNumberFormat="1" applyFont="1" applyFill="1" applyBorder="1" applyAlignment="1">
      <alignment vertical="center"/>
    </xf>
    <xf numFmtId="176" fontId="195" fillId="71" borderId="30" xfId="136" applyNumberFormat="1" applyFont="1" applyFill="1" applyBorder="1" applyAlignment="1">
      <alignment vertical="center"/>
    </xf>
    <xf numFmtId="176" fontId="198" fillId="17" borderId="0" xfId="136" applyNumberFormat="1" applyFont="1" applyFill="1" applyAlignment="1">
      <alignment vertical="center"/>
    </xf>
    <xf numFmtId="0" fontId="192" fillId="17" borderId="0" xfId="136" applyFont="1" applyFill="1" applyAlignment="1">
      <alignment vertical="center"/>
    </xf>
    <xf numFmtId="0" fontId="176" fillId="91" borderId="36" xfId="136" applyFont="1" applyFill="1" applyBorder="1" applyAlignment="1">
      <alignment horizontal="center" vertical="center" wrapText="1"/>
    </xf>
    <xf numFmtId="0" fontId="193" fillId="29" borderId="24" xfId="136" applyFont="1" applyFill="1" applyBorder="1" applyAlignment="1">
      <alignment horizontal="center" vertical="center"/>
    </xf>
    <xf numFmtId="176" fontId="195" fillId="33" borderId="43" xfId="136" applyNumberFormat="1" applyFont="1" applyFill="1" applyBorder="1" applyAlignment="1">
      <alignment vertical="center"/>
    </xf>
    <xf numFmtId="0" fontId="208" fillId="16" borderId="20" xfId="128" applyFont="1" applyFill="1" applyBorder="1" applyAlignment="1">
      <alignment horizontal="center" vertical="center"/>
    </xf>
    <xf numFmtId="176" fontId="208" fillId="0" borderId="42" xfId="128" applyNumberFormat="1" applyFont="1" applyBorder="1">
      <alignment vertical="center"/>
    </xf>
    <xf numFmtId="0" fontId="208" fillId="16" borderId="15" xfId="128" applyFont="1" applyFill="1" applyBorder="1" applyAlignment="1">
      <alignment horizontal="center" vertical="center"/>
    </xf>
    <xf numFmtId="176" fontId="208" fillId="0" borderId="43" xfId="128" applyNumberFormat="1" applyFont="1" applyBorder="1">
      <alignment vertical="center"/>
    </xf>
    <xf numFmtId="0" fontId="193" fillId="34" borderId="24" xfId="136" applyFont="1" applyFill="1" applyBorder="1" applyAlignment="1">
      <alignment horizontal="center" vertical="center"/>
    </xf>
    <xf numFmtId="0" fontId="203" fillId="16" borderId="28" xfId="128" applyFont="1" applyFill="1" applyBorder="1" applyAlignment="1">
      <alignment horizontal="center" vertical="center"/>
    </xf>
    <xf numFmtId="176" fontId="208" fillId="0" borderId="44" xfId="128" applyNumberFormat="1" applyFont="1" applyBorder="1">
      <alignment vertical="center"/>
    </xf>
    <xf numFmtId="0" fontId="200" fillId="17" borderId="3" xfId="136" applyFont="1" applyFill="1" applyBorder="1" applyAlignment="1">
      <alignment horizontal="center" vertical="center"/>
    </xf>
    <xf numFmtId="0" fontId="208" fillId="0" borderId="0" xfId="128" applyFont="1">
      <alignment vertical="center"/>
    </xf>
    <xf numFmtId="0" fontId="200" fillId="0" borderId="3" xfId="136" applyFont="1" applyBorder="1" applyAlignment="1">
      <alignment horizontal="center" vertical="center"/>
    </xf>
    <xf numFmtId="0" fontId="200" fillId="0" borderId="24" xfId="136" applyFont="1" applyBorder="1" applyAlignment="1">
      <alignment horizontal="center" vertical="center"/>
    </xf>
    <xf numFmtId="0" fontId="200" fillId="30" borderId="24" xfId="136" applyFont="1" applyFill="1" applyBorder="1" applyAlignment="1">
      <alignment horizontal="center" vertical="center"/>
    </xf>
    <xf numFmtId="176" fontId="195" fillId="33" borderId="63" xfId="136" applyNumberFormat="1" applyFont="1" applyFill="1" applyBorder="1" applyAlignment="1">
      <alignment vertical="center"/>
    </xf>
    <xf numFmtId="0" fontId="193" fillId="44" borderId="24" xfId="136" applyFont="1" applyFill="1" applyBorder="1" applyAlignment="1">
      <alignment horizontal="center" vertical="center"/>
    </xf>
    <xf numFmtId="176" fontId="201" fillId="38" borderId="75" xfId="128" applyNumberFormat="1" applyFont="1" applyFill="1" applyBorder="1">
      <alignment vertical="center"/>
    </xf>
    <xf numFmtId="176" fontId="192" fillId="0" borderId="87" xfId="128" applyNumberFormat="1" applyFont="1" applyBorder="1">
      <alignment vertical="center"/>
    </xf>
    <xf numFmtId="176" fontId="195" fillId="33" borderId="44" xfId="136" applyNumberFormat="1" applyFont="1" applyFill="1" applyBorder="1" applyAlignment="1">
      <alignment vertical="center"/>
    </xf>
    <xf numFmtId="0" fontId="208" fillId="0" borderId="24" xfId="136" applyFont="1" applyBorder="1" applyAlignment="1">
      <alignment horizontal="center" vertical="center"/>
    </xf>
    <xf numFmtId="176" fontId="192" fillId="17" borderId="0" xfId="128" applyNumberFormat="1" applyFont="1" applyFill="1">
      <alignment vertical="center"/>
    </xf>
    <xf numFmtId="0" fontId="192" fillId="0" borderId="17" xfId="128" applyFont="1" applyBorder="1" applyAlignment="1">
      <alignment horizontal="center" vertical="center"/>
    </xf>
    <xf numFmtId="178" fontId="208" fillId="0" borderId="0" xfId="128" applyNumberFormat="1" applyFont="1">
      <alignment vertical="center"/>
    </xf>
    <xf numFmtId="0" fontId="193" fillId="0" borderId="52" xfId="136" applyFont="1" applyBorder="1" applyAlignment="1">
      <alignment horizontal="center" vertical="center"/>
    </xf>
    <xf numFmtId="176" fontId="204" fillId="42" borderId="55" xfId="128" applyNumberFormat="1" applyFont="1" applyFill="1" applyBorder="1">
      <alignment vertical="center"/>
    </xf>
    <xf numFmtId="0" fontId="211" fillId="0" borderId="0" xfId="128" applyFont="1" applyAlignment="1">
      <alignment horizontal="center" vertical="center"/>
    </xf>
    <xf numFmtId="41" fontId="201" fillId="0" borderId="0" xfId="116" applyFont="1">
      <alignment vertical="center"/>
    </xf>
    <xf numFmtId="41" fontId="193" fillId="0" borderId="19" xfId="116" applyFont="1" applyBorder="1" applyAlignment="1">
      <alignment horizontal="center" vertical="center"/>
    </xf>
    <xf numFmtId="41" fontId="193" fillId="0" borderId="24" xfId="116" applyFont="1" applyBorder="1">
      <alignment vertical="center"/>
    </xf>
    <xf numFmtId="41" fontId="193" fillId="0" borderId="3" xfId="116" applyFont="1" applyBorder="1" applyAlignment="1">
      <alignment horizontal="center" vertical="center"/>
    </xf>
    <xf numFmtId="41" fontId="193" fillId="0" borderId="3" xfId="116" applyFont="1" applyBorder="1">
      <alignment vertical="center"/>
    </xf>
    <xf numFmtId="41" fontId="193" fillId="0" borderId="27" xfId="116" applyFont="1" applyBorder="1">
      <alignment vertical="center"/>
    </xf>
    <xf numFmtId="41" fontId="193" fillId="0" borderId="24" xfId="116" applyFont="1" applyBorder="1" applyAlignment="1">
      <alignment horizontal="center" vertical="center"/>
    </xf>
    <xf numFmtId="41" fontId="193" fillId="0" borderId="19" xfId="116" applyFont="1" applyBorder="1">
      <alignment vertical="center"/>
    </xf>
    <xf numFmtId="0" fontId="208" fillId="0" borderId="0" xfId="128" applyFont="1" applyAlignment="1">
      <alignment horizontal="center" vertical="center"/>
    </xf>
    <xf numFmtId="41" fontId="193" fillId="0" borderId="37" xfId="116" applyFont="1" applyBorder="1">
      <alignment vertical="center"/>
    </xf>
    <xf numFmtId="41" fontId="193" fillId="0" borderId="31" xfId="116" applyFont="1" applyBorder="1">
      <alignment vertical="center"/>
    </xf>
    <xf numFmtId="0" fontId="193" fillId="0" borderId="0" xfId="128" applyFont="1">
      <alignment vertical="center"/>
    </xf>
    <xf numFmtId="41" fontId="193" fillId="0" borderId="26" xfId="116" applyFont="1" applyBorder="1" applyAlignment="1">
      <alignment horizontal="center" vertical="center"/>
    </xf>
    <xf numFmtId="41" fontId="193" fillId="0" borderId="52" xfId="116" applyFont="1" applyBorder="1">
      <alignment vertical="center"/>
    </xf>
    <xf numFmtId="0" fontId="214" fillId="0" borderId="0" xfId="128" applyFont="1">
      <alignment vertical="center"/>
    </xf>
    <xf numFmtId="0" fontId="213" fillId="0" borderId="0" xfId="128" applyFont="1">
      <alignment vertical="center"/>
    </xf>
    <xf numFmtId="0" fontId="214" fillId="0" borderId="0" xfId="128" applyFont="1" applyAlignment="1">
      <alignment horizontal="center" vertical="center"/>
    </xf>
    <xf numFmtId="41" fontId="214" fillId="0" borderId="0" xfId="116" applyFont="1">
      <alignment vertical="center"/>
    </xf>
    <xf numFmtId="180" fontId="218" fillId="0" borderId="0" xfId="128" applyNumberFormat="1" applyFont="1">
      <alignment vertical="center"/>
    </xf>
    <xf numFmtId="0" fontId="208" fillId="0" borderId="3" xfId="128" applyFont="1" applyBorder="1" applyAlignment="1">
      <alignment horizontal="center" vertical="center"/>
    </xf>
    <xf numFmtId="0" fontId="220" fillId="0" borderId="0" xfId="140" applyFont="1"/>
    <xf numFmtId="0" fontId="215" fillId="36" borderId="41" xfId="140" applyFont="1" applyFill="1" applyBorder="1" applyAlignment="1">
      <alignment horizontal="center" vertical="center"/>
    </xf>
    <xf numFmtId="0" fontId="215" fillId="36" borderId="34" xfId="140" applyFont="1" applyFill="1" applyBorder="1" applyAlignment="1">
      <alignment horizontal="center" vertical="center"/>
    </xf>
    <xf numFmtId="0" fontId="216" fillId="0" borderId="0" xfId="140" applyFont="1"/>
    <xf numFmtId="0" fontId="222" fillId="0" borderId="19" xfId="140" applyFont="1" applyBorder="1" applyAlignment="1">
      <alignment horizontal="center" vertical="center"/>
    </xf>
    <xf numFmtId="0" fontId="222" fillId="0" borderId="19" xfId="140" applyFont="1" applyBorder="1" applyAlignment="1">
      <alignment horizontal="left" vertical="center"/>
    </xf>
    <xf numFmtId="181" fontId="222" fillId="0" borderId="19" xfId="122" applyNumberFormat="1" applyFont="1" applyBorder="1" applyAlignment="1">
      <alignment horizontal="center" vertical="center"/>
    </xf>
    <xf numFmtId="0" fontId="222" fillId="0" borderId="3" xfId="140" applyFont="1" applyBorder="1" applyAlignment="1">
      <alignment horizontal="left" vertical="center"/>
    </xf>
    <xf numFmtId="181" fontId="222" fillId="0" borderId="3" xfId="122" applyNumberFormat="1" applyFont="1" applyBorder="1" applyAlignment="1">
      <alignment horizontal="center" vertical="center"/>
    </xf>
    <xf numFmtId="0" fontId="220" fillId="0" borderId="0" xfId="140" applyFont="1" applyAlignment="1">
      <alignment vertical="center"/>
    </xf>
    <xf numFmtId="0" fontId="222" fillId="0" borderId="3" xfId="140" applyFont="1" applyBorder="1" applyAlignment="1">
      <alignment horizontal="center" vertical="center"/>
    </xf>
    <xf numFmtId="0" fontId="222" fillId="0" borderId="27" xfId="140" applyFont="1" applyBorder="1" applyAlignment="1">
      <alignment horizontal="center" vertical="center"/>
    </xf>
    <xf numFmtId="0" fontId="222" fillId="0" borderId="27" xfId="140" applyFont="1" applyBorder="1" applyAlignment="1">
      <alignment horizontal="left" vertical="center"/>
    </xf>
    <xf numFmtId="181" fontId="222" fillId="0" borderId="27" xfId="122" applyNumberFormat="1" applyFont="1" applyBorder="1" applyAlignment="1">
      <alignment horizontal="center" vertical="center"/>
    </xf>
    <xf numFmtId="0" fontId="222" fillId="0" borderId="23" xfId="140" applyFont="1" applyBorder="1" applyAlignment="1">
      <alignment horizontal="center" vertical="center"/>
    </xf>
    <xf numFmtId="41" fontId="220" fillId="0" borderId="0" xfId="140" applyNumberFormat="1" applyFont="1" applyAlignment="1">
      <alignment vertical="center"/>
    </xf>
    <xf numFmtId="0" fontId="222" fillId="0" borderId="52" xfId="140" applyFont="1" applyBorder="1" applyAlignment="1">
      <alignment horizontal="center" vertical="center"/>
    </xf>
    <xf numFmtId="0" fontId="222" fillId="0" borderId="52" xfId="140" applyFont="1" applyBorder="1" applyAlignment="1">
      <alignment horizontal="left" vertical="center"/>
    </xf>
    <xf numFmtId="41" fontId="220" fillId="0" borderId="0" xfId="140" applyNumberFormat="1" applyFont="1"/>
    <xf numFmtId="0" fontId="222" fillId="0" borderId="24" xfId="140" applyFont="1" applyBorder="1" applyAlignment="1">
      <alignment horizontal="center" vertical="center"/>
    </xf>
    <xf numFmtId="0" fontId="222" fillId="0" borderId="24" xfId="140" applyFont="1" applyBorder="1" applyAlignment="1">
      <alignment horizontal="left" vertical="center"/>
    </xf>
    <xf numFmtId="0" fontId="222" fillId="0" borderId="34" xfId="140" applyFont="1" applyBorder="1" applyAlignment="1">
      <alignment horizontal="center" vertical="center"/>
    </xf>
    <xf numFmtId="181" fontId="222" fillId="0" borderId="34" xfId="122" applyNumberFormat="1" applyFont="1" applyBorder="1" applyAlignment="1">
      <alignment horizontal="center" vertical="center"/>
    </xf>
    <xf numFmtId="0" fontId="222" fillId="0" borderId="19" xfId="140" applyFont="1" applyBorder="1" applyAlignment="1">
      <alignment vertical="center"/>
    </xf>
    <xf numFmtId="0" fontId="222" fillId="0" borderId="3" xfId="140" applyFont="1" applyBorder="1" applyAlignment="1">
      <alignment vertical="center"/>
    </xf>
    <xf numFmtId="0" fontId="203" fillId="0" borderId="3" xfId="140" applyFont="1" applyBorder="1" applyAlignment="1">
      <alignment horizontal="center" vertical="center"/>
    </xf>
    <xf numFmtId="41" fontId="205" fillId="0" borderId="0" xfId="140" applyNumberFormat="1" applyFont="1"/>
    <xf numFmtId="41" fontId="224" fillId="0" borderId="0" xfId="140" applyNumberFormat="1" applyFont="1"/>
    <xf numFmtId="0" fontId="222" fillId="69" borderId="3" xfId="140" applyFont="1" applyFill="1" applyBorder="1" applyAlignment="1">
      <alignment horizontal="left" vertical="center"/>
    </xf>
    <xf numFmtId="0" fontId="222" fillId="69" borderId="3" xfId="140" applyFont="1" applyFill="1" applyBorder="1" applyAlignment="1">
      <alignment horizontal="center" vertical="center"/>
    </xf>
    <xf numFmtId="0" fontId="222" fillId="69" borderId="37" xfId="140" applyFont="1" applyFill="1" applyBorder="1" applyAlignment="1">
      <alignment horizontal="left" vertical="center"/>
    </xf>
    <xf numFmtId="0" fontId="222" fillId="69" borderId="19" xfId="140" applyFont="1" applyFill="1" applyBorder="1" applyAlignment="1">
      <alignment horizontal="center" vertical="center"/>
    </xf>
    <xf numFmtId="0" fontId="222" fillId="69" borderId="19" xfId="140" applyFont="1" applyFill="1" applyBorder="1" applyAlignment="1">
      <alignment horizontal="left" vertical="center"/>
    </xf>
    <xf numFmtId="0" fontId="222" fillId="69" borderId="37" xfId="140" applyFont="1" applyFill="1" applyBorder="1" applyAlignment="1">
      <alignment horizontal="center" vertical="center"/>
    </xf>
    <xf numFmtId="0" fontId="222" fillId="69" borderId="27" xfId="140" applyFont="1" applyFill="1" applyBorder="1" applyAlignment="1">
      <alignment horizontal="center" vertical="center"/>
    </xf>
    <xf numFmtId="0" fontId="222" fillId="69" borderId="27" xfId="140" applyFont="1" applyFill="1" applyBorder="1" applyAlignment="1">
      <alignment horizontal="left" vertical="center"/>
    </xf>
    <xf numFmtId="0" fontId="222" fillId="0" borderId="31" xfId="140" applyFont="1" applyBorder="1" applyAlignment="1">
      <alignment horizontal="center" vertical="center"/>
    </xf>
    <xf numFmtId="0" fontId="195" fillId="0" borderId="3" xfId="135" applyFont="1" applyBorder="1">
      <alignment vertical="center"/>
    </xf>
    <xf numFmtId="0" fontId="203" fillId="0" borderId="3" xfId="135" applyFont="1" applyBorder="1" applyAlignment="1">
      <alignment horizontal="center" vertical="center"/>
    </xf>
    <xf numFmtId="182" fontId="203" fillId="0" borderId="3" xfId="129" applyNumberFormat="1" applyFont="1" applyBorder="1" applyAlignment="1">
      <alignment horizontal="center" vertical="center"/>
    </xf>
    <xf numFmtId="0" fontId="203" fillId="0" borderId="3" xfId="128" applyFont="1" applyBorder="1" applyAlignment="1">
      <alignment horizontal="center" vertical="center"/>
    </xf>
    <xf numFmtId="182" fontId="203" fillId="0" borderId="3" xfId="128" applyNumberFormat="1" applyFont="1" applyBorder="1" applyAlignment="1">
      <alignment horizontal="center" vertical="center"/>
    </xf>
    <xf numFmtId="0" fontId="224" fillId="0" borderId="0" xfId="140" applyFont="1"/>
    <xf numFmtId="0" fontId="220" fillId="0" borderId="0" xfId="140" applyFont="1" applyAlignment="1">
      <alignment horizontal="center" vertical="center"/>
    </xf>
    <xf numFmtId="0" fontId="209" fillId="0" borderId="0" xfId="140" applyFont="1"/>
    <xf numFmtId="41" fontId="224" fillId="0" borderId="0" xfId="117" applyFont="1" applyAlignment="1"/>
    <xf numFmtId="0" fontId="215" fillId="36" borderId="34" xfId="140" quotePrefix="1" applyFont="1" applyFill="1" applyBorder="1" applyAlignment="1">
      <alignment horizontal="center" vertical="center"/>
    </xf>
    <xf numFmtId="41" fontId="226" fillId="35" borderId="45" xfId="117" applyFont="1" applyFill="1" applyBorder="1" applyAlignment="1">
      <alignment horizontal="center" vertical="center"/>
    </xf>
    <xf numFmtId="181" fontId="222" fillId="0" borderId="52" xfId="122" applyNumberFormat="1" applyFont="1" applyBorder="1" applyAlignment="1">
      <alignment horizontal="center" vertical="center"/>
    </xf>
    <xf numFmtId="0" fontId="203" fillId="0" borderId="19" xfId="140" applyFont="1" applyBorder="1" applyAlignment="1">
      <alignment horizontal="center" vertical="center"/>
    </xf>
    <xf numFmtId="0" fontId="220" fillId="0" borderId="0" xfId="140" applyFont="1" applyAlignment="1">
      <alignment horizontal="center"/>
    </xf>
    <xf numFmtId="0" fontId="227" fillId="0" borderId="0" xfId="140" applyFont="1"/>
    <xf numFmtId="0" fontId="215" fillId="36" borderId="55" xfId="140" applyFont="1" applyFill="1" applyBorder="1" applyAlignment="1">
      <alignment horizontal="center" vertical="center"/>
    </xf>
    <xf numFmtId="41" fontId="226" fillId="35" borderId="81" xfId="159" applyFont="1" applyFill="1" applyBorder="1" applyAlignment="1">
      <alignment horizontal="center"/>
    </xf>
    <xf numFmtId="41" fontId="226" fillId="35" borderId="82" xfId="159" applyFont="1" applyFill="1" applyBorder="1" applyAlignment="1">
      <alignment horizontal="center"/>
    </xf>
    <xf numFmtId="181" fontId="222" fillId="0" borderId="26" xfId="122" applyNumberFormat="1" applyFont="1" applyBorder="1" applyAlignment="1">
      <alignment horizontal="center" vertical="center"/>
    </xf>
    <xf numFmtId="41" fontId="226" fillId="35" borderId="83" xfId="159" applyFont="1" applyFill="1" applyBorder="1" applyAlignment="1">
      <alignment horizontal="center"/>
    </xf>
    <xf numFmtId="41" fontId="226" fillId="35" borderId="84" xfId="159" applyFont="1" applyFill="1" applyBorder="1" applyAlignment="1">
      <alignment horizontal="center"/>
    </xf>
    <xf numFmtId="41" fontId="226" fillId="35" borderId="85" xfId="159" applyFont="1" applyFill="1" applyBorder="1" applyAlignment="1">
      <alignment horizontal="center"/>
    </xf>
    <xf numFmtId="0" fontId="203" fillId="0" borderId="24" xfId="137" applyFont="1" applyBorder="1" applyAlignment="1">
      <alignment horizontal="center" vertical="center"/>
    </xf>
    <xf numFmtId="182" fontId="203" fillId="0" borderId="3" xfId="139" applyNumberFormat="1" applyFont="1" applyBorder="1" applyAlignment="1">
      <alignment horizontal="center" vertical="center" wrapText="1"/>
    </xf>
    <xf numFmtId="41" fontId="226" fillId="35" borderId="47" xfId="159" applyFont="1" applyFill="1" applyBorder="1" applyAlignment="1">
      <alignment horizontal="center"/>
    </xf>
    <xf numFmtId="0" fontId="215" fillId="0" borderId="0" xfId="140" applyFont="1" applyAlignment="1">
      <alignment horizontal="center" vertical="center"/>
    </xf>
    <xf numFmtId="0" fontId="192" fillId="0" borderId="87" xfId="128" applyFont="1" applyBorder="1" applyAlignment="1">
      <alignment horizontal="center" vertical="center"/>
    </xf>
    <xf numFmtId="0" fontId="192" fillId="0" borderId="54" xfId="128" applyFont="1" applyBorder="1" applyAlignment="1">
      <alignment horizontal="center" vertical="center"/>
    </xf>
    <xf numFmtId="0" fontId="192" fillId="95" borderId="105" xfId="128" applyFont="1" applyFill="1" applyBorder="1" applyAlignment="1">
      <alignment horizontal="center" vertical="center"/>
    </xf>
    <xf numFmtId="0" fontId="192" fillId="95" borderId="61" xfId="128" applyFont="1" applyFill="1" applyBorder="1" applyAlignment="1">
      <alignment horizontal="center" vertical="center"/>
    </xf>
    <xf numFmtId="0" fontId="208" fillId="0" borderId="107" xfId="128" applyFont="1" applyBorder="1" applyAlignment="1">
      <alignment horizontal="center" vertical="center"/>
    </xf>
    <xf numFmtId="41" fontId="196" fillId="96" borderId="106" xfId="116" applyFont="1" applyFill="1" applyBorder="1" applyAlignment="1">
      <alignment horizontal="center" vertical="center"/>
    </xf>
    <xf numFmtId="0" fontId="230" fillId="0" borderId="106" xfId="128" applyFont="1" applyBorder="1" applyAlignment="1">
      <alignment horizontal="center" vertical="center"/>
    </xf>
    <xf numFmtId="0" fontId="208" fillId="0" borderId="15" xfId="128" applyFont="1" applyBorder="1" applyAlignment="1">
      <alignment horizontal="center" vertical="center"/>
    </xf>
    <xf numFmtId="0" fontId="217" fillId="17" borderId="3" xfId="128" applyFont="1" applyFill="1" applyBorder="1" applyAlignment="1">
      <alignment horizontal="center" vertical="center"/>
    </xf>
    <xf numFmtId="41" fontId="196" fillId="69" borderId="3" xfId="116" applyFont="1" applyFill="1" applyBorder="1" applyAlignment="1">
      <alignment horizontal="center" vertical="center"/>
    </xf>
    <xf numFmtId="41" fontId="196" fillId="96" borderId="3" xfId="116" applyFont="1" applyFill="1" applyBorder="1" applyAlignment="1">
      <alignment horizontal="center" vertical="center"/>
    </xf>
    <xf numFmtId="0" fontId="230" fillId="0" borderId="24" xfId="128" applyFont="1" applyBorder="1" applyAlignment="1">
      <alignment horizontal="center" vertical="center"/>
    </xf>
    <xf numFmtId="0" fontId="217" fillId="17" borderId="52" xfId="128" applyFont="1" applyFill="1" applyBorder="1" applyAlignment="1">
      <alignment horizontal="center" vertical="center"/>
    </xf>
    <xf numFmtId="0" fontId="217" fillId="0" borderId="52" xfId="128" applyFont="1" applyBorder="1" applyAlignment="1">
      <alignment horizontal="center" vertical="center"/>
    </xf>
    <xf numFmtId="41" fontId="196" fillId="69" borderId="52" xfId="116" applyFont="1" applyFill="1" applyBorder="1" applyAlignment="1">
      <alignment horizontal="center" vertical="center"/>
    </xf>
    <xf numFmtId="41" fontId="196" fillId="0" borderId="3" xfId="116" applyFont="1" applyBorder="1" applyAlignment="1">
      <alignment horizontal="center" vertical="center"/>
    </xf>
    <xf numFmtId="0" fontId="230" fillId="0" borderId="3" xfId="128" applyFont="1" applyBorder="1" applyAlignment="1">
      <alignment horizontal="center" vertical="center"/>
    </xf>
    <xf numFmtId="0" fontId="208" fillId="97" borderId="24" xfId="128" applyFont="1" applyFill="1" applyBorder="1" applyAlignment="1">
      <alignment horizontal="center" vertical="center"/>
    </xf>
    <xf numFmtId="41" fontId="208" fillId="97" borderId="24" xfId="116" applyFont="1" applyFill="1" applyBorder="1" applyAlignment="1">
      <alignment horizontal="center" vertical="center"/>
    </xf>
    <xf numFmtId="0" fontId="208" fillId="17" borderId="3" xfId="128" applyFont="1" applyFill="1" applyBorder="1" applyAlignment="1">
      <alignment horizontal="center" vertical="center"/>
    </xf>
    <xf numFmtId="0" fontId="230" fillId="17" borderId="3" xfId="128" applyFont="1" applyFill="1" applyBorder="1" applyAlignment="1">
      <alignment horizontal="center" vertical="center"/>
    </xf>
    <xf numFmtId="0" fontId="189" fillId="0" borderId="0" xfId="0" applyFont="1">
      <alignment vertical="center"/>
    </xf>
    <xf numFmtId="0" fontId="222" fillId="69" borderId="14" xfId="140" applyFont="1" applyFill="1" applyBorder="1" applyAlignment="1">
      <alignment horizontal="center" vertical="center"/>
    </xf>
    <xf numFmtId="0" fontId="222" fillId="69" borderId="29" xfId="140" applyFont="1" applyFill="1" applyBorder="1" applyAlignment="1">
      <alignment horizontal="center" vertical="center"/>
    </xf>
    <xf numFmtId="0" fontId="222" fillId="69" borderId="51" xfId="140" applyFont="1" applyFill="1" applyBorder="1" applyAlignment="1">
      <alignment horizontal="center" vertical="center"/>
    </xf>
    <xf numFmtId="41" fontId="226" fillId="35" borderId="19" xfId="159" applyFont="1" applyFill="1" applyBorder="1" applyAlignment="1">
      <alignment horizontal="center"/>
    </xf>
    <xf numFmtId="41" fontId="226" fillId="35" borderId="3" xfId="159" applyFont="1" applyFill="1" applyBorder="1" applyAlignment="1">
      <alignment horizontal="center"/>
    </xf>
    <xf numFmtId="41" fontId="226" fillId="35" borderId="27" xfId="159" applyFont="1" applyFill="1" applyBorder="1" applyAlignment="1">
      <alignment horizontal="center"/>
    </xf>
    <xf numFmtId="0" fontId="222" fillId="69" borderId="34" xfId="140" applyFont="1" applyFill="1" applyBorder="1" applyAlignment="1">
      <alignment horizontal="left" vertical="center"/>
    </xf>
    <xf numFmtId="176" fontId="215" fillId="0" borderId="55" xfId="140" applyNumberFormat="1" applyFont="1" applyBorder="1" applyAlignment="1">
      <alignment horizontal="right" vertical="center"/>
    </xf>
    <xf numFmtId="176" fontId="215" fillId="0" borderId="42" xfId="140" applyNumberFormat="1" applyFont="1" applyBorder="1" applyAlignment="1">
      <alignment horizontal="right" vertical="center"/>
    </xf>
    <xf numFmtId="176" fontId="215" fillId="0" borderId="43" xfId="140" applyNumberFormat="1" applyFont="1" applyBorder="1" applyAlignment="1">
      <alignment horizontal="right" vertical="center"/>
    </xf>
    <xf numFmtId="176" fontId="215" fillId="0" borderId="44" xfId="140" applyNumberFormat="1" applyFont="1" applyBorder="1" applyAlignment="1">
      <alignment horizontal="right" vertical="center"/>
    </xf>
    <xf numFmtId="0" fontId="222" fillId="69" borderId="34" xfId="140" applyFont="1" applyFill="1" applyBorder="1" applyAlignment="1">
      <alignment horizontal="center" vertical="center"/>
    </xf>
    <xf numFmtId="41" fontId="226" fillId="35" borderId="34" xfId="159" applyFont="1" applyFill="1" applyBorder="1" applyAlignment="1">
      <alignment horizontal="center"/>
    </xf>
    <xf numFmtId="0" fontId="215" fillId="36" borderId="36" xfId="140" applyFont="1" applyFill="1" applyBorder="1" applyAlignment="1">
      <alignment horizontal="center" vertical="center"/>
    </xf>
    <xf numFmtId="41" fontId="194" fillId="0" borderId="19" xfId="116" applyFont="1" applyBorder="1" applyAlignment="1">
      <alignment horizontal="center" vertical="center"/>
    </xf>
    <xf numFmtId="41" fontId="194" fillId="0" borderId="39" xfId="116" applyFont="1" applyBorder="1" applyAlignment="1">
      <alignment horizontal="center" vertical="center"/>
    </xf>
    <xf numFmtId="41" fontId="194" fillId="0" borderId="27" xfId="116" applyFont="1" applyBorder="1" applyAlignment="1">
      <alignment horizontal="center" vertical="center"/>
    </xf>
    <xf numFmtId="176" fontId="223" fillId="81" borderId="0" xfId="128" applyNumberFormat="1" applyFont="1" applyFill="1">
      <alignment vertical="center"/>
    </xf>
    <xf numFmtId="0" fontId="203" fillId="0" borderId="24" xfId="135" applyFont="1" applyBorder="1" applyAlignment="1">
      <alignment horizontal="left" vertical="center"/>
    </xf>
    <xf numFmtId="0" fontId="203" fillId="0" borderId="3" xfId="135" applyFont="1" applyBorder="1" applyAlignment="1">
      <alignment horizontal="left" vertical="center"/>
    </xf>
    <xf numFmtId="0" fontId="203" fillId="0" borderId="3" xfId="139" applyFont="1" applyBorder="1" applyAlignment="1">
      <alignment horizontal="left" vertical="center" wrapText="1"/>
    </xf>
    <xf numFmtId="0" fontId="203" fillId="0" borderId="52" xfId="129" applyFont="1" applyBorder="1" applyAlignment="1">
      <alignment horizontal="left" vertical="center" wrapText="1"/>
    </xf>
    <xf numFmtId="0" fontId="203" fillId="0" borderId="3" xfId="129" applyFont="1" applyBorder="1" applyAlignment="1">
      <alignment horizontal="left" vertical="center" wrapText="1"/>
    </xf>
    <xf numFmtId="0" fontId="203" fillId="0" borderId="3" xfId="129" applyFont="1" applyBorder="1" applyAlignment="1">
      <alignment vertical="center" wrapText="1"/>
    </xf>
    <xf numFmtId="0" fontId="203" fillId="0" borderId="3" xfId="128" applyFont="1" applyBorder="1" applyAlignment="1">
      <alignment horizontal="left" vertical="center" wrapText="1"/>
    </xf>
    <xf numFmtId="0" fontId="233" fillId="0" borderId="0" xfId="140" applyFont="1"/>
    <xf numFmtId="0" fontId="221" fillId="0" borderId="0" xfId="140" applyFont="1" applyAlignment="1">
      <alignment horizontal="center" vertical="center"/>
    </xf>
    <xf numFmtId="0" fontId="234" fillId="0" borderId="0" xfId="140" applyFont="1"/>
    <xf numFmtId="41" fontId="221" fillId="0" borderId="0" xfId="117" applyFont="1" applyAlignment="1"/>
    <xf numFmtId="0" fontId="235" fillId="0" borderId="0" xfId="0" applyFont="1">
      <alignment vertical="center"/>
    </xf>
    <xf numFmtId="0" fontId="219" fillId="0" borderId="0" xfId="140" applyFont="1" applyAlignment="1">
      <alignment horizontal="center" vertical="center"/>
    </xf>
    <xf numFmtId="176" fontId="205" fillId="42" borderId="41" xfId="128" applyNumberFormat="1" applyFont="1" applyFill="1" applyBorder="1" applyAlignment="1">
      <alignment horizontal="center" vertical="center"/>
    </xf>
    <xf numFmtId="0" fontId="216" fillId="0" borderId="0" xfId="140" applyFont="1" applyAlignment="1">
      <alignment vertical="center"/>
    </xf>
    <xf numFmtId="41" fontId="216" fillId="0" borderId="0" xfId="111" applyFont="1">
      <alignment vertical="center"/>
    </xf>
    <xf numFmtId="41" fontId="216" fillId="0" borderId="0" xfId="111" applyFont="1" applyAlignment="1">
      <alignment horizontal="center" vertical="center"/>
    </xf>
    <xf numFmtId="41" fontId="216" fillId="0" borderId="0" xfId="140" applyNumberFormat="1" applyFont="1" applyAlignment="1">
      <alignment vertical="center"/>
    </xf>
    <xf numFmtId="41" fontId="216" fillId="0" borderId="0" xfId="140" applyNumberFormat="1" applyFont="1"/>
    <xf numFmtId="41" fontId="236" fillId="0" borderId="0" xfId="111" applyFont="1" applyAlignment="1">
      <alignment horizontal="center" vertical="center"/>
    </xf>
    <xf numFmtId="41" fontId="223" fillId="0" borderId="0" xfId="140" applyNumberFormat="1" applyFont="1" applyAlignment="1">
      <alignment vertical="center"/>
    </xf>
    <xf numFmtId="41" fontId="236" fillId="0" borderId="0" xfId="140" applyNumberFormat="1" applyFont="1" applyAlignment="1">
      <alignment vertical="center"/>
    </xf>
    <xf numFmtId="0" fontId="236" fillId="0" borderId="0" xfId="140" applyFont="1" applyAlignment="1">
      <alignment horizontal="center" vertical="center"/>
    </xf>
    <xf numFmtId="0" fontId="237" fillId="0" borderId="0" xfId="140" applyFont="1" applyAlignment="1">
      <alignment vertical="center"/>
    </xf>
    <xf numFmtId="41" fontId="220" fillId="0" borderId="0" xfId="111" applyFont="1">
      <alignment vertical="center"/>
    </xf>
    <xf numFmtId="41" fontId="236" fillId="0" borderId="0" xfId="111" applyFont="1">
      <alignment vertical="center"/>
    </xf>
    <xf numFmtId="0" fontId="236" fillId="0" borderId="0" xfId="140" applyFont="1" applyAlignment="1">
      <alignment vertical="center"/>
    </xf>
    <xf numFmtId="0" fontId="193" fillId="0" borderId="3" xfId="136" applyFont="1" applyBorder="1" applyAlignment="1" applyProtection="1">
      <alignment vertical="center"/>
      <protection locked="0"/>
    </xf>
    <xf numFmtId="0" fontId="193" fillId="0" borderId="16" xfId="136" applyFont="1" applyBorder="1" applyAlignment="1" applyProtection="1">
      <alignment vertical="center"/>
      <protection locked="0"/>
    </xf>
    <xf numFmtId="0" fontId="193" fillId="27" borderId="16" xfId="136" applyFont="1" applyFill="1" applyBorder="1" applyAlignment="1" applyProtection="1">
      <alignment vertical="center"/>
      <protection locked="0"/>
    </xf>
    <xf numFmtId="0" fontId="193" fillId="0" borderId="21" xfId="136" applyFont="1" applyBorder="1" applyAlignment="1" applyProtection="1">
      <alignment vertical="center"/>
      <protection locked="0"/>
    </xf>
    <xf numFmtId="0" fontId="193" fillId="27" borderId="27" xfId="136" applyFont="1" applyFill="1" applyBorder="1" applyAlignment="1" applyProtection="1">
      <alignment vertical="center"/>
      <protection locked="0"/>
    </xf>
    <xf numFmtId="0" fontId="193" fillId="27" borderId="30" xfId="136" applyFont="1" applyFill="1" applyBorder="1" applyAlignment="1" applyProtection="1">
      <alignment vertical="center"/>
      <protection locked="0"/>
    </xf>
    <xf numFmtId="0" fontId="193" fillId="40" borderId="16" xfId="136" applyFont="1" applyFill="1" applyBorder="1" applyAlignment="1" applyProtection="1">
      <alignment vertical="center"/>
      <protection locked="0"/>
    </xf>
    <xf numFmtId="0" fontId="193" fillId="0" borderId="26" xfId="136" applyFont="1" applyBorder="1" applyAlignment="1" applyProtection="1">
      <alignment vertical="center"/>
      <protection locked="0"/>
    </xf>
    <xf numFmtId="0" fontId="193" fillId="0" borderId="27" xfId="136" applyFont="1" applyBorder="1" applyAlignment="1" applyProtection="1">
      <alignment vertical="center"/>
      <protection locked="0"/>
    </xf>
    <xf numFmtId="0" fontId="193" fillId="0" borderId="30" xfId="136" applyFont="1" applyBorder="1" applyAlignment="1" applyProtection="1">
      <alignment vertical="center"/>
      <protection locked="0"/>
    </xf>
    <xf numFmtId="0" fontId="193" fillId="0" borderId="19" xfId="136" applyFont="1" applyBorder="1" applyAlignment="1" applyProtection="1">
      <alignment horizontal="right" vertical="center"/>
      <protection locked="0"/>
    </xf>
    <xf numFmtId="0" fontId="193" fillId="0" borderId="3" xfId="136" applyFont="1" applyBorder="1" applyAlignment="1">
      <alignment vertical="center"/>
    </xf>
    <xf numFmtId="0" fontId="193" fillId="0" borderId="16" xfId="136" applyFont="1" applyBorder="1" applyAlignment="1">
      <alignment vertical="center"/>
    </xf>
    <xf numFmtId="0" fontId="193" fillId="17" borderId="3" xfId="136" applyFont="1" applyFill="1" applyBorder="1" applyAlignment="1">
      <alignment vertical="center"/>
    </xf>
    <xf numFmtId="0" fontId="193" fillId="17" borderId="16" xfId="136" applyFont="1" applyFill="1" applyBorder="1" applyAlignment="1">
      <alignment vertical="center"/>
    </xf>
    <xf numFmtId="0" fontId="193" fillId="0" borderId="16" xfId="128" applyFont="1" applyBorder="1">
      <alignment vertical="center"/>
    </xf>
    <xf numFmtId="0" fontId="193" fillId="0" borderId="30" xfId="128" applyFont="1" applyBorder="1">
      <alignment vertical="center"/>
    </xf>
    <xf numFmtId="0" fontId="193" fillId="27" borderId="19" xfId="128" applyFont="1" applyFill="1" applyBorder="1">
      <alignment vertical="center"/>
    </xf>
    <xf numFmtId="0" fontId="193" fillId="27" borderId="21" xfId="128" applyFont="1" applyFill="1" applyBorder="1">
      <alignment vertical="center"/>
    </xf>
    <xf numFmtId="0" fontId="200" fillId="0" borderId="3" xfId="128" applyFont="1" applyBorder="1">
      <alignment vertical="center"/>
    </xf>
    <xf numFmtId="0" fontId="193" fillId="40" borderId="3" xfId="128" applyFont="1" applyFill="1" applyBorder="1">
      <alignment vertical="center"/>
    </xf>
    <xf numFmtId="0" fontId="193" fillId="40" borderId="16" xfId="128" applyFont="1" applyFill="1" applyBorder="1">
      <alignment vertical="center"/>
    </xf>
    <xf numFmtId="0" fontId="200" fillId="40" borderId="3" xfId="128" applyFont="1" applyFill="1" applyBorder="1">
      <alignment vertical="center"/>
    </xf>
    <xf numFmtId="0" fontId="202" fillId="40" borderId="3" xfId="128" applyFont="1" applyFill="1" applyBorder="1">
      <alignment vertical="center"/>
    </xf>
    <xf numFmtId="0" fontId="193" fillId="43" borderId="16" xfId="128" applyFont="1" applyFill="1" applyBorder="1">
      <alignment vertical="center"/>
    </xf>
    <xf numFmtId="0" fontId="200" fillId="43" borderId="3" xfId="128" applyFont="1" applyFill="1" applyBorder="1">
      <alignment vertical="center"/>
    </xf>
    <xf numFmtId="0" fontId="194" fillId="43" borderId="3" xfId="128" applyFont="1" applyFill="1" applyBorder="1">
      <alignment vertical="center"/>
    </xf>
    <xf numFmtId="0" fontId="193" fillId="43" borderId="27" xfId="128" applyFont="1" applyFill="1" applyBorder="1">
      <alignment vertical="center"/>
    </xf>
    <xf numFmtId="0" fontId="193" fillId="43" borderId="30" xfId="128" applyFont="1" applyFill="1" applyBorder="1">
      <alignment vertical="center"/>
    </xf>
    <xf numFmtId="0" fontId="202" fillId="43" borderId="27" xfId="128" applyFont="1" applyFill="1" applyBorder="1">
      <alignment vertical="center"/>
    </xf>
    <xf numFmtId="0" fontId="193" fillId="0" borderId="21" xfId="128" applyFont="1" applyBorder="1">
      <alignment vertical="center"/>
    </xf>
    <xf numFmtId="0" fontId="202" fillId="0" borderId="19" xfId="128" applyFont="1" applyBorder="1">
      <alignment vertical="center"/>
    </xf>
    <xf numFmtId="0" fontId="202" fillId="43" borderId="3" xfId="128" applyFont="1" applyFill="1" applyBorder="1">
      <alignment vertical="center"/>
    </xf>
    <xf numFmtId="0" fontId="202" fillId="0" borderId="3" xfId="128" applyFont="1" applyBorder="1">
      <alignment vertical="center"/>
    </xf>
    <xf numFmtId="0" fontId="193" fillId="27" borderId="16" xfId="128" applyFont="1" applyFill="1" applyBorder="1">
      <alignment vertical="center"/>
    </xf>
    <xf numFmtId="0" fontId="202" fillId="27" borderId="3" xfId="128" applyFont="1" applyFill="1" applyBorder="1">
      <alignment vertical="center"/>
    </xf>
    <xf numFmtId="0" fontId="193" fillId="40" borderId="27" xfId="128" applyFont="1" applyFill="1" applyBorder="1">
      <alignment vertical="center"/>
    </xf>
    <xf numFmtId="0" fontId="193" fillId="40" borderId="30" xfId="128" applyFont="1" applyFill="1" applyBorder="1">
      <alignment vertical="center"/>
    </xf>
    <xf numFmtId="0" fontId="202" fillId="40" borderId="27" xfId="128" applyFont="1" applyFill="1" applyBorder="1">
      <alignment vertical="center"/>
    </xf>
    <xf numFmtId="0" fontId="193" fillId="0" borderId="31" xfId="128" applyFont="1" applyBorder="1">
      <alignment vertical="center"/>
    </xf>
    <xf numFmtId="0" fontId="193" fillId="0" borderId="32" xfId="128" applyFont="1" applyBorder="1">
      <alignment vertical="center"/>
    </xf>
    <xf numFmtId="0" fontId="202" fillId="0" borderId="31" xfId="128" applyFont="1" applyBorder="1">
      <alignment vertical="center"/>
    </xf>
    <xf numFmtId="0" fontId="193" fillId="0" borderId="34" xfId="128" applyFont="1" applyBorder="1">
      <alignment vertical="center"/>
    </xf>
    <xf numFmtId="0" fontId="193" fillId="0" borderId="35" xfId="128" applyFont="1" applyBorder="1">
      <alignment vertical="center"/>
    </xf>
    <xf numFmtId="0" fontId="202" fillId="0" borderId="34" xfId="128" applyFont="1" applyBorder="1">
      <alignment vertical="center"/>
    </xf>
    <xf numFmtId="0" fontId="202" fillId="0" borderId="27" xfId="128" applyFont="1" applyBorder="1">
      <alignment vertical="center"/>
    </xf>
    <xf numFmtId="0" fontId="193" fillId="40" borderId="32" xfId="128" applyFont="1" applyFill="1" applyBorder="1">
      <alignment vertical="center"/>
    </xf>
    <xf numFmtId="0" fontId="193" fillId="0" borderId="39" xfId="128" applyFont="1" applyBorder="1">
      <alignment vertical="center"/>
    </xf>
    <xf numFmtId="0" fontId="200" fillId="0" borderId="37" xfId="128" applyFont="1" applyBorder="1">
      <alignment vertical="center"/>
    </xf>
    <xf numFmtId="0" fontId="202" fillId="0" borderId="37" xfId="128" applyFont="1" applyBorder="1">
      <alignment vertical="center"/>
    </xf>
    <xf numFmtId="0" fontId="193" fillId="0" borderId="14" xfId="136" applyFont="1" applyBorder="1" applyAlignment="1" applyProtection="1">
      <alignment vertical="center"/>
      <protection locked="0"/>
    </xf>
    <xf numFmtId="0" fontId="193" fillId="69" borderId="52" xfId="136" applyFont="1" applyFill="1" applyBorder="1" applyAlignment="1" applyProtection="1">
      <alignment vertical="center"/>
      <protection locked="0"/>
    </xf>
    <xf numFmtId="0" fontId="193" fillId="72" borderId="52" xfId="136" applyFont="1" applyFill="1" applyBorder="1" applyAlignment="1" applyProtection="1">
      <alignment vertical="center"/>
      <protection locked="0"/>
    </xf>
    <xf numFmtId="0" fontId="193" fillId="43" borderId="52" xfId="136" applyFont="1" applyFill="1" applyBorder="1" applyAlignment="1" applyProtection="1">
      <alignment vertical="center"/>
      <protection locked="0"/>
    </xf>
    <xf numFmtId="0" fontId="193" fillId="43" borderId="52" xfId="136" applyFont="1" applyFill="1" applyBorder="1" applyAlignment="1" applyProtection="1">
      <alignment horizontal="right" vertical="center"/>
      <protection locked="0"/>
    </xf>
    <xf numFmtId="0" fontId="193" fillId="0" borderId="40" xfId="136" applyFont="1" applyBorder="1" applyAlignment="1" applyProtection="1">
      <alignment vertical="center"/>
      <protection locked="0"/>
    </xf>
    <xf numFmtId="0" fontId="193" fillId="27" borderId="2" xfId="136" applyFont="1" applyFill="1" applyBorder="1" applyAlignment="1" applyProtection="1">
      <alignment vertical="center"/>
      <protection locked="0"/>
    </xf>
    <xf numFmtId="0" fontId="193" fillId="40" borderId="2" xfId="136" applyFont="1" applyFill="1" applyBorder="1" applyAlignment="1" applyProtection="1">
      <alignment vertical="center"/>
      <protection locked="0"/>
    </xf>
    <xf numFmtId="0" fontId="193" fillId="27" borderId="40" xfId="136" applyFont="1" applyFill="1" applyBorder="1" applyAlignment="1" applyProtection="1">
      <alignment vertical="center"/>
      <protection locked="0"/>
    </xf>
    <xf numFmtId="0" fontId="193" fillId="0" borderId="2" xfId="136" applyFont="1" applyBorder="1" applyAlignment="1" applyProtection="1">
      <alignment vertical="center"/>
      <protection locked="0"/>
    </xf>
    <xf numFmtId="0" fontId="193" fillId="43" borderId="37" xfId="136" applyFont="1" applyFill="1" applyBorder="1" applyAlignment="1" applyProtection="1">
      <alignment vertical="center"/>
      <protection locked="0"/>
    </xf>
    <xf numFmtId="0" fontId="193" fillId="0" borderId="34" xfId="136" applyFont="1" applyBorder="1" applyAlignment="1" applyProtection="1">
      <alignment vertical="center"/>
      <protection locked="0"/>
    </xf>
    <xf numFmtId="0" fontId="193" fillId="0" borderId="37" xfId="136" applyFont="1" applyBorder="1" applyAlignment="1" applyProtection="1">
      <alignment vertical="center"/>
      <protection locked="0"/>
    </xf>
    <xf numFmtId="0" fontId="193" fillId="0" borderId="29" xfId="136" applyFont="1" applyBorder="1" applyAlignment="1" applyProtection="1">
      <alignment vertical="center"/>
      <protection locked="0"/>
    </xf>
    <xf numFmtId="0" fontId="193" fillId="69" borderId="25" xfId="136" applyFont="1" applyFill="1" applyBorder="1" applyAlignment="1" applyProtection="1">
      <alignment vertical="center"/>
      <protection locked="0"/>
    </xf>
    <xf numFmtId="0" fontId="193" fillId="0" borderId="51" xfId="136" applyFont="1" applyBorder="1" applyAlignment="1" applyProtection="1">
      <alignment vertical="center"/>
      <protection locked="0"/>
    </xf>
    <xf numFmtId="0" fontId="193" fillId="0" borderId="52" xfId="136" applyFont="1" applyBorder="1" applyAlignment="1" applyProtection="1">
      <alignment vertical="center"/>
      <protection locked="0"/>
    </xf>
    <xf numFmtId="0" fontId="193" fillId="0" borderId="52" xfId="136" applyFont="1" applyBorder="1" applyAlignment="1" applyProtection="1">
      <alignment vertical="center" shrinkToFit="1"/>
      <protection locked="0"/>
    </xf>
    <xf numFmtId="0" fontId="193" fillId="34" borderId="51" xfId="136" applyFont="1" applyFill="1" applyBorder="1" applyAlignment="1" applyProtection="1">
      <alignment vertical="center"/>
      <protection locked="0"/>
    </xf>
    <xf numFmtId="0" fontId="193" fillId="34" borderId="52" xfId="136" applyFont="1" applyFill="1" applyBorder="1" applyAlignment="1" applyProtection="1">
      <alignment vertical="center"/>
      <protection locked="0"/>
    </xf>
    <xf numFmtId="0" fontId="193" fillId="82" borderId="52" xfId="136" applyFont="1" applyFill="1" applyBorder="1" applyAlignment="1" applyProtection="1">
      <alignment vertical="center"/>
      <protection locked="0"/>
    </xf>
    <xf numFmtId="0" fontId="193" fillId="69" borderId="3" xfId="136" applyFont="1" applyFill="1" applyBorder="1" applyAlignment="1" applyProtection="1">
      <alignment vertical="center"/>
      <protection locked="0"/>
    </xf>
    <xf numFmtId="0" fontId="193" fillId="69" borderId="24" xfId="136" applyFont="1" applyFill="1" applyBorder="1" applyAlignment="1" applyProtection="1">
      <alignment vertical="center"/>
      <protection locked="0"/>
    </xf>
    <xf numFmtId="0" fontId="193" fillId="44" borderId="25" xfId="136" applyFont="1" applyFill="1" applyBorder="1" applyAlignment="1" applyProtection="1">
      <alignment vertical="center"/>
      <protection locked="0"/>
    </xf>
    <xf numFmtId="0" fontId="193" fillId="44" borderId="24" xfId="136" applyFont="1" applyFill="1" applyBorder="1" applyAlignment="1" applyProtection="1">
      <alignment vertical="center"/>
      <protection locked="0"/>
    </xf>
    <xf numFmtId="0" fontId="193" fillId="94" borderId="24" xfId="136" applyFont="1" applyFill="1" applyBorder="1" applyAlignment="1" applyProtection="1">
      <alignment vertical="center"/>
      <protection locked="0"/>
    </xf>
    <xf numFmtId="0" fontId="192" fillId="0" borderId="2" xfId="128" applyFont="1" applyBorder="1">
      <alignment vertical="center"/>
    </xf>
    <xf numFmtId="0" fontId="193" fillId="33" borderId="51" xfId="136" applyFont="1" applyFill="1" applyBorder="1" applyAlignment="1" applyProtection="1">
      <alignment vertical="center"/>
      <protection locked="0"/>
    </xf>
    <xf numFmtId="0" fontId="193" fillId="33" borderId="52" xfId="136" applyFont="1" applyFill="1" applyBorder="1" applyAlignment="1" applyProtection="1">
      <alignment vertical="center"/>
      <protection locked="0"/>
    </xf>
    <xf numFmtId="0" fontId="200" fillId="33" borderId="52" xfId="136" applyFont="1" applyFill="1" applyBorder="1" applyAlignment="1" applyProtection="1">
      <alignment vertical="center"/>
      <protection locked="0"/>
    </xf>
    <xf numFmtId="0" fontId="193" fillId="33" borderId="3" xfId="136" applyFont="1" applyFill="1" applyBorder="1" applyAlignment="1" applyProtection="1">
      <alignment vertical="center"/>
      <protection locked="0"/>
    </xf>
    <xf numFmtId="0" fontId="193" fillId="92" borderId="52" xfId="136" applyFont="1" applyFill="1" applyBorder="1" applyAlignment="1" applyProtection="1">
      <alignment vertical="center"/>
      <protection locked="0"/>
    </xf>
    <xf numFmtId="0" fontId="193" fillId="92" borderId="3" xfId="136" applyFont="1" applyFill="1" applyBorder="1" applyAlignment="1" applyProtection="1">
      <alignment vertical="center"/>
      <protection locked="0"/>
    </xf>
    <xf numFmtId="0" fontId="193" fillId="69" borderId="37" xfId="136" applyFont="1" applyFill="1" applyBorder="1" applyAlignment="1" applyProtection="1">
      <alignment vertical="center"/>
      <protection locked="0"/>
    </xf>
    <xf numFmtId="0" fontId="193" fillId="39" borderId="14" xfId="136" applyFont="1" applyFill="1" applyBorder="1" applyAlignment="1" applyProtection="1">
      <alignment vertical="center"/>
      <protection locked="0"/>
    </xf>
    <xf numFmtId="0" fontId="193" fillId="39" borderId="3" xfId="136" applyFont="1" applyFill="1" applyBorder="1" applyAlignment="1" applyProtection="1">
      <alignment vertical="center"/>
      <protection locked="0"/>
    </xf>
    <xf numFmtId="0" fontId="193" fillId="93" borderId="3" xfId="136" applyFont="1" applyFill="1" applyBorder="1" applyAlignment="1" applyProtection="1">
      <alignment vertical="center"/>
      <protection locked="0"/>
    </xf>
    <xf numFmtId="0" fontId="193" fillId="94" borderId="52" xfId="136" applyFont="1" applyFill="1" applyBorder="1" applyAlignment="1" applyProtection="1">
      <alignment vertical="center"/>
      <protection locked="0"/>
    </xf>
    <xf numFmtId="0" fontId="193" fillId="69" borderId="19" xfId="136" applyFont="1" applyFill="1" applyBorder="1" applyAlignment="1" applyProtection="1">
      <alignment vertical="center"/>
      <protection locked="0"/>
    </xf>
    <xf numFmtId="0" fontId="193" fillId="0" borderId="38" xfId="136" applyFont="1" applyBorder="1" applyAlignment="1" applyProtection="1">
      <alignment vertical="center"/>
      <protection locked="0"/>
    </xf>
    <xf numFmtId="0" fontId="193" fillId="69" borderId="27" xfId="136" applyFont="1" applyFill="1" applyBorder="1" applyAlignment="1" applyProtection="1">
      <alignment vertical="center"/>
      <protection locked="0"/>
    </xf>
    <xf numFmtId="0" fontId="209" fillId="69" borderId="3" xfId="136" applyFont="1" applyFill="1" applyBorder="1" applyAlignment="1" applyProtection="1">
      <alignment vertical="center"/>
      <protection locked="0"/>
    </xf>
    <xf numFmtId="0" fontId="193" fillId="0" borderId="31" xfId="136" applyFont="1" applyBorder="1" applyAlignment="1" applyProtection="1">
      <alignment vertical="center"/>
      <protection locked="0"/>
    </xf>
    <xf numFmtId="0" fontId="209" fillId="0" borderId="31" xfId="136" applyFont="1" applyBorder="1" applyAlignment="1" applyProtection="1">
      <alignment vertical="center"/>
      <protection locked="0"/>
    </xf>
    <xf numFmtId="0" fontId="193" fillId="69" borderId="31" xfId="136" applyFont="1" applyFill="1" applyBorder="1" applyAlignment="1" applyProtection="1">
      <alignment vertical="center"/>
      <protection locked="0"/>
    </xf>
    <xf numFmtId="0" fontId="209" fillId="0" borderId="24" xfId="136" applyFont="1" applyBorder="1" applyAlignment="1" applyProtection="1">
      <alignment vertical="center"/>
      <protection locked="0"/>
    </xf>
    <xf numFmtId="0" fontId="209" fillId="69" borderId="24" xfId="136" applyFont="1" applyFill="1" applyBorder="1" applyAlignment="1" applyProtection="1">
      <alignment vertical="center"/>
      <protection locked="0"/>
    </xf>
    <xf numFmtId="0" fontId="209" fillId="0" borderId="3" xfId="136" applyFont="1" applyBorder="1" applyAlignment="1" applyProtection="1">
      <alignment vertical="center"/>
      <protection locked="0"/>
    </xf>
    <xf numFmtId="0" fontId="193" fillId="0" borderId="33" xfId="136" applyFont="1" applyBorder="1" applyAlignment="1" applyProtection="1">
      <alignment vertical="center"/>
      <protection locked="0"/>
    </xf>
    <xf numFmtId="0" fontId="192" fillId="0" borderId="3" xfId="128" applyFont="1" applyBorder="1">
      <alignment vertical="center"/>
    </xf>
    <xf numFmtId="0" fontId="193" fillId="69" borderId="34" xfId="136" applyFont="1" applyFill="1" applyBorder="1" applyAlignment="1" applyProtection="1">
      <alignment vertical="center"/>
      <protection locked="0"/>
    </xf>
    <xf numFmtId="176" fontId="195" fillId="33" borderId="16" xfId="136" applyNumberFormat="1" applyFont="1" applyFill="1" applyBorder="1" applyAlignment="1">
      <alignment vertical="center"/>
    </xf>
    <xf numFmtId="176" fontId="195" fillId="33" borderId="27" xfId="136" applyNumberFormat="1" applyFont="1" applyFill="1" applyBorder="1" applyAlignment="1">
      <alignment vertical="center"/>
    </xf>
    <xf numFmtId="176" fontId="204" fillId="42" borderId="36" xfId="128" applyNumberFormat="1" applyFont="1" applyFill="1" applyBorder="1">
      <alignment vertical="center"/>
    </xf>
    <xf numFmtId="0" fontId="193" fillId="69" borderId="51" xfId="136" applyFont="1" applyFill="1" applyBorder="1" applyAlignment="1" applyProtection="1">
      <alignment vertical="center"/>
      <protection locked="0"/>
    </xf>
    <xf numFmtId="0" fontId="193" fillId="72" borderId="51" xfId="136" applyFont="1" applyFill="1" applyBorder="1" applyAlignment="1" applyProtection="1">
      <alignment vertical="center"/>
      <protection locked="0"/>
    </xf>
    <xf numFmtId="0" fontId="193" fillId="72" borderId="14" xfId="136" applyFont="1" applyFill="1" applyBorder="1" applyAlignment="1" applyProtection="1">
      <alignment vertical="center"/>
      <protection locked="0"/>
    </xf>
    <xf numFmtId="0" fontId="193" fillId="43" borderId="51" xfId="136" applyFont="1" applyFill="1" applyBorder="1" applyAlignment="1" applyProtection="1">
      <alignment vertical="center"/>
      <protection locked="0"/>
    </xf>
    <xf numFmtId="0" fontId="193" fillId="27" borderId="29" xfId="136" applyFont="1" applyFill="1" applyBorder="1" applyAlignment="1" applyProtection="1">
      <alignment vertical="center"/>
      <protection locked="0"/>
    </xf>
    <xf numFmtId="0" fontId="193" fillId="0" borderId="14" xfId="136" applyFont="1" applyBorder="1" applyAlignment="1">
      <alignment vertical="center"/>
    </xf>
    <xf numFmtId="0" fontId="193" fillId="0" borderId="14" xfId="128" applyFont="1" applyBorder="1">
      <alignment vertical="center"/>
    </xf>
    <xf numFmtId="0" fontId="193" fillId="0" borderId="29" xfId="128" applyFont="1" applyBorder="1">
      <alignment vertical="center"/>
    </xf>
    <xf numFmtId="0" fontId="193" fillId="27" borderId="18" xfId="128" applyFont="1" applyFill="1" applyBorder="1">
      <alignment vertical="center"/>
    </xf>
    <xf numFmtId="0" fontId="193" fillId="40" borderId="14" xfId="128" applyFont="1" applyFill="1" applyBorder="1">
      <alignment vertical="center"/>
    </xf>
    <xf numFmtId="0" fontId="193" fillId="43" borderId="14" xfId="128" applyFont="1" applyFill="1" applyBorder="1">
      <alignment vertical="center"/>
    </xf>
    <xf numFmtId="0" fontId="193" fillId="43" borderId="29" xfId="128" applyFont="1" applyFill="1" applyBorder="1">
      <alignment vertical="center"/>
    </xf>
    <xf numFmtId="0" fontId="193" fillId="0" borderId="18" xfId="128" applyFont="1" applyBorder="1">
      <alignment vertical="center"/>
    </xf>
    <xf numFmtId="0" fontId="193" fillId="27" borderId="14" xfId="128" applyFont="1" applyFill="1" applyBorder="1">
      <alignment vertical="center"/>
    </xf>
    <xf numFmtId="0" fontId="193" fillId="40" borderId="29" xfId="128" applyFont="1" applyFill="1" applyBorder="1">
      <alignment vertical="center"/>
    </xf>
    <xf numFmtId="0" fontId="193" fillId="0" borderId="33" xfId="128" applyFont="1" applyBorder="1">
      <alignment vertical="center"/>
    </xf>
    <xf numFmtId="0" fontId="193" fillId="0" borderId="36" xfId="128" applyFont="1" applyBorder="1">
      <alignment vertical="center"/>
    </xf>
    <xf numFmtId="0" fontId="193" fillId="40" borderId="33" xfId="128" applyFont="1" applyFill="1" applyBorder="1">
      <alignment vertical="center"/>
    </xf>
    <xf numFmtId="0" fontId="193" fillId="0" borderId="38" xfId="128" applyFont="1" applyBorder="1">
      <alignment vertical="center"/>
    </xf>
    <xf numFmtId="0" fontId="190" fillId="0" borderId="0" xfId="140" applyFont="1"/>
    <xf numFmtId="41" fontId="190" fillId="0" borderId="0" xfId="111" applyFont="1">
      <alignment vertical="center"/>
    </xf>
    <xf numFmtId="0" fontId="190" fillId="0" borderId="0" xfId="140" applyFont="1" applyAlignment="1">
      <alignment vertical="center"/>
    </xf>
    <xf numFmtId="41" fontId="197" fillId="0" borderId="0" xfId="111" applyFont="1" applyAlignment="1">
      <alignment horizontal="center" vertical="center"/>
    </xf>
    <xf numFmtId="0" fontId="197" fillId="0" borderId="0" xfId="140" applyFont="1" applyAlignment="1">
      <alignment vertical="center"/>
    </xf>
    <xf numFmtId="41" fontId="197" fillId="0" borderId="0" xfId="111" applyFont="1">
      <alignment vertical="center"/>
    </xf>
    <xf numFmtId="0" fontId="197" fillId="0" borderId="0" xfId="140" applyFont="1"/>
    <xf numFmtId="0" fontId="236" fillId="69" borderId="0" xfId="140" applyFont="1" applyFill="1" applyAlignment="1">
      <alignment horizontal="center" vertical="center"/>
    </xf>
    <xf numFmtId="41" fontId="236" fillId="0" borderId="0" xfId="140" applyNumberFormat="1" applyFont="1"/>
    <xf numFmtId="0" fontId="222" fillId="0" borderId="14" xfId="140" applyFont="1" applyBorder="1" applyAlignment="1">
      <alignment horizontal="center" vertical="center"/>
    </xf>
    <xf numFmtId="0" fontId="222" fillId="72" borderId="3" xfId="140" applyFont="1" applyFill="1" applyBorder="1" applyAlignment="1">
      <alignment vertical="center"/>
    </xf>
    <xf numFmtId="41" fontId="207" fillId="69" borderId="14" xfId="3706" applyFont="1" applyFill="1" applyBorder="1" applyAlignment="1">
      <alignment horizontal="center" vertical="center"/>
    </xf>
    <xf numFmtId="0" fontId="222" fillId="69" borderId="3" xfId="140" applyFont="1" applyFill="1" applyBorder="1" applyAlignment="1">
      <alignment vertical="center"/>
    </xf>
    <xf numFmtId="41" fontId="207" fillId="69" borderId="19" xfId="3706" applyFont="1" applyFill="1" applyBorder="1" applyAlignment="1">
      <alignment horizontal="center" vertical="center"/>
    </xf>
    <xf numFmtId="41" fontId="207" fillId="69" borderId="3" xfId="3706" applyFont="1" applyFill="1" applyBorder="1" applyAlignment="1">
      <alignment horizontal="center" vertical="center"/>
    </xf>
    <xf numFmtId="41" fontId="207" fillId="69" borderId="29" xfId="3706" applyFont="1" applyFill="1" applyBorder="1" applyAlignment="1">
      <alignment horizontal="center" vertical="center"/>
    </xf>
    <xf numFmtId="41" fontId="207" fillId="69" borderId="27" xfId="3706" applyFont="1" applyFill="1" applyBorder="1" applyAlignment="1">
      <alignment horizontal="center" vertical="center"/>
    </xf>
    <xf numFmtId="41" fontId="207" fillId="69" borderId="36" xfId="3706" applyFont="1" applyFill="1" applyBorder="1" applyAlignment="1">
      <alignment horizontal="center" vertical="center"/>
    </xf>
    <xf numFmtId="41" fontId="207" fillId="69" borderId="34" xfId="3706" applyFont="1" applyFill="1" applyBorder="1" applyAlignment="1">
      <alignment horizontal="center" vertical="center"/>
    </xf>
    <xf numFmtId="41" fontId="207" fillId="69" borderId="69" xfId="3706" applyFont="1" applyFill="1" applyBorder="1" applyAlignment="1">
      <alignment horizontal="center" vertical="center"/>
    </xf>
    <xf numFmtId="41" fontId="207" fillId="69" borderId="23" xfId="3706" applyFont="1" applyFill="1" applyBorder="1" applyAlignment="1">
      <alignment horizontal="center" vertical="center"/>
    </xf>
    <xf numFmtId="41" fontId="207" fillId="69" borderId="51" xfId="3706" applyFont="1" applyFill="1" applyBorder="1" applyAlignment="1">
      <alignment horizontal="center" vertical="center"/>
    </xf>
    <xf numFmtId="41" fontId="207" fillId="69" borderId="52" xfId="3706" applyFont="1" applyFill="1" applyBorder="1" applyAlignment="1">
      <alignment horizontal="center" vertical="center"/>
    </xf>
    <xf numFmtId="41" fontId="207" fillId="69" borderId="18" xfId="3706" applyFont="1" applyFill="1" applyBorder="1" applyAlignment="1">
      <alignment horizontal="center" vertical="center"/>
    </xf>
    <xf numFmtId="41" fontId="207" fillId="69" borderId="42" xfId="3706" applyFont="1" applyFill="1" applyBorder="1" applyAlignment="1">
      <alignment horizontal="center" vertical="center"/>
    </xf>
    <xf numFmtId="41" fontId="207" fillId="69" borderId="44" xfId="3706" applyFont="1" applyFill="1" applyBorder="1" applyAlignment="1">
      <alignment horizontal="center" vertical="center"/>
    </xf>
    <xf numFmtId="41" fontId="207" fillId="69" borderId="25" xfId="3706" applyFont="1" applyFill="1" applyBorder="1" applyAlignment="1">
      <alignment horizontal="center" vertical="center"/>
    </xf>
    <xf numFmtId="41" fontId="207" fillId="69" borderId="24" xfId="3706" applyFont="1" applyFill="1" applyBorder="1" applyAlignment="1">
      <alignment horizontal="center" vertical="center"/>
    </xf>
    <xf numFmtId="41" fontId="207" fillId="69" borderId="64" xfId="3706" applyFont="1" applyFill="1" applyBorder="1" applyAlignment="1">
      <alignment horizontal="center" vertical="center"/>
    </xf>
    <xf numFmtId="41" fontId="207" fillId="69" borderId="43" xfId="3706" applyFont="1" applyFill="1" applyBorder="1" applyAlignment="1">
      <alignment horizontal="center" vertical="center"/>
    </xf>
    <xf numFmtId="41" fontId="207" fillId="69" borderId="16" xfId="3706" applyFont="1" applyFill="1" applyBorder="1" applyAlignment="1">
      <alignment horizontal="center" vertical="center"/>
    </xf>
    <xf numFmtId="41" fontId="207" fillId="69" borderId="62" xfId="3706" applyFont="1" applyFill="1" applyBorder="1" applyAlignment="1">
      <alignment horizontal="center" vertical="center"/>
    </xf>
    <xf numFmtId="41" fontId="207" fillId="69" borderId="38" xfId="3706" applyFont="1" applyFill="1" applyBorder="1" applyAlignment="1">
      <alignment horizontal="center" vertical="center"/>
    </xf>
    <xf numFmtId="41" fontId="207" fillId="69" borderId="37" xfId="3706" applyFont="1" applyFill="1" applyBorder="1" applyAlignment="1">
      <alignment horizontal="center" vertical="center"/>
    </xf>
    <xf numFmtId="0" fontId="222" fillId="69" borderId="23" xfId="140" applyFont="1" applyFill="1" applyBorder="1" applyAlignment="1">
      <alignment horizontal="left" vertical="center"/>
    </xf>
    <xf numFmtId="176" fontId="215" fillId="0" borderId="70" xfId="140" applyNumberFormat="1" applyFont="1" applyBorder="1" applyAlignment="1">
      <alignment horizontal="right" vertical="center"/>
    </xf>
    <xf numFmtId="0" fontId="222" fillId="69" borderId="52" xfId="140" applyFont="1" applyFill="1" applyBorder="1" applyAlignment="1">
      <alignment horizontal="left" vertical="center"/>
    </xf>
    <xf numFmtId="176" fontId="215" fillId="0" borderId="63" xfId="140" applyNumberFormat="1" applyFont="1" applyBorder="1" applyAlignment="1">
      <alignment horizontal="right" vertical="center"/>
    </xf>
    <xf numFmtId="41" fontId="207" fillId="69" borderId="68" xfId="3706" applyFont="1" applyFill="1" applyBorder="1" applyAlignment="1">
      <alignment horizontal="center" vertical="center"/>
    </xf>
    <xf numFmtId="0" fontId="222" fillId="69" borderId="52" xfId="140" applyFont="1" applyFill="1" applyBorder="1" applyAlignment="1">
      <alignment horizontal="center" vertical="center"/>
    </xf>
    <xf numFmtId="41" fontId="226" fillId="35" borderId="52" xfId="159" applyFont="1" applyFill="1" applyBorder="1" applyAlignment="1">
      <alignment horizontal="center"/>
    </xf>
    <xf numFmtId="0" fontId="222" fillId="69" borderId="24" xfId="140" applyFont="1" applyFill="1" applyBorder="1" applyAlignment="1">
      <alignment horizontal="left" vertical="center"/>
    </xf>
    <xf numFmtId="176" fontId="215" fillId="69" borderId="43" xfId="140" applyNumberFormat="1" applyFont="1" applyFill="1" applyBorder="1" applyAlignment="1">
      <alignment horizontal="right" vertical="center"/>
    </xf>
    <xf numFmtId="41" fontId="197" fillId="69" borderId="43" xfId="0" applyNumberFormat="1" applyFont="1" applyFill="1" applyBorder="1">
      <alignment vertical="center"/>
    </xf>
    <xf numFmtId="0" fontId="189" fillId="69" borderId="0" xfId="0" applyFont="1" applyFill="1">
      <alignment vertical="center"/>
    </xf>
    <xf numFmtId="0" fontId="222" fillId="69" borderId="24" xfId="140" applyFont="1" applyFill="1" applyBorder="1" applyAlignment="1">
      <alignment horizontal="center" vertical="center"/>
    </xf>
    <xf numFmtId="0" fontId="203" fillId="0" borderId="27" xfId="135" applyFont="1" applyBorder="1" applyAlignment="1">
      <alignment horizontal="center" vertical="center"/>
    </xf>
    <xf numFmtId="0" fontId="195" fillId="0" borderId="27" xfId="135" applyFont="1" applyBorder="1">
      <alignment vertical="center"/>
    </xf>
    <xf numFmtId="0" fontId="193" fillId="72" borderId="27" xfId="136" applyFont="1" applyFill="1" applyBorder="1" applyAlignment="1">
      <alignment horizontal="center" vertical="center"/>
    </xf>
    <xf numFmtId="41" fontId="226" fillId="35" borderId="46" xfId="159" applyFont="1" applyFill="1" applyBorder="1" applyAlignment="1">
      <alignment horizontal="center"/>
    </xf>
    <xf numFmtId="181" fontId="222" fillId="0" borderId="23" xfId="122" applyNumberFormat="1" applyFont="1" applyBorder="1" applyAlignment="1">
      <alignment horizontal="center" vertical="center"/>
    </xf>
    <xf numFmtId="41" fontId="196" fillId="96" borderId="52" xfId="116" applyFont="1" applyFill="1" applyBorder="1" applyAlignment="1">
      <alignment horizontal="center" vertical="center"/>
    </xf>
    <xf numFmtId="0" fontId="230" fillId="0" borderId="37" xfId="128" applyFont="1" applyBorder="1" applyAlignment="1">
      <alignment horizontal="center" vertical="center"/>
    </xf>
    <xf numFmtId="0" fontId="208" fillId="97" borderId="3" xfId="128" applyFont="1" applyFill="1" applyBorder="1" applyAlignment="1">
      <alignment horizontal="center" vertical="center"/>
    </xf>
    <xf numFmtId="0" fontId="230" fillId="97" borderId="3" xfId="128" applyFont="1" applyFill="1" applyBorder="1" applyAlignment="1">
      <alignment horizontal="center" vertical="center"/>
    </xf>
    <xf numFmtId="0" fontId="222" fillId="69" borderId="31" xfId="140" applyFont="1" applyFill="1" applyBorder="1" applyAlignment="1">
      <alignment horizontal="center" vertical="center"/>
    </xf>
    <xf numFmtId="0" fontId="222" fillId="69" borderId="31" xfId="140" applyFont="1" applyFill="1" applyBorder="1" applyAlignment="1">
      <alignment horizontal="left" vertical="center"/>
    </xf>
    <xf numFmtId="41" fontId="207" fillId="69" borderId="33" xfId="3706" applyFont="1" applyFill="1" applyBorder="1" applyAlignment="1">
      <alignment horizontal="center" vertical="center"/>
    </xf>
    <xf numFmtId="41" fontId="207" fillId="69" borderId="31" xfId="3706" applyFont="1" applyFill="1" applyBorder="1" applyAlignment="1">
      <alignment horizontal="center" vertical="center"/>
    </xf>
    <xf numFmtId="176" fontId="215" fillId="0" borderId="75" xfId="140" applyNumberFormat="1" applyFont="1" applyBorder="1" applyAlignment="1">
      <alignment horizontal="right" vertical="center"/>
    </xf>
    <xf numFmtId="41" fontId="226" fillId="35" borderId="24" xfId="159" applyFont="1" applyFill="1" applyBorder="1" applyAlignment="1">
      <alignment horizontal="center"/>
    </xf>
    <xf numFmtId="176" fontId="195" fillId="33" borderId="52" xfId="136" applyNumberFormat="1" applyFont="1" applyFill="1" applyBorder="1" applyAlignment="1">
      <alignment vertical="center"/>
    </xf>
    <xf numFmtId="0" fontId="211" fillId="69" borderId="0" xfId="128" applyFont="1" applyFill="1">
      <alignment vertical="center"/>
    </xf>
    <xf numFmtId="0" fontId="192" fillId="69" borderId="0" xfId="128" applyFont="1" applyFill="1">
      <alignment vertical="center"/>
    </xf>
    <xf numFmtId="0" fontId="192" fillId="100" borderId="0" xfId="136" applyFont="1" applyFill="1" applyAlignment="1">
      <alignment horizontal="center" vertical="center"/>
    </xf>
    <xf numFmtId="0" fontId="176" fillId="69" borderId="0" xfId="136" applyFont="1" applyFill="1" applyAlignment="1">
      <alignment horizontal="center" vertical="center" wrapText="1"/>
    </xf>
    <xf numFmtId="0" fontId="193" fillId="69" borderId="0" xfId="136" applyFont="1" applyFill="1" applyAlignment="1">
      <alignment horizontal="center" vertical="center"/>
    </xf>
    <xf numFmtId="0" fontId="193" fillId="69" borderId="0" xfId="136" applyFont="1" applyFill="1" applyAlignment="1" applyProtection="1">
      <alignment vertical="center"/>
      <protection locked="0"/>
    </xf>
    <xf numFmtId="0" fontId="192" fillId="69" borderId="0" xfId="136" applyFont="1" applyFill="1" applyAlignment="1">
      <alignment horizontal="center" vertical="center"/>
    </xf>
    <xf numFmtId="176" fontId="195" fillId="69" borderId="0" xfId="136" applyNumberFormat="1" applyFont="1" applyFill="1" applyAlignment="1">
      <alignment vertical="center"/>
    </xf>
    <xf numFmtId="176" fontId="195" fillId="69" borderId="0" xfId="136" applyNumberFormat="1" applyFont="1" applyFill="1" applyAlignment="1">
      <alignment horizontal="center" vertical="center"/>
    </xf>
    <xf numFmtId="176" fontId="215" fillId="0" borderId="53" xfId="140" applyNumberFormat="1" applyFont="1" applyBorder="1" applyAlignment="1">
      <alignment horizontal="right" vertical="center"/>
    </xf>
    <xf numFmtId="41" fontId="207" fillId="69" borderId="32" xfId="3706" applyFont="1" applyFill="1" applyBorder="1" applyAlignment="1">
      <alignment horizontal="center" vertical="center"/>
    </xf>
    <xf numFmtId="41" fontId="207" fillId="69" borderId="53" xfId="3706" applyFont="1" applyFill="1" applyBorder="1" applyAlignment="1">
      <alignment horizontal="center" vertical="center"/>
    </xf>
    <xf numFmtId="43" fontId="226" fillId="35" borderId="27" xfId="159" applyNumberFormat="1" applyFont="1" applyFill="1" applyBorder="1" applyAlignment="1">
      <alignment horizontal="center"/>
    </xf>
    <xf numFmtId="176" fontId="215" fillId="69" borderId="53" xfId="140" applyNumberFormat="1" applyFont="1" applyFill="1" applyBorder="1" applyAlignment="1">
      <alignment horizontal="right" vertical="center"/>
    </xf>
    <xf numFmtId="176" fontId="215" fillId="69" borderId="63" xfId="140" applyNumberFormat="1" applyFont="1" applyFill="1" applyBorder="1" applyAlignment="1">
      <alignment horizontal="right" vertical="center"/>
    </xf>
    <xf numFmtId="0" fontId="222" fillId="69" borderId="25" xfId="140" applyFont="1" applyFill="1" applyBorder="1" applyAlignment="1">
      <alignment horizontal="center" vertical="center"/>
    </xf>
    <xf numFmtId="176" fontId="215" fillId="69" borderId="64" xfId="140" applyNumberFormat="1" applyFont="1" applyFill="1" applyBorder="1" applyAlignment="1">
      <alignment horizontal="right" vertical="center"/>
    </xf>
    <xf numFmtId="41" fontId="226" fillId="35" borderId="37" xfId="159" applyFont="1" applyFill="1" applyBorder="1" applyAlignment="1">
      <alignment horizontal="center"/>
    </xf>
    <xf numFmtId="183" fontId="207" fillId="69" borderId="23" xfId="3706" applyNumberFormat="1" applyFont="1" applyFill="1" applyBorder="1" applyAlignment="1">
      <alignment horizontal="center" vertical="center"/>
    </xf>
    <xf numFmtId="183" fontId="207" fillId="69" borderId="27" xfId="3706" applyNumberFormat="1" applyFont="1" applyFill="1" applyBorder="1" applyAlignment="1">
      <alignment horizontal="center" vertical="center"/>
    </xf>
    <xf numFmtId="41" fontId="197" fillId="69" borderId="44" xfId="0" applyNumberFormat="1" applyFont="1" applyFill="1" applyBorder="1">
      <alignment vertical="center"/>
    </xf>
    <xf numFmtId="176" fontId="207" fillId="69" borderId="19" xfId="3706" applyNumberFormat="1" applyFont="1" applyFill="1" applyBorder="1" applyAlignment="1">
      <alignment horizontal="center" vertical="center"/>
    </xf>
    <xf numFmtId="0" fontId="203" fillId="0" borderId="51" xfId="135" applyFont="1" applyBorder="1" applyAlignment="1">
      <alignment horizontal="center" vertical="center"/>
    </xf>
    <xf numFmtId="0" fontId="195" fillId="0" borderId="52" xfId="135" applyFont="1" applyBorder="1">
      <alignment vertical="center"/>
    </xf>
    <xf numFmtId="176" fontId="207" fillId="69" borderId="37" xfId="3706" applyNumberFormat="1" applyFont="1" applyFill="1" applyBorder="1" applyAlignment="1">
      <alignment horizontal="center" vertical="center"/>
    </xf>
    <xf numFmtId="41" fontId="197" fillId="69" borderId="42" xfId="0" applyNumberFormat="1" applyFont="1" applyFill="1" applyBorder="1">
      <alignment vertical="center"/>
    </xf>
    <xf numFmtId="0" fontId="193" fillId="69" borderId="19" xfId="136" applyFont="1" applyFill="1" applyBorder="1" applyAlignment="1">
      <alignment horizontal="center" vertical="center"/>
    </xf>
    <xf numFmtId="0" fontId="193" fillId="69" borderId="23" xfId="136" applyFont="1" applyFill="1" applyBorder="1" applyAlignment="1">
      <alignment horizontal="center" vertical="center"/>
    </xf>
    <xf numFmtId="0" fontId="193" fillId="69" borderId="3" xfId="136" applyFont="1" applyFill="1" applyBorder="1" applyAlignment="1">
      <alignment horizontal="center" vertical="center"/>
    </xf>
    <xf numFmtId="41" fontId="226" fillId="35" borderId="31" xfId="159" applyFont="1" applyFill="1" applyBorder="1" applyAlignment="1">
      <alignment horizontal="center"/>
    </xf>
    <xf numFmtId="0" fontId="215" fillId="69" borderId="41" xfId="140" applyFont="1" applyFill="1" applyBorder="1" applyAlignment="1">
      <alignment horizontal="center" vertical="center"/>
    </xf>
    <xf numFmtId="0" fontId="222" fillId="69" borderId="27" xfId="140" applyFont="1" applyFill="1" applyBorder="1" applyAlignment="1">
      <alignment vertical="center"/>
    </xf>
    <xf numFmtId="0" fontId="193" fillId="89" borderId="69" xfId="136" applyFont="1" applyFill="1" applyBorder="1" applyAlignment="1" applyProtection="1">
      <alignment vertical="center"/>
      <protection locked="0"/>
    </xf>
    <xf numFmtId="0" fontId="193" fillId="89" borderId="87" xfId="136" applyFont="1" applyFill="1" applyBorder="1" applyAlignment="1" applyProtection="1">
      <alignment vertical="center"/>
      <protection locked="0"/>
    </xf>
    <xf numFmtId="0" fontId="193" fillId="89" borderId="23" xfId="136" applyFont="1" applyFill="1" applyBorder="1" applyAlignment="1" applyProtection="1">
      <alignment vertical="center"/>
      <protection locked="0"/>
    </xf>
    <xf numFmtId="0" fontId="193" fillId="43" borderId="19" xfId="136" applyFont="1" applyFill="1" applyBorder="1" applyAlignment="1">
      <alignment horizontal="center" vertical="center"/>
    </xf>
    <xf numFmtId="41" fontId="195" fillId="70" borderId="23" xfId="116" applyFont="1" applyFill="1" applyBorder="1">
      <alignment vertical="center"/>
    </xf>
    <xf numFmtId="41" fontId="195" fillId="41" borderId="70" xfId="116" applyFont="1" applyFill="1" applyBorder="1">
      <alignment vertical="center"/>
    </xf>
    <xf numFmtId="0" fontId="192" fillId="28" borderId="78" xfId="136" applyFont="1" applyFill="1" applyBorder="1" applyAlignment="1">
      <alignment horizontal="center" vertical="center"/>
    </xf>
    <xf numFmtId="0" fontId="193" fillId="27" borderId="40" xfId="136" applyFont="1" applyFill="1" applyBorder="1" applyAlignment="1">
      <alignment horizontal="center" vertical="center"/>
    </xf>
    <xf numFmtId="0" fontId="193" fillId="0" borderId="2" xfId="136" applyFont="1" applyBorder="1" applyAlignment="1">
      <alignment horizontal="center" vertical="center"/>
    </xf>
    <xf numFmtId="0" fontId="192" fillId="28" borderId="45" xfId="136" applyFont="1" applyFill="1" applyBorder="1" applyAlignment="1">
      <alignment horizontal="center" vertical="center"/>
    </xf>
    <xf numFmtId="0" fontId="193" fillId="40" borderId="28" xfId="136" applyFont="1" applyFill="1" applyBorder="1" applyAlignment="1">
      <alignment horizontal="center" vertical="center"/>
    </xf>
    <xf numFmtId="0" fontId="193" fillId="43" borderId="20" xfId="136" applyFont="1" applyFill="1" applyBorder="1" applyAlignment="1">
      <alignment horizontal="center" vertical="center"/>
    </xf>
    <xf numFmtId="41" fontId="194" fillId="0" borderId="52" xfId="116" applyFont="1" applyBorder="1" applyAlignment="1">
      <alignment horizontal="center" vertical="center"/>
    </xf>
    <xf numFmtId="41" fontId="194" fillId="0" borderId="24" xfId="116" applyFont="1" applyBorder="1" applyAlignment="1">
      <alignment horizontal="center" vertical="center"/>
    </xf>
    <xf numFmtId="183" fontId="207" fillId="69" borderId="31" xfId="3706" applyNumberFormat="1" applyFont="1" applyFill="1" applyBorder="1" applyAlignment="1">
      <alignment horizontal="center" vertical="center"/>
    </xf>
    <xf numFmtId="43" fontId="226" fillId="35" borderId="52" xfId="159" applyNumberFormat="1" applyFont="1" applyFill="1" applyBorder="1" applyAlignment="1">
      <alignment horizontal="center"/>
    </xf>
    <xf numFmtId="0" fontId="193" fillId="69" borderId="20" xfId="136" applyFont="1" applyFill="1" applyBorder="1" applyAlignment="1">
      <alignment horizontal="center" vertical="center"/>
    </xf>
    <xf numFmtId="0" fontId="193" fillId="69" borderId="15" xfId="136" applyFont="1" applyFill="1" applyBorder="1" applyAlignment="1">
      <alignment horizontal="center" vertical="center"/>
    </xf>
    <xf numFmtId="0" fontId="193" fillId="69" borderId="56" xfId="136" applyFont="1" applyFill="1" applyBorder="1" applyAlignment="1">
      <alignment horizontal="center" vertical="center"/>
    </xf>
    <xf numFmtId="0" fontId="193" fillId="72" borderId="24" xfId="136" applyFont="1" applyFill="1" applyBorder="1" applyAlignment="1">
      <alignment horizontal="center" vertical="center"/>
    </xf>
    <xf numFmtId="0" fontId="193" fillId="72" borderId="3" xfId="136" applyFont="1" applyFill="1" applyBorder="1" applyAlignment="1">
      <alignment horizontal="center" vertical="center"/>
    </xf>
    <xf numFmtId="41" fontId="194" fillId="0" borderId="37" xfId="116" applyFont="1" applyBorder="1" applyAlignment="1">
      <alignment horizontal="center" vertical="center"/>
    </xf>
    <xf numFmtId="0" fontId="193" fillId="89" borderId="3" xfId="136" applyFont="1" applyFill="1" applyBorder="1" applyAlignment="1">
      <alignment horizontal="center" vertical="center"/>
    </xf>
    <xf numFmtId="0" fontId="193" fillId="90" borderId="3" xfId="136" applyFont="1" applyFill="1" applyBorder="1" applyAlignment="1">
      <alignment horizontal="center" vertical="center"/>
    </xf>
    <xf numFmtId="0" fontId="222" fillId="69" borderId="52" xfId="140" applyFont="1" applyFill="1" applyBorder="1" applyAlignment="1">
      <alignment vertical="center"/>
    </xf>
    <xf numFmtId="41" fontId="197" fillId="69" borderId="32" xfId="3720" applyFont="1" applyFill="1" applyBorder="1" applyAlignment="1">
      <alignment horizontal="center" vertical="center"/>
    </xf>
    <xf numFmtId="41" fontId="194" fillId="0" borderId="31" xfId="116" applyFont="1" applyBorder="1" applyAlignment="1">
      <alignment horizontal="center" vertical="center"/>
    </xf>
    <xf numFmtId="41" fontId="197" fillId="69" borderId="3" xfId="3720" applyFont="1" applyFill="1" applyBorder="1" applyAlignment="1">
      <alignment horizontal="center" vertical="center"/>
    </xf>
    <xf numFmtId="41" fontId="197" fillId="69" borderId="52" xfId="3720" applyFont="1" applyFill="1" applyBorder="1" applyAlignment="1">
      <alignment horizontal="center" vertical="center"/>
    </xf>
    <xf numFmtId="41" fontId="197" fillId="69" borderId="24" xfId="3720" applyFont="1" applyFill="1" applyBorder="1" applyAlignment="1">
      <alignment horizontal="center" vertical="center"/>
    </xf>
    <xf numFmtId="41" fontId="197" fillId="69" borderId="3" xfId="3706" applyFont="1" applyFill="1" applyBorder="1" applyAlignment="1">
      <alignment horizontal="center" vertical="center"/>
    </xf>
    <xf numFmtId="41" fontId="197" fillId="69" borderId="26" xfId="3720" applyFont="1" applyFill="1" applyBorder="1" applyAlignment="1">
      <alignment horizontal="center" vertical="center"/>
    </xf>
    <xf numFmtId="0" fontId="203" fillId="0" borderId="3" xfId="140" applyFont="1" applyBorder="1" applyAlignment="1">
      <alignment horizontal="left" vertical="center"/>
    </xf>
    <xf numFmtId="0" fontId="238" fillId="0" borderId="3" xfId="140" applyFont="1" applyBorder="1" applyAlignment="1">
      <alignment horizontal="center" vertical="center"/>
    </xf>
    <xf numFmtId="0" fontId="238" fillId="0" borderId="3" xfId="140" applyFont="1" applyBorder="1" applyAlignment="1">
      <alignment vertical="center"/>
    </xf>
    <xf numFmtId="0" fontId="238" fillId="0" borderId="3" xfId="140" applyFont="1" applyBorder="1" applyAlignment="1">
      <alignment horizontal="left" vertical="center"/>
    </xf>
    <xf numFmtId="41" fontId="197" fillId="69" borderId="19" xfId="3720" applyFont="1" applyFill="1" applyBorder="1" applyAlignment="1">
      <alignment horizontal="center" vertical="center"/>
    </xf>
    <xf numFmtId="41" fontId="197" fillId="69" borderId="21" xfId="3720" applyFont="1" applyFill="1" applyBorder="1" applyAlignment="1">
      <alignment horizontal="center" vertical="center"/>
    </xf>
    <xf numFmtId="41" fontId="197" fillId="69" borderId="16" xfId="3720" applyFont="1" applyFill="1" applyBorder="1" applyAlignment="1">
      <alignment horizontal="center" vertical="center"/>
    </xf>
    <xf numFmtId="41" fontId="197" fillId="69" borderId="31" xfId="3720" applyFont="1" applyFill="1" applyBorder="1" applyAlignment="1">
      <alignment horizontal="center" vertical="center"/>
    </xf>
    <xf numFmtId="177" fontId="197" fillId="69" borderId="39" xfId="116" applyNumberFormat="1" applyFont="1" applyFill="1" applyBorder="1" applyAlignment="1">
      <alignment horizontal="center" vertical="center"/>
    </xf>
    <xf numFmtId="177" fontId="197" fillId="69" borderId="39" xfId="3720" applyNumberFormat="1" applyFont="1" applyFill="1" applyBorder="1" applyAlignment="1">
      <alignment horizontal="center" vertical="center"/>
    </xf>
    <xf numFmtId="177" fontId="197" fillId="69" borderId="37" xfId="3720" applyNumberFormat="1" applyFont="1" applyFill="1" applyBorder="1" applyAlignment="1">
      <alignment horizontal="center" vertical="center"/>
    </xf>
    <xf numFmtId="177" fontId="197" fillId="69" borderId="24" xfId="140" applyNumberFormat="1" applyFont="1" applyFill="1" applyBorder="1" applyAlignment="1">
      <alignment vertical="center"/>
    </xf>
    <xf numFmtId="177" fontId="197" fillId="69" borderId="3" xfId="116" applyNumberFormat="1" applyFont="1" applyFill="1" applyBorder="1" applyAlignment="1">
      <alignment horizontal="center" vertical="center"/>
    </xf>
    <xf numFmtId="177" fontId="197" fillId="69" borderId="16" xfId="3720" applyNumberFormat="1" applyFont="1" applyFill="1" applyBorder="1" applyAlignment="1">
      <alignment horizontal="center" vertical="center"/>
    </xf>
    <xf numFmtId="177" fontId="197" fillId="69" borderId="3" xfId="3720" applyNumberFormat="1" applyFont="1" applyFill="1" applyBorder="1" applyAlignment="1">
      <alignment horizontal="center" vertical="center"/>
    </xf>
    <xf numFmtId="177" fontId="197" fillId="69" borderId="27" xfId="116" applyNumberFormat="1" applyFont="1" applyFill="1" applyBorder="1" applyAlignment="1">
      <alignment horizontal="center" vertical="center"/>
    </xf>
    <xf numFmtId="177" fontId="197" fillId="69" borderId="30" xfId="3720" applyNumberFormat="1" applyFont="1" applyFill="1" applyBorder="1" applyAlignment="1">
      <alignment horizontal="center" vertical="center"/>
    </xf>
    <xf numFmtId="177" fontId="197" fillId="69" borderId="27" xfId="3720" applyNumberFormat="1" applyFont="1" applyFill="1" applyBorder="1" applyAlignment="1">
      <alignment horizontal="center" vertical="center"/>
    </xf>
    <xf numFmtId="41" fontId="197" fillId="69" borderId="34" xfId="3720" applyFont="1" applyFill="1" applyBorder="1" applyAlignment="1">
      <alignment horizontal="center" vertical="center"/>
    </xf>
    <xf numFmtId="41" fontId="197" fillId="69" borderId="35" xfId="3720" applyFont="1" applyFill="1" applyBorder="1" applyAlignment="1">
      <alignment horizontal="center" vertical="center"/>
    </xf>
    <xf numFmtId="41" fontId="197" fillId="69" borderId="37" xfId="3720" applyFont="1" applyFill="1" applyBorder="1" applyAlignment="1">
      <alignment horizontal="center" vertical="center"/>
    </xf>
    <xf numFmtId="41" fontId="197" fillId="69" borderId="39" xfId="3720" applyFont="1" applyFill="1" applyBorder="1" applyAlignment="1">
      <alignment horizontal="center" vertical="center"/>
    </xf>
    <xf numFmtId="41" fontId="197" fillId="69" borderId="27" xfId="3720" applyFont="1" applyFill="1" applyBorder="1" applyAlignment="1">
      <alignment horizontal="center" vertical="center"/>
    </xf>
    <xf numFmtId="41" fontId="197" fillId="69" borderId="51" xfId="3706" applyFont="1" applyFill="1" applyBorder="1" applyAlignment="1">
      <alignment horizontal="center" vertical="center"/>
    </xf>
    <xf numFmtId="41" fontId="197" fillId="69" borderId="52" xfId="3706" applyFont="1" applyFill="1" applyBorder="1" applyAlignment="1">
      <alignment horizontal="center" vertical="center"/>
    </xf>
    <xf numFmtId="41" fontId="197" fillId="69" borderId="63" xfId="3706" applyFont="1" applyFill="1" applyBorder="1" applyAlignment="1">
      <alignment horizontal="center" vertical="center"/>
    </xf>
    <xf numFmtId="41" fontId="197" fillId="69" borderId="14" xfId="3706" applyFont="1" applyFill="1" applyBorder="1" applyAlignment="1">
      <alignment horizontal="center" vertical="center"/>
    </xf>
    <xf numFmtId="41" fontId="197" fillId="69" borderId="16" xfId="3706" applyFont="1" applyFill="1" applyBorder="1" applyAlignment="1">
      <alignment horizontal="center" vertical="center"/>
    </xf>
    <xf numFmtId="41" fontId="197" fillId="69" borderId="62" xfId="3706" applyFont="1" applyFill="1" applyBorder="1" applyAlignment="1">
      <alignment horizontal="center" vertical="center"/>
    </xf>
    <xf numFmtId="41" fontId="197" fillId="69" borderId="43" xfId="3706" applyFont="1" applyFill="1" applyBorder="1" applyAlignment="1">
      <alignment horizontal="center" vertical="center"/>
    </xf>
    <xf numFmtId="41" fontId="197" fillId="69" borderId="15" xfId="3706" applyFont="1" applyFill="1" applyBorder="1" applyAlignment="1">
      <alignment horizontal="center" vertical="center"/>
    </xf>
    <xf numFmtId="41" fontId="197" fillId="69" borderId="56" xfId="3706" applyFont="1" applyFill="1" applyBorder="1" applyAlignment="1">
      <alignment horizontal="center" vertical="center"/>
    </xf>
    <xf numFmtId="41" fontId="197" fillId="69" borderId="57" xfId="3706" applyFont="1" applyFill="1" applyBorder="1" applyAlignment="1">
      <alignment horizontal="center" vertical="center"/>
    </xf>
    <xf numFmtId="41" fontId="197" fillId="69" borderId="24" xfId="3706" applyFont="1" applyFill="1" applyBorder="1" applyAlignment="1">
      <alignment horizontal="center" vertical="center"/>
    </xf>
    <xf numFmtId="41" fontId="197" fillId="69" borderId="26" xfId="3706" applyFont="1" applyFill="1" applyBorder="1" applyAlignment="1">
      <alignment horizontal="center" vertical="center"/>
    </xf>
    <xf numFmtId="41" fontId="197" fillId="69" borderId="18" xfId="3706" applyFont="1" applyFill="1" applyBorder="1" applyAlignment="1">
      <alignment horizontal="center" vertical="center"/>
    </xf>
    <xf numFmtId="41" fontId="197" fillId="69" borderId="19" xfId="3706" applyFont="1" applyFill="1" applyBorder="1" applyAlignment="1">
      <alignment horizontal="center" vertical="center"/>
    </xf>
    <xf numFmtId="41" fontId="197" fillId="69" borderId="29" xfId="3706" applyFont="1" applyFill="1" applyBorder="1" applyAlignment="1">
      <alignment horizontal="center" vertical="center"/>
    </xf>
    <xf numFmtId="41" fontId="197" fillId="69" borderId="27" xfId="3706" applyFont="1" applyFill="1" applyBorder="1" applyAlignment="1">
      <alignment horizontal="center" vertical="center"/>
    </xf>
    <xf numFmtId="41" fontId="197" fillId="69" borderId="24" xfId="3706" applyFont="1" applyFill="1" applyBorder="1" applyAlignment="1">
      <alignment horizontal="right" vertical="center"/>
    </xf>
    <xf numFmtId="41" fontId="197" fillId="69" borderId="64" xfId="3706" applyFont="1" applyFill="1" applyBorder="1" applyAlignment="1">
      <alignment horizontal="center" vertical="center"/>
    </xf>
    <xf numFmtId="0" fontId="197" fillId="69" borderId="3" xfId="140" applyFont="1" applyFill="1" applyBorder="1"/>
    <xf numFmtId="0" fontId="197" fillId="69" borderId="52" xfId="140" applyFont="1" applyFill="1" applyBorder="1"/>
    <xf numFmtId="41" fontId="197" fillId="69" borderId="52" xfId="3706" applyFont="1" applyFill="1" applyBorder="1" applyAlignment="1"/>
    <xf numFmtId="41" fontId="197" fillId="69" borderId="52" xfId="3706" applyFont="1" applyFill="1" applyBorder="1" applyAlignment="1">
      <alignment horizontal="center"/>
    </xf>
    <xf numFmtId="0" fontId="197" fillId="69" borderId="52" xfId="140" applyFont="1" applyFill="1" applyBorder="1" applyAlignment="1">
      <alignment horizontal="center"/>
    </xf>
    <xf numFmtId="0" fontId="197" fillId="69" borderId="63" xfId="140" applyFont="1" applyFill="1" applyBorder="1"/>
    <xf numFmtId="41" fontId="197" fillId="69" borderId="3" xfId="3706" applyFont="1" applyFill="1" applyBorder="1" applyAlignment="1">
      <alignment horizontal="center"/>
    </xf>
    <xf numFmtId="41" fontId="197" fillId="69" borderId="18" xfId="3706" applyFont="1" applyFill="1" applyBorder="1" applyAlignment="1">
      <alignment vertical="center"/>
    </xf>
    <xf numFmtId="41" fontId="197" fillId="69" borderId="19" xfId="3706" applyFont="1" applyFill="1" applyBorder="1" applyAlignment="1">
      <alignment horizontal="center"/>
    </xf>
    <xf numFmtId="41" fontId="197" fillId="69" borderId="19" xfId="3706" applyFont="1" applyFill="1" applyBorder="1" applyAlignment="1">
      <alignment vertical="center"/>
    </xf>
    <xf numFmtId="41" fontId="197" fillId="69" borderId="14" xfId="3706" applyFont="1" applyFill="1" applyBorder="1" applyAlignment="1">
      <alignment vertical="center"/>
    </xf>
    <xf numFmtId="41" fontId="197" fillId="69" borderId="3" xfId="3706" applyFont="1" applyFill="1" applyBorder="1" applyAlignment="1">
      <alignment vertical="center"/>
    </xf>
    <xf numFmtId="41" fontId="197" fillId="69" borderId="3" xfId="3706" applyFont="1" applyFill="1" applyBorder="1" applyAlignment="1">
      <alignment horizontal="right" vertical="center"/>
    </xf>
    <xf numFmtId="41" fontId="197" fillId="69" borderId="3" xfId="140" applyNumberFormat="1" applyFont="1" applyFill="1" applyBorder="1" applyAlignment="1">
      <alignment horizontal="center" vertical="center"/>
    </xf>
    <xf numFmtId="41" fontId="197" fillId="69" borderId="43" xfId="140" applyNumberFormat="1" applyFont="1" applyFill="1" applyBorder="1" applyAlignment="1">
      <alignment horizontal="center" vertical="center"/>
    </xf>
    <xf numFmtId="41" fontId="197" fillId="69" borderId="14" xfId="140" applyNumberFormat="1" applyFont="1" applyFill="1" applyBorder="1" applyAlignment="1">
      <alignment horizontal="center" vertical="center"/>
    </xf>
    <xf numFmtId="41" fontId="197" fillId="69" borderId="51" xfId="140" applyNumberFormat="1" applyFont="1" applyFill="1" applyBorder="1" applyAlignment="1">
      <alignment horizontal="center" vertical="center"/>
    </xf>
    <xf numFmtId="41" fontId="197" fillId="69" borderId="27" xfId="140" applyNumberFormat="1" applyFont="1" applyFill="1" applyBorder="1" applyAlignment="1">
      <alignment horizontal="center" vertical="center"/>
    </xf>
    <xf numFmtId="41" fontId="245" fillId="69" borderId="3" xfId="3706" applyFont="1" applyFill="1" applyBorder="1" applyAlignment="1">
      <alignment horizontal="center" vertical="center"/>
    </xf>
    <xf numFmtId="41" fontId="245" fillId="69" borderId="19" xfId="3706" applyFont="1" applyFill="1" applyBorder="1" applyAlignment="1">
      <alignment horizontal="center" vertical="center"/>
    </xf>
    <xf numFmtId="176" fontId="195" fillId="71" borderId="70" xfId="136" applyNumberFormat="1" applyFont="1" applyFill="1" applyBorder="1" applyAlignment="1">
      <alignment vertical="center"/>
    </xf>
    <xf numFmtId="176" fontId="195" fillId="71" borderId="43" xfId="136" applyNumberFormat="1" applyFont="1" applyFill="1" applyBorder="1" applyAlignment="1">
      <alignment vertical="center"/>
    </xf>
    <xf numFmtId="176" fontId="195" fillId="71" borderId="64" xfId="136" applyNumberFormat="1" applyFont="1" applyFill="1" applyBorder="1" applyAlignment="1">
      <alignment vertical="center"/>
    </xf>
    <xf numFmtId="176" fontId="195" fillId="71" borderId="23" xfId="136" applyNumberFormat="1" applyFont="1" applyFill="1" applyBorder="1" applyAlignment="1">
      <alignment vertical="center"/>
    </xf>
    <xf numFmtId="176" fontId="195" fillId="71" borderId="3" xfId="136" applyNumberFormat="1" applyFont="1" applyFill="1" applyBorder="1" applyAlignment="1">
      <alignment vertical="center"/>
    </xf>
    <xf numFmtId="176" fontId="195" fillId="71" borderId="24" xfId="136" applyNumberFormat="1" applyFont="1" applyFill="1" applyBorder="1" applyAlignment="1">
      <alignment vertical="center"/>
    </xf>
    <xf numFmtId="0" fontId="193" fillId="40" borderId="66" xfId="136" applyFont="1" applyFill="1" applyBorder="1" applyAlignment="1">
      <alignment horizontal="center" vertical="center"/>
    </xf>
    <xf numFmtId="0" fontId="193" fillId="40" borderId="37" xfId="136" applyFont="1" applyFill="1" applyBorder="1" applyAlignment="1">
      <alignment horizontal="center" vertical="center"/>
    </xf>
    <xf numFmtId="0" fontId="193" fillId="40" borderId="37" xfId="136" applyFont="1" applyFill="1" applyBorder="1" applyAlignment="1" applyProtection="1">
      <alignment vertical="center"/>
      <protection locked="0"/>
    </xf>
    <xf numFmtId="41" fontId="195" fillId="70" borderId="52" xfId="116" applyFont="1" applyFill="1" applyBorder="1">
      <alignment vertical="center"/>
    </xf>
    <xf numFmtId="0" fontId="193" fillId="89" borderId="20" xfId="136" applyFont="1" applyFill="1" applyBorder="1" applyAlignment="1">
      <alignment horizontal="center" vertical="center"/>
    </xf>
    <xf numFmtId="0" fontId="193" fillId="89" borderId="19" xfId="136" applyFont="1" applyFill="1" applyBorder="1" applyAlignment="1">
      <alignment horizontal="center" vertical="center"/>
    </xf>
    <xf numFmtId="0" fontId="193" fillId="89" borderId="19" xfId="136" applyFont="1" applyFill="1" applyBorder="1" applyAlignment="1" applyProtection="1">
      <alignment vertical="center"/>
      <protection locked="0"/>
    </xf>
    <xf numFmtId="182" fontId="203" fillId="72" borderId="3" xfId="129" applyNumberFormat="1" applyFont="1" applyFill="1" applyBorder="1" applyAlignment="1">
      <alignment horizontal="center" vertical="center"/>
    </xf>
    <xf numFmtId="0" fontId="189" fillId="0" borderId="0" xfId="136" applyFont="1" applyAlignment="1">
      <alignment vertical="center"/>
    </xf>
    <xf numFmtId="176" fontId="189" fillId="0" borderId="0" xfId="136" applyNumberFormat="1" applyFont="1" applyAlignment="1">
      <alignment vertical="center"/>
    </xf>
    <xf numFmtId="0" fontId="189" fillId="16" borderId="34" xfId="136" applyFont="1" applyFill="1" applyBorder="1" applyAlignment="1">
      <alignment horizontal="center" vertical="center"/>
    </xf>
    <xf numFmtId="41" fontId="246" fillId="81" borderId="19" xfId="116" applyFont="1" applyFill="1" applyBorder="1">
      <alignment vertical="center"/>
    </xf>
    <xf numFmtId="41" fontId="246" fillId="81" borderId="24" xfId="116" applyFont="1" applyFill="1" applyBorder="1">
      <alignment vertical="center"/>
    </xf>
    <xf numFmtId="41" fontId="246" fillId="81" borderId="3" xfId="116" applyFont="1" applyFill="1" applyBorder="1">
      <alignment vertical="center"/>
    </xf>
    <xf numFmtId="41" fontId="246" fillId="81" borderId="52" xfId="116" applyFont="1" applyFill="1" applyBorder="1">
      <alignment vertical="center"/>
    </xf>
    <xf numFmtId="41" fontId="246" fillId="81" borderId="27" xfId="116" applyFont="1" applyFill="1" applyBorder="1">
      <alignment vertical="center"/>
    </xf>
    <xf numFmtId="176" fontId="247" fillId="0" borderId="0" xfId="136" applyNumberFormat="1" applyFont="1" applyAlignment="1">
      <alignment vertical="center"/>
    </xf>
    <xf numFmtId="0" fontId="189" fillId="0" borderId="0" xfId="128" applyFont="1">
      <alignment vertical="center"/>
    </xf>
    <xf numFmtId="0" fontId="248" fillId="0" borderId="4" xfId="140" applyFont="1" applyBorder="1" applyAlignment="1">
      <alignment vertical="center"/>
    </xf>
    <xf numFmtId="0" fontId="249" fillId="36" borderId="34" xfId="140" applyFont="1" applyFill="1" applyBorder="1" applyAlignment="1">
      <alignment horizontal="center" vertical="center"/>
    </xf>
    <xf numFmtId="0" fontId="244" fillId="0" borderId="0" xfId="140" applyFont="1"/>
    <xf numFmtId="0" fontId="225" fillId="0" borderId="19" xfId="140" applyFont="1" applyBorder="1" applyAlignment="1">
      <alignment horizontal="center" vertical="center"/>
    </xf>
    <xf numFmtId="41" fontId="238" fillId="69" borderId="3" xfId="118" applyFont="1" applyFill="1" applyBorder="1" applyAlignment="1">
      <alignment horizontal="center" vertical="center"/>
    </xf>
    <xf numFmtId="41" fontId="197" fillId="69" borderId="51" xfId="3706" applyFont="1" applyFill="1" applyBorder="1" applyAlignment="1">
      <alignment vertical="center"/>
    </xf>
    <xf numFmtId="41" fontId="197" fillId="69" borderId="52" xfId="3706" applyFont="1" applyFill="1" applyBorder="1" applyAlignment="1">
      <alignment vertical="center"/>
    </xf>
    <xf numFmtId="41" fontId="197" fillId="69" borderId="52" xfId="3706" applyFont="1" applyFill="1" applyBorder="1" applyAlignment="1">
      <alignment horizontal="right" vertical="center"/>
    </xf>
    <xf numFmtId="41" fontId="238" fillId="69" borderId="19" xfId="118" applyFont="1" applyFill="1" applyBorder="1" applyAlignment="1">
      <alignment horizontal="center" vertical="center"/>
    </xf>
    <xf numFmtId="41" fontId="238" fillId="69" borderId="24" xfId="118" applyFont="1" applyFill="1" applyBorder="1" applyAlignment="1">
      <alignment horizontal="center" vertical="center"/>
    </xf>
    <xf numFmtId="41" fontId="238" fillId="69" borderId="27" xfId="118" applyFont="1" applyFill="1" applyBorder="1" applyAlignment="1">
      <alignment horizontal="center" vertical="center"/>
    </xf>
    <xf numFmtId="41" fontId="238" fillId="69" borderId="52" xfId="118" applyFont="1" applyFill="1" applyBorder="1" applyAlignment="1">
      <alignment horizontal="center" vertical="center"/>
    </xf>
    <xf numFmtId="177" fontId="189" fillId="16" borderId="34" xfId="138" applyNumberFormat="1" applyFont="1" applyFill="1" applyBorder="1" applyAlignment="1" applyProtection="1">
      <alignment horizontal="center" vertical="center"/>
      <protection locked="0"/>
    </xf>
    <xf numFmtId="41" fontId="194" fillId="27" borderId="3" xfId="116" applyFont="1" applyFill="1" applyBorder="1" applyAlignment="1">
      <alignment horizontal="center" vertical="center"/>
    </xf>
    <xf numFmtId="41" fontId="194" fillId="43" borderId="3" xfId="116" applyFont="1" applyFill="1" applyBorder="1" applyAlignment="1">
      <alignment horizontal="center" vertical="center"/>
    </xf>
    <xf numFmtId="41" fontId="194" fillId="40" borderId="27" xfId="116" applyFont="1" applyFill="1" applyBorder="1" applyAlignment="1">
      <alignment horizontal="center" vertical="center"/>
    </xf>
    <xf numFmtId="41" fontId="194" fillId="69" borderId="24" xfId="116" applyFont="1" applyFill="1" applyBorder="1" applyAlignment="1">
      <alignment horizontal="center" vertical="center"/>
    </xf>
    <xf numFmtId="41" fontId="194" fillId="40" borderId="3" xfId="116" applyFont="1" applyFill="1" applyBorder="1" applyAlignment="1">
      <alignment horizontal="center" vertical="center"/>
    </xf>
    <xf numFmtId="41" fontId="194" fillId="69" borderId="52" xfId="116" applyFont="1" applyFill="1" applyBorder="1" applyAlignment="1">
      <alignment horizontal="center" vertical="center"/>
    </xf>
    <xf numFmtId="41" fontId="194" fillId="72" borderId="52" xfId="116" applyFont="1" applyFill="1" applyBorder="1" applyAlignment="1">
      <alignment horizontal="center" vertical="center"/>
    </xf>
    <xf numFmtId="41" fontId="194" fillId="89" borderId="23" xfId="116" applyFont="1" applyFill="1" applyBorder="1" applyAlignment="1">
      <alignment horizontal="center" vertical="center"/>
    </xf>
    <xf numFmtId="41" fontId="194" fillId="69" borderId="19" xfId="116" applyFont="1" applyFill="1" applyBorder="1" applyAlignment="1">
      <alignment horizontal="center" vertical="center"/>
    </xf>
    <xf numFmtId="41" fontId="194" fillId="69" borderId="3" xfId="116" applyFont="1" applyFill="1" applyBorder="1" applyAlignment="1">
      <alignment horizontal="center" vertical="center"/>
    </xf>
    <xf numFmtId="41" fontId="194" fillId="0" borderId="34" xfId="116" applyFont="1" applyBorder="1" applyAlignment="1">
      <alignment horizontal="center" vertical="center"/>
    </xf>
    <xf numFmtId="41" fontId="194" fillId="34" borderId="3" xfId="116" applyFont="1" applyFill="1" applyBorder="1" applyAlignment="1">
      <alignment horizontal="center" vertical="center"/>
    </xf>
    <xf numFmtId="41" fontId="194" fillId="44" borderId="24" xfId="116" applyFont="1" applyFill="1" applyBorder="1" applyAlignment="1">
      <alignment horizontal="center" vertical="center"/>
    </xf>
    <xf numFmtId="41" fontId="194" fillId="33" borderId="52" xfId="116" applyFont="1" applyFill="1" applyBorder="1" applyAlignment="1">
      <alignment horizontal="center" vertical="center"/>
    </xf>
    <xf numFmtId="41" fontId="194" fillId="39" borderId="3" xfId="116" applyFont="1" applyFill="1" applyBorder="1" applyAlignment="1">
      <alignment horizontal="center" vertical="center"/>
    </xf>
    <xf numFmtId="0" fontId="189" fillId="69" borderId="0" xfId="128" applyFont="1" applyFill="1">
      <alignment vertical="center"/>
    </xf>
    <xf numFmtId="177" fontId="189" fillId="69" borderId="0" xfId="138" applyNumberFormat="1" applyFont="1" applyFill="1" applyAlignment="1" applyProtection="1">
      <alignment horizontal="center" vertical="center"/>
      <protection locked="0"/>
    </xf>
    <xf numFmtId="41" fontId="194" fillId="69" borderId="0" xfId="116" applyFont="1" applyFill="1" applyBorder="1" applyAlignment="1">
      <alignment horizontal="center" vertical="center"/>
    </xf>
    <xf numFmtId="0" fontId="189" fillId="69" borderId="0" xfId="128" applyFont="1" applyFill="1" applyAlignment="1">
      <alignment horizontal="center" vertical="center"/>
    </xf>
    <xf numFmtId="41" fontId="194" fillId="72" borderId="24" xfId="116" applyFont="1" applyFill="1" applyBorder="1" applyAlignment="1">
      <alignment horizontal="center" vertical="center"/>
    </xf>
    <xf numFmtId="41" fontId="194" fillId="72" borderId="3" xfId="116" applyFont="1" applyFill="1" applyBorder="1" applyAlignment="1">
      <alignment horizontal="center" vertical="center"/>
    </xf>
    <xf numFmtId="41" fontId="194" fillId="92" borderId="52" xfId="116" applyFont="1" applyFill="1" applyBorder="1" applyAlignment="1">
      <alignment horizontal="center" vertical="center"/>
    </xf>
    <xf numFmtId="176" fontId="195" fillId="72" borderId="24" xfId="136" applyNumberFormat="1" applyFont="1" applyFill="1" applyBorder="1" applyAlignment="1">
      <alignment vertical="center"/>
    </xf>
    <xf numFmtId="176" fontId="195" fillId="72" borderId="64" xfId="136" applyNumberFormat="1" applyFont="1" applyFill="1" applyBorder="1" applyAlignment="1">
      <alignment vertical="center"/>
    </xf>
    <xf numFmtId="176" fontId="195" fillId="72" borderId="3" xfId="136" applyNumberFormat="1" applyFont="1" applyFill="1" applyBorder="1" applyAlignment="1">
      <alignment vertical="center"/>
    </xf>
    <xf numFmtId="176" fontId="195" fillId="72" borderId="43" xfId="136" applyNumberFormat="1" applyFont="1" applyFill="1" applyBorder="1" applyAlignment="1">
      <alignment vertical="center"/>
    </xf>
    <xf numFmtId="41" fontId="194" fillId="69" borderId="27" xfId="116" applyFont="1" applyFill="1" applyBorder="1" applyAlignment="1">
      <alignment horizontal="center" vertical="center"/>
    </xf>
    <xf numFmtId="0" fontId="238" fillId="0" borderId="1" xfId="140" applyFont="1" applyBorder="1" applyAlignment="1">
      <alignment horizontal="center" vertical="center"/>
    </xf>
    <xf numFmtId="0" fontId="193" fillId="69" borderId="27" xfId="136" applyFont="1" applyFill="1" applyBorder="1" applyAlignment="1">
      <alignment horizontal="center" vertical="center"/>
    </xf>
    <xf numFmtId="0" fontId="251" fillId="69" borderId="19" xfId="0" applyFont="1" applyFill="1" applyBorder="1" applyAlignment="1">
      <alignment horizontal="center" vertical="center"/>
    </xf>
    <xf numFmtId="0" fontId="251" fillId="69" borderId="27" xfId="0" applyFont="1" applyFill="1" applyBorder="1" applyAlignment="1">
      <alignment horizontal="center" vertical="center"/>
    </xf>
    <xf numFmtId="0" fontId="253" fillId="37" borderId="17" xfId="140" applyFont="1" applyFill="1" applyBorder="1" applyAlignment="1">
      <alignment horizontal="center" vertical="center" textRotation="255"/>
    </xf>
    <xf numFmtId="0" fontId="238" fillId="0" borderId="19" xfId="140" applyFont="1" applyBorder="1" applyAlignment="1">
      <alignment horizontal="center" vertical="center"/>
    </xf>
    <xf numFmtId="0" fontId="238" fillId="0" borderId="56" xfId="140" applyFont="1" applyBorder="1" applyAlignment="1">
      <alignment horizontal="center" vertical="center"/>
    </xf>
    <xf numFmtId="0" fontId="238" fillId="0" borderId="52" xfId="140" applyFont="1" applyBorder="1" applyAlignment="1">
      <alignment horizontal="center" vertical="center"/>
    </xf>
    <xf numFmtId="0" fontId="238" fillId="72" borderId="3" xfId="140" applyFont="1" applyFill="1" applyBorder="1" applyAlignment="1">
      <alignment vertical="center"/>
    </xf>
    <xf numFmtId="0" fontId="238" fillId="0" borderId="24" xfId="140" applyFont="1" applyBorder="1" applyAlignment="1">
      <alignment horizontal="center" vertical="center"/>
    </xf>
    <xf numFmtId="0" fontId="238" fillId="69" borderId="3" xfId="140" applyFont="1" applyFill="1" applyBorder="1" applyAlignment="1">
      <alignment vertical="center"/>
    </xf>
    <xf numFmtId="0" fontId="238" fillId="0" borderId="28" xfId="140" applyFont="1" applyBorder="1" applyAlignment="1">
      <alignment horizontal="center" vertical="center"/>
    </xf>
    <xf numFmtId="0" fontId="238" fillId="69" borderId="20" xfId="140" applyFont="1" applyFill="1" applyBorder="1" applyAlignment="1">
      <alignment horizontal="center" vertical="center"/>
    </xf>
    <xf numFmtId="0" fontId="238" fillId="96" borderId="3" xfId="140" applyFont="1" applyFill="1" applyBorder="1" applyAlignment="1">
      <alignment vertical="center"/>
    </xf>
    <xf numFmtId="0" fontId="238" fillId="69" borderId="15" xfId="140" applyFont="1" applyFill="1" applyBorder="1" applyAlignment="1">
      <alignment horizontal="center" vertical="center"/>
    </xf>
    <xf numFmtId="0" fontId="238" fillId="0" borderId="27" xfId="140" applyFont="1" applyBorder="1" applyAlignment="1">
      <alignment horizontal="center" vertical="center"/>
    </xf>
    <xf numFmtId="41" fontId="194" fillId="89" borderId="3" xfId="116" applyFont="1" applyFill="1" applyBorder="1" applyAlignment="1">
      <alignment horizontal="center" vertical="center"/>
    </xf>
    <xf numFmtId="41" fontId="194" fillId="89" borderId="52" xfId="116" applyFont="1" applyFill="1" applyBorder="1" applyAlignment="1">
      <alignment horizontal="center" vertical="center"/>
    </xf>
    <xf numFmtId="41" fontId="194" fillId="40" borderId="52" xfId="116" applyFont="1" applyFill="1" applyBorder="1" applyAlignment="1">
      <alignment horizontal="center" vertical="center"/>
    </xf>
    <xf numFmtId="41" fontId="194" fillId="72" borderId="27" xfId="116" applyFont="1" applyFill="1" applyBorder="1" applyAlignment="1">
      <alignment horizontal="center" vertical="center"/>
    </xf>
    <xf numFmtId="0" fontId="251" fillId="72" borderId="19" xfId="0" applyFont="1" applyFill="1" applyBorder="1" applyAlignment="1">
      <alignment horizontal="left" vertical="center"/>
    </xf>
    <xf numFmtId="41" fontId="197" fillId="69" borderId="19" xfId="111" applyFont="1" applyFill="1" applyBorder="1" applyAlignment="1">
      <alignment horizontal="center" vertical="center"/>
    </xf>
    <xf numFmtId="41" fontId="197" fillId="69" borderId="3" xfId="111" applyFont="1" applyFill="1" applyBorder="1" applyAlignment="1">
      <alignment horizontal="center" vertical="center"/>
    </xf>
    <xf numFmtId="41" fontId="197" fillId="69" borderId="27" xfId="111" applyFont="1" applyFill="1" applyBorder="1" applyAlignment="1">
      <alignment horizontal="center" vertical="center"/>
    </xf>
    <xf numFmtId="203" fontId="238" fillId="69" borderId="19" xfId="118" applyNumberFormat="1" applyFont="1" applyFill="1" applyBorder="1" applyAlignment="1">
      <alignment horizontal="center" vertical="center"/>
    </xf>
    <xf numFmtId="0" fontId="249" fillId="36" borderId="41" xfId="140" applyFont="1" applyFill="1" applyBorder="1" applyAlignment="1">
      <alignment horizontal="center" vertical="center"/>
    </xf>
    <xf numFmtId="0" fontId="249" fillId="36" borderId="34" xfId="140" quotePrefix="1" applyFont="1" applyFill="1" applyBorder="1" applyAlignment="1">
      <alignment horizontal="center" vertical="center"/>
    </xf>
    <xf numFmtId="0" fontId="249" fillId="36" borderId="55" xfId="140" applyFont="1" applyFill="1" applyBorder="1" applyAlignment="1">
      <alignment horizontal="center" vertical="center"/>
    </xf>
    <xf numFmtId="0" fontId="238" fillId="0" borderId="20" xfId="140" applyFont="1" applyBorder="1" applyAlignment="1">
      <alignment horizontal="center" vertical="center"/>
    </xf>
    <xf numFmtId="0" fontId="238" fillId="0" borderId="19" xfId="140" applyFont="1" applyBorder="1" applyAlignment="1">
      <alignment horizontal="left" vertical="center"/>
    </xf>
    <xf numFmtId="181" fontId="238" fillId="0" borderId="19" xfId="122" applyNumberFormat="1" applyFont="1" applyBorder="1" applyAlignment="1">
      <alignment horizontal="center" vertical="center"/>
    </xf>
    <xf numFmtId="181" fontId="238" fillId="0" borderId="3" xfId="122" applyNumberFormat="1" applyFont="1" applyBorder="1" applyAlignment="1">
      <alignment horizontal="center" vertical="center"/>
    </xf>
    <xf numFmtId="0" fontId="238" fillId="0" borderId="15" xfId="140" applyFont="1" applyBorder="1" applyAlignment="1">
      <alignment horizontal="center" vertical="center"/>
    </xf>
    <xf numFmtId="0" fontId="238" fillId="72" borderId="56" xfId="140" applyFont="1" applyFill="1" applyBorder="1" applyAlignment="1">
      <alignment horizontal="center" vertical="center"/>
    </xf>
    <xf numFmtId="0" fontId="238" fillId="69" borderId="3" xfId="140" applyFont="1" applyFill="1" applyBorder="1" applyAlignment="1">
      <alignment horizontal="center" vertical="center"/>
    </xf>
    <xf numFmtId="0" fontId="238" fillId="72" borderId="28" xfId="140" applyFont="1" applyFill="1" applyBorder="1" applyAlignment="1">
      <alignment horizontal="center" vertical="center"/>
    </xf>
    <xf numFmtId="0" fontId="238" fillId="72" borderId="27" xfId="140" applyFont="1" applyFill="1" applyBorder="1" applyAlignment="1">
      <alignment vertical="center"/>
    </xf>
    <xf numFmtId="0" fontId="238" fillId="69" borderId="27" xfId="140" applyFont="1" applyFill="1" applyBorder="1" applyAlignment="1">
      <alignment horizontal="center" vertical="center"/>
    </xf>
    <xf numFmtId="0" fontId="238" fillId="0" borderId="66" xfId="140" applyFont="1" applyBorder="1" applyAlignment="1">
      <alignment horizontal="center" vertical="center"/>
    </xf>
    <xf numFmtId="0" fontId="238" fillId="0" borderId="37" xfId="140" applyFont="1" applyBorder="1" applyAlignment="1">
      <alignment horizontal="left" vertical="center"/>
    </xf>
    <xf numFmtId="181" fontId="238" fillId="0" borderId="24" xfId="122" applyNumberFormat="1" applyFont="1" applyBorder="1" applyAlignment="1">
      <alignment horizontal="center" vertical="center"/>
    </xf>
    <xf numFmtId="0" fontId="238" fillId="0" borderId="52" xfId="140" applyFont="1" applyBorder="1" applyAlignment="1">
      <alignment horizontal="left" vertical="center"/>
    </xf>
    <xf numFmtId="181" fontId="238" fillId="0" borderId="52" xfId="122" applyNumberFormat="1" applyFont="1" applyBorder="1" applyAlignment="1">
      <alignment horizontal="center" vertical="center"/>
    </xf>
    <xf numFmtId="0" fontId="238" fillId="0" borderId="27" xfId="140" applyFont="1" applyBorder="1" applyAlignment="1">
      <alignment horizontal="left" vertical="center"/>
    </xf>
    <xf numFmtId="181" fontId="238" fillId="0" borderId="27" xfId="122" applyNumberFormat="1" applyFont="1" applyBorder="1" applyAlignment="1">
      <alignment horizontal="center" vertical="center"/>
    </xf>
    <xf numFmtId="0" fontId="238" fillId="0" borderId="77" xfId="140" applyFont="1" applyBorder="1" applyAlignment="1">
      <alignment horizontal="center" vertical="center"/>
    </xf>
    <xf numFmtId="0" fontId="238" fillId="0" borderId="41" xfId="140" applyFont="1" applyBorder="1" applyAlignment="1">
      <alignment horizontal="center" vertical="center"/>
    </xf>
    <xf numFmtId="0" fontId="238" fillId="0" borderId="34" xfId="140" applyFont="1" applyBorder="1" applyAlignment="1">
      <alignment vertical="center"/>
    </xf>
    <xf numFmtId="0" fontId="238" fillId="0" borderId="19" xfId="140" applyFont="1" applyBorder="1" applyAlignment="1">
      <alignment vertical="center"/>
    </xf>
    <xf numFmtId="0" fontId="222" fillId="71" borderId="24" xfId="140" applyFont="1" applyFill="1" applyBorder="1" applyAlignment="1">
      <alignment vertical="center"/>
    </xf>
    <xf numFmtId="0" fontId="222" fillId="71" borderId="3" xfId="140" applyFont="1" applyFill="1" applyBorder="1" applyAlignment="1">
      <alignment horizontal="center" vertical="center"/>
    </xf>
    <xf numFmtId="41" fontId="245" fillId="69" borderId="18" xfId="3706" applyFont="1" applyFill="1" applyBorder="1" applyAlignment="1">
      <alignment horizontal="center" vertical="center"/>
    </xf>
    <xf numFmtId="0" fontId="222" fillId="69" borderId="20" xfId="140" applyFont="1" applyFill="1" applyBorder="1" applyAlignment="1">
      <alignment horizontal="center" vertical="center"/>
    </xf>
    <xf numFmtId="0" fontId="222" fillId="69" borderId="28" xfId="140" applyFont="1" applyFill="1" applyBorder="1" applyAlignment="1">
      <alignment horizontal="center" vertical="center"/>
    </xf>
    <xf numFmtId="41" fontId="238" fillId="69" borderId="37" xfId="118" applyFont="1" applyFill="1" applyBorder="1" applyAlignment="1">
      <alignment horizontal="center" vertical="center"/>
    </xf>
    <xf numFmtId="0" fontId="222" fillId="69" borderId="15" xfId="140" applyFont="1" applyFill="1" applyBorder="1" applyAlignment="1">
      <alignment horizontal="center" vertical="center"/>
    </xf>
    <xf numFmtId="0" fontId="195" fillId="69" borderId="19" xfId="135" applyFont="1" applyFill="1" applyBorder="1">
      <alignment vertical="center"/>
    </xf>
    <xf numFmtId="41" fontId="246" fillId="69" borderId="24" xfId="118" applyFont="1" applyFill="1" applyBorder="1" applyAlignment="1">
      <alignment horizontal="center" vertical="center"/>
    </xf>
    <xf numFmtId="0" fontId="195" fillId="69" borderId="3" xfId="135" applyFont="1" applyFill="1" applyBorder="1">
      <alignment vertical="center"/>
    </xf>
    <xf numFmtId="0" fontId="195" fillId="69" borderId="3" xfId="129" applyFont="1" applyFill="1" applyBorder="1" applyAlignment="1">
      <alignment vertical="center" wrapText="1"/>
    </xf>
    <xf numFmtId="0" fontId="195" fillId="69" borderId="52" xfId="129" applyFont="1" applyFill="1" applyBorder="1" applyAlignment="1">
      <alignment vertical="center" wrapText="1"/>
    </xf>
    <xf numFmtId="0" fontId="195" fillId="69" borderId="3" xfId="128" applyFont="1" applyFill="1" applyBorder="1" applyAlignment="1">
      <alignment vertical="center" wrapText="1"/>
    </xf>
    <xf numFmtId="205" fontId="238" fillId="69" borderId="3" xfId="118" applyNumberFormat="1" applyFont="1" applyFill="1" applyBorder="1" applyAlignment="1">
      <alignment horizontal="center" vertical="center"/>
    </xf>
    <xf numFmtId="205" fontId="238" fillId="69" borderId="27" xfId="118" applyNumberFormat="1" applyFont="1" applyFill="1" applyBorder="1" applyAlignment="1">
      <alignment horizontal="center" vertical="center"/>
    </xf>
    <xf numFmtId="0" fontId="203" fillId="69" borderId="18" xfId="137" applyFont="1" applyFill="1" applyBorder="1" applyAlignment="1">
      <alignment horizontal="center" vertical="center"/>
    </xf>
    <xf numFmtId="0" fontId="203" fillId="69" borderId="14" xfId="137" applyFont="1" applyFill="1" applyBorder="1" applyAlignment="1">
      <alignment horizontal="center" vertical="center"/>
    </xf>
    <xf numFmtId="0" fontId="203" fillId="69" borderId="14" xfId="135" applyFont="1" applyFill="1" applyBorder="1" applyAlignment="1">
      <alignment horizontal="center" vertical="center"/>
    </xf>
    <xf numFmtId="182" fontId="203" fillId="69" borderId="14" xfId="129" applyNumberFormat="1" applyFont="1" applyFill="1" applyBorder="1" applyAlignment="1">
      <alignment horizontal="center" vertical="center" wrapText="1"/>
    </xf>
    <xf numFmtId="182" fontId="203" fillId="69" borderId="14" xfId="129" applyNumberFormat="1" applyFont="1" applyFill="1" applyBorder="1" applyAlignment="1">
      <alignment horizontal="center" vertical="center"/>
    </xf>
    <xf numFmtId="182" fontId="203" fillId="69" borderId="51" xfId="129" applyNumberFormat="1" applyFont="1" applyFill="1" applyBorder="1" applyAlignment="1">
      <alignment horizontal="center" vertical="center"/>
    </xf>
    <xf numFmtId="182" fontId="203" fillId="69" borderId="14" xfId="128" applyNumberFormat="1" applyFont="1" applyFill="1" applyBorder="1" applyAlignment="1">
      <alignment horizontal="center" vertical="center"/>
    </xf>
    <xf numFmtId="182" fontId="195" fillId="69" borderId="14" xfId="128" applyNumberFormat="1" applyFont="1" applyFill="1" applyBorder="1" applyAlignment="1">
      <alignment horizontal="center" vertical="center"/>
    </xf>
    <xf numFmtId="203" fontId="238" fillId="69" borderId="27" xfId="118" applyNumberFormat="1" applyFont="1" applyFill="1" applyBorder="1" applyAlignment="1">
      <alignment horizontal="center" vertical="center"/>
    </xf>
    <xf numFmtId="0" fontId="211" fillId="105" borderId="22" xfId="136" applyFont="1" applyFill="1" applyBorder="1" applyAlignment="1">
      <alignment horizontal="center" vertical="center"/>
    </xf>
    <xf numFmtId="0" fontId="222" fillId="83" borderId="20" xfId="140" applyFont="1" applyFill="1" applyBorder="1" applyAlignment="1">
      <alignment horizontal="center" vertical="center"/>
    </xf>
    <xf numFmtId="0" fontId="222" fillId="83" borderId="19" xfId="140" applyFont="1" applyFill="1" applyBorder="1" applyAlignment="1">
      <alignment horizontal="center" vertical="center"/>
    </xf>
    <xf numFmtId="41" fontId="238" fillId="83" borderId="19" xfId="118" applyFont="1" applyFill="1" applyBorder="1" applyAlignment="1">
      <alignment horizontal="center" vertical="center"/>
    </xf>
    <xf numFmtId="0" fontId="222" fillId="83" borderId="15" xfId="140" applyFont="1" applyFill="1" applyBorder="1" applyAlignment="1">
      <alignment horizontal="center" vertical="center"/>
    </xf>
    <xf numFmtId="0" fontId="222" fillId="83" borderId="3" xfId="140" applyFont="1" applyFill="1" applyBorder="1" applyAlignment="1">
      <alignment horizontal="center" vertical="center"/>
    </xf>
    <xf numFmtId="41" fontId="238" fillId="83" borderId="3" xfId="118" applyFont="1" applyFill="1" applyBorder="1" applyAlignment="1">
      <alignment horizontal="center" vertical="center"/>
    </xf>
    <xf numFmtId="0" fontId="222" fillId="83" borderId="27" xfId="140" applyFont="1" applyFill="1" applyBorder="1" applyAlignment="1">
      <alignment horizontal="center" vertical="center"/>
    </xf>
    <xf numFmtId="41" fontId="238" fillId="83" borderId="27" xfId="118" applyFont="1" applyFill="1" applyBorder="1" applyAlignment="1">
      <alignment horizontal="center" vertical="center"/>
    </xf>
    <xf numFmtId="0" fontId="222" fillId="83" borderId="3" xfId="140" applyFont="1" applyFill="1" applyBorder="1" applyAlignment="1">
      <alignment vertical="center"/>
    </xf>
    <xf numFmtId="0" fontId="222" fillId="69" borderId="57" xfId="140" applyFont="1" applyFill="1" applyBorder="1" applyAlignment="1">
      <alignment horizontal="center" vertical="center"/>
    </xf>
    <xf numFmtId="0" fontId="203" fillId="69" borderId="24" xfId="140" applyFont="1" applyFill="1" applyBorder="1" applyAlignment="1">
      <alignment vertical="center"/>
    </xf>
    <xf numFmtId="0" fontId="203" fillId="69" borderId="3" xfId="140" applyFont="1" applyFill="1" applyBorder="1" applyAlignment="1">
      <alignment vertical="center"/>
    </xf>
    <xf numFmtId="0" fontId="222" fillId="83" borderId="19" xfId="140" applyFont="1" applyFill="1" applyBorder="1" applyAlignment="1">
      <alignment vertical="center"/>
    </xf>
    <xf numFmtId="0" fontId="222" fillId="83" borderId="52" xfId="140" applyFont="1" applyFill="1" applyBorder="1" applyAlignment="1">
      <alignment horizontal="center" vertical="center"/>
    </xf>
    <xf numFmtId="41" fontId="238" fillId="83" borderId="52" xfId="118" applyFont="1" applyFill="1" applyBorder="1" applyAlignment="1">
      <alignment horizontal="center" vertical="center"/>
    </xf>
    <xf numFmtId="0" fontId="222" fillId="83" borderId="25" xfId="140" applyFont="1" applyFill="1" applyBorder="1" applyAlignment="1">
      <alignment horizontal="center" vertical="center"/>
    </xf>
    <xf numFmtId="203" fontId="238" fillId="83" borderId="24" xfId="118" applyNumberFormat="1" applyFont="1" applyFill="1" applyBorder="1" applyAlignment="1">
      <alignment horizontal="center" vertical="center"/>
    </xf>
    <xf numFmtId="0" fontId="222" fillId="83" borderId="14" xfId="140" applyFont="1" applyFill="1" applyBorder="1" applyAlignment="1">
      <alignment horizontal="center" vertical="center"/>
    </xf>
    <xf numFmtId="203" fontId="238" fillId="83" borderId="3" xfId="118" applyNumberFormat="1" applyFont="1" applyFill="1" applyBorder="1" applyAlignment="1">
      <alignment horizontal="center" vertical="center"/>
    </xf>
    <xf numFmtId="0" fontId="222" fillId="83" borderId="24" xfId="140" applyFont="1" applyFill="1" applyBorder="1" applyAlignment="1">
      <alignment horizontal="center" vertical="center"/>
    </xf>
    <xf numFmtId="0" fontId="222" fillId="83" borderId="37" xfId="140" applyFont="1" applyFill="1" applyBorder="1" applyAlignment="1">
      <alignment horizontal="center" vertical="center"/>
    </xf>
    <xf numFmtId="0" fontId="222" fillId="83" borderId="51" xfId="140" applyFont="1" applyFill="1" applyBorder="1" applyAlignment="1">
      <alignment horizontal="center" vertical="center"/>
    </xf>
    <xf numFmtId="0" fontId="222" fillId="83" borderId="52" xfId="140" applyFont="1" applyFill="1" applyBorder="1" applyAlignment="1">
      <alignment horizontal="left" vertical="center"/>
    </xf>
    <xf numFmtId="203" fontId="238" fillId="83" borderId="52" xfId="118" applyNumberFormat="1" applyFont="1" applyFill="1" applyBorder="1" applyAlignment="1">
      <alignment horizontal="center" vertical="center"/>
    </xf>
    <xf numFmtId="0" fontId="222" fillId="83" borderId="3" xfId="140" applyFont="1" applyFill="1" applyBorder="1" applyAlignment="1">
      <alignment horizontal="left" vertical="center"/>
    </xf>
    <xf numFmtId="0" fontId="222" fillId="83" borderId="38" xfId="140" applyFont="1" applyFill="1" applyBorder="1" applyAlignment="1">
      <alignment horizontal="center" vertical="center"/>
    </xf>
    <xf numFmtId="0" fontId="222" fillId="83" borderId="37" xfId="140" applyFont="1" applyFill="1" applyBorder="1" applyAlignment="1">
      <alignment horizontal="left" vertical="center"/>
    </xf>
    <xf numFmtId="203" fontId="238" fillId="83" borderId="37" xfId="118" applyNumberFormat="1" applyFont="1" applyFill="1" applyBorder="1" applyAlignment="1">
      <alignment horizontal="center" vertical="center"/>
    </xf>
    <xf numFmtId="0" fontId="222" fillId="83" borderId="19" xfId="140" applyFont="1" applyFill="1" applyBorder="1" applyAlignment="1">
      <alignment horizontal="left" vertical="center"/>
    </xf>
    <xf numFmtId="0" fontId="222" fillId="83" borderId="24" xfId="140" applyFont="1" applyFill="1" applyBorder="1" applyAlignment="1">
      <alignment horizontal="left" vertical="center"/>
    </xf>
    <xf numFmtId="0" fontId="222" fillId="83" borderId="18" xfId="140" applyFont="1" applyFill="1" applyBorder="1" applyAlignment="1">
      <alignment horizontal="center" vertical="center"/>
    </xf>
    <xf numFmtId="176" fontId="238" fillId="83" borderId="19" xfId="118" applyNumberFormat="1" applyFont="1" applyFill="1" applyBorder="1" applyAlignment="1">
      <alignment horizontal="right" vertical="center"/>
    </xf>
    <xf numFmtId="176" fontId="238" fillId="83" borderId="3" xfId="118" applyNumberFormat="1" applyFont="1" applyFill="1" applyBorder="1" applyAlignment="1">
      <alignment horizontal="right" vertical="center"/>
    </xf>
    <xf numFmtId="0" fontId="203" fillId="83" borderId="14" xfId="135" applyFont="1" applyFill="1" applyBorder="1" applyAlignment="1">
      <alignment horizontal="center" vertical="center"/>
    </xf>
    <xf numFmtId="0" fontId="203" fillId="83" borderId="3" xfId="135" applyFont="1" applyFill="1" applyBorder="1">
      <alignment vertical="center"/>
    </xf>
    <xf numFmtId="0" fontId="203" fillId="83" borderId="51" xfId="135" applyFont="1" applyFill="1" applyBorder="1" applyAlignment="1">
      <alignment horizontal="center" vertical="center"/>
    </xf>
    <xf numFmtId="0" fontId="203" fillId="83" borderId="52" xfId="135" applyFont="1" applyFill="1" applyBorder="1">
      <alignment vertical="center"/>
    </xf>
    <xf numFmtId="0" fontId="203" fillId="83" borderId="29" xfId="135" applyFont="1" applyFill="1" applyBorder="1" applyAlignment="1">
      <alignment horizontal="center" vertical="center"/>
    </xf>
    <xf numFmtId="0" fontId="203" fillId="83" borderId="27" xfId="135" applyFont="1" applyFill="1" applyBorder="1">
      <alignment vertical="center"/>
    </xf>
    <xf numFmtId="0" fontId="254" fillId="95" borderId="47" xfId="140" applyFont="1" applyFill="1" applyBorder="1" applyAlignment="1">
      <alignment horizontal="center" vertical="center" textRotation="255"/>
    </xf>
    <xf numFmtId="41" fontId="238" fillId="102" borderId="3" xfId="118" applyFont="1" applyFill="1" applyBorder="1" applyAlignment="1">
      <alignment horizontal="center" vertical="center"/>
    </xf>
    <xf numFmtId="176" fontId="238" fillId="102" borderId="3" xfId="140" applyNumberFormat="1" applyFont="1" applyFill="1" applyBorder="1" applyAlignment="1">
      <alignment vertical="center"/>
    </xf>
    <xf numFmtId="0" fontId="203" fillId="106" borderId="15" xfId="140" applyFont="1" applyFill="1" applyBorder="1" applyAlignment="1">
      <alignment horizontal="center" vertical="center"/>
    </xf>
    <xf numFmtId="0" fontId="203" fillId="106" borderId="3" xfId="140" applyFont="1" applyFill="1" applyBorder="1" applyAlignment="1">
      <alignment vertical="center"/>
    </xf>
    <xf numFmtId="0" fontId="222" fillId="106" borderId="3" xfId="140" applyFont="1" applyFill="1" applyBorder="1" applyAlignment="1">
      <alignment horizontal="center" vertical="center"/>
    </xf>
    <xf numFmtId="203" fontId="238" fillId="102" borderId="3" xfId="118" applyNumberFormat="1" applyFont="1" applyFill="1" applyBorder="1" applyAlignment="1">
      <alignment horizontal="center" vertical="center"/>
    </xf>
    <xf numFmtId="0" fontId="222" fillId="102" borderId="51" xfId="140" applyFont="1" applyFill="1" applyBorder="1" applyAlignment="1">
      <alignment horizontal="center" vertical="center"/>
    </xf>
    <xf numFmtId="203" fontId="238" fillId="102" borderId="52" xfId="118" applyNumberFormat="1" applyFont="1" applyFill="1" applyBorder="1" applyAlignment="1">
      <alignment horizontal="center" vertical="center"/>
    </xf>
    <xf numFmtId="203" fontId="238" fillId="102" borderId="37" xfId="118" applyNumberFormat="1" applyFont="1" applyFill="1" applyBorder="1" applyAlignment="1">
      <alignment horizontal="center" vertical="center"/>
    </xf>
    <xf numFmtId="0" fontId="238" fillId="102" borderId="51" xfId="140" applyFont="1" applyFill="1" applyBorder="1" applyAlignment="1">
      <alignment horizontal="center" vertical="center"/>
    </xf>
    <xf numFmtId="0" fontId="197" fillId="69" borderId="52" xfId="140" applyFont="1" applyFill="1" applyBorder="1" applyAlignment="1">
      <alignment horizontal="center" vertical="center"/>
    </xf>
    <xf numFmtId="0" fontId="197" fillId="69" borderId="63" xfId="140" applyFont="1" applyFill="1" applyBorder="1" applyAlignment="1">
      <alignment horizontal="center" vertical="center"/>
    </xf>
    <xf numFmtId="0" fontId="197" fillId="69" borderId="3" xfId="140" applyFont="1" applyFill="1" applyBorder="1" applyAlignment="1">
      <alignment horizontal="center" vertical="center"/>
    </xf>
    <xf numFmtId="0" fontId="197" fillId="69" borderId="14" xfId="140" applyFont="1" applyFill="1" applyBorder="1" applyAlignment="1">
      <alignment horizontal="center" vertical="center"/>
    </xf>
    <xf numFmtId="0" fontId="203" fillId="0" borderId="52" xfId="140" applyFont="1" applyBorder="1" applyAlignment="1">
      <alignment horizontal="center" vertical="center"/>
    </xf>
    <xf numFmtId="41" fontId="222" fillId="69" borderId="46" xfId="118" applyFont="1" applyFill="1" applyBorder="1" applyAlignment="1">
      <alignment vertical="center"/>
    </xf>
    <xf numFmtId="41" fontId="222" fillId="69" borderId="47" xfId="118" applyFont="1" applyFill="1" applyBorder="1" applyAlignment="1">
      <alignment vertical="center"/>
    </xf>
    <xf numFmtId="0" fontId="222" fillId="107" borderId="15" xfId="140" applyFont="1" applyFill="1" applyBorder="1" applyAlignment="1">
      <alignment horizontal="center" vertical="center"/>
    </xf>
    <xf numFmtId="0" fontId="222" fillId="107" borderId="3" xfId="140" applyFont="1" applyFill="1" applyBorder="1" applyAlignment="1">
      <alignment horizontal="left" vertical="center"/>
    </xf>
    <xf numFmtId="181" fontId="222" fillId="107" borderId="3" xfId="122" applyNumberFormat="1" applyFont="1" applyFill="1" applyBorder="1" applyAlignment="1">
      <alignment horizontal="center" vertical="center"/>
    </xf>
    <xf numFmtId="41" fontId="238" fillId="107" borderId="3" xfId="118" applyFont="1" applyFill="1" applyBorder="1" applyAlignment="1">
      <alignment horizontal="center" vertical="center"/>
    </xf>
    <xf numFmtId="0" fontId="222" fillId="107" borderId="3" xfId="140" applyFont="1" applyFill="1" applyBorder="1" applyAlignment="1">
      <alignment horizontal="center" vertical="center"/>
    </xf>
    <xf numFmtId="41" fontId="222" fillId="69" borderId="50" xfId="118" applyFont="1" applyFill="1" applyBorder="1" applyAlignment="1">
      <alignment vertical="center"/>
    </xf>
    <xf numFmtId="0" fontId="215" fillId="104" borderId="46" xfId="140" applyFont="1" applyFill="1" applyBorder="1" applyAlignment="1">
      <alignment horizontal="center" vertical="center"/>
    </xf>
    <xf numFmtId="0" fontId="222" fillId="107" borderId="24" xfId="140" applyFont="1" applyFill="1" applyBorder="1" applyAlignment="1">
      <alignment horizontal="center" vertical="center"/>
    </xf>
    <xf numFmtId="0" fontId="193" fillId="90" borderId="21" xfId="136" applyFont="1" applyFill="1" applyBorder="1" applyAlignment="1">
      <alignment horizontal="center" vertical="center"/>
    </xf>
    <xf numFmtId="0" fontId="193" fillId="90" borderId="20" xfId="136" applyFont="1" applyFill="1" applyBorder="1" applyAlignment="1">
      <alignment horizontal="center" vertical="center"/>
    </xf>
    <xf numFmtId="0" fontId="193" fillId="90" borderId="19" xfId="136" applyFont="1" applyFill="1" applyBorder="1" applyAlignment="1">
      <alignment horizontal="center" vertical="center"/>
    </xf>
    <xf numFmtId="41" fontId="194" fillId="90" borderId="19" xfId="116" applyFont="1" applyFill="1" applyBorder="1" applyAlignment="1">
      <alignment horizontal="center" vertical="center"/>
    </xf>
    <xf numFmtId="41" fontId="246" fillId="81" borderId="34" xfId="116" applyFont="1" applyFill="1" applyBorder="1">
      <alignment vertical="center"/>
    </xf>
    <xf numFmtId="41" fontId="195" fillId="41" borderId="55" xfId="116" applyFont="1" applyFill="1" applyBorder="1">
      <alignment vertical="center"/>
    </xf>
    <xf numFmtId="0" fontId="193" fillId="89" borderId="16" xfId="136" applyFont="1" applyFill="1" applyBorder="1" applyAlignment="1">
      <alignment horizontal="center" vertical="center"/>
    </xf>
    <xf numFmtId="0" fontId="193" fillId="89" borderId="15" xfId="136" applyFont="1" applyFill="1" applyBorder="1" applyAlignment="1">
      <alignment horizontal="center" vertical="center"/>
    </xf>
    <xf numFmtId="0" fontId="193" fillId="90" borderId="16" xfId="136" applyFont="1" applyFill="1" applyBorder="1" applyAlignment="1">
      <alignment horizontal="center" vertical="center"/>
    </xf>
    <xf numFmtId="0" fontId="193" fillId="90" borderId="15" xfId="136" applyFont="1" applyFill="1" applyBorder="1" applyAlignment="1">
      <alignment horizontal="center" vertical="center"/>
    </xf>
    <xf numFmtId="0" fontId="193" fillId="72" borderId="16" xfId="136" applyFont="1" applyFill="1" applyBorder="1" applyAlignment="1">
      <alignment horizontal="center" vertical="center"/>
    </xf>
    <xf numFmtId="0" fontId="193" fillId="72" borderId="15" xfId="136" applyFont="1" applyFill="1" applyBorder="1" applyAlignment="1">
      <alignment horizontal="center" vertical="center"/>
    </xf>
    <xf numFmtId="0" fontId="193" fillId="69" borderId="30" xfId="136" applyFont="1" applyFill="1" applyBorder="1" applyAlignment="1">
      <alignment horizontal="center" vertical="center"/>
    </xf>
    <xf numFmtId="0" fontId="193" fillId="69" borderId="28" xfId="136" applyFont="1" applyFill="1" applyBorder="1" applyAlignment="1">
      <alignment horizontal="center" vertical="center"/>
    </xf>
    <xf numFmtId="0" fontId="193" fillId="89" borderId="27" xfId="136" applyFont="1" applyFill="1" applyBorder="1" applyAlignment="1">
      <alignment horizontal="center" vertical="center"/>
    </xf>
    <xf numFmtId="41" fontId="194" fillId="89" borderId="27" xfId="116" applyFont="1" applyFill="1" applyBorder="1" applyAlignment="1">
      <alignment horizontal="center" vertical="center"/>
    </xf>
    <xf numFmtId="205" fontId="238" fillId="102" borderId="3" xfId="140" applyNumberFormat="1" applyFont="1" applyFill="1" applyBorder="1" applyAlignment="1">
      <alignment horizontal="right" vertical="center"/>
    </xf>
    <xf numFmtId="0" fontId="215" fillId="104" borderId="22" xfId="140" applyFont="1" applyFill="1" applyBorder="1" applyAlignment="1">
      <alignment horizontal="center" vertical="center"/>
    </xf>
    <xf numFmtId="0" fontId="215" fillId="104" borderId="23" xfId="140" applyFont="1" applyFill="1" applyBorder="1" applyAlignment="1">
      <alignment horizontal="center" vertical="center"/>
    </xf>
    <xf numFmtId="0" fontId="215" fillId="104" borderId="23" xfId="140" quotePrefix="1" applyFont="1" applyFill="1" applyBorder="1" applyAlignment="1">
      <alignment horizontal="center" vertical="center"/>
    </xf>
    <xf numFmtId="0" fontId="249" fillId="104" borderId="69" xfId="140" applyFont="1" applyFill="1" applyBorder="1" applyAlignment="1">
      <alignment horizontal="center" vertical="center"/>
    </xf>
    <xf numFmtId="0" fontId="249" fillId="104" borderId="23" xfId="140" applyFont="1" applyFill="1" applyBorder="1" applyAlignment="1">
      <alignment horizontal="center" vertical="center"/>
    </xf>
    <xf numFmtId="41" fontId="238" fillId="102" borderId="19" xfId="118" applyFont="1" applyFill="1" applyBorder="1" applyAlignment="1">
      <alignment horizontal="center" vertical="center"/>
    </xf>
    <xf numFmtId="0" fontId="215" fillId="69" borderId="50" xfId="140" applyFont="1" applyFill="1" applyBorder="1" applyAlignment="1">
      <alignment vertical="center"/>
    </xf>
    <xf numFmtId="0" fontId="249" fillId="104" borderId="68" xfId="140" applyFont="1" applyFill="1" applyBorder="1" applyAlignment="1">
      <alignment horizontal="center" vertical="center"/>
    </xf>
    <xf numFmtId="202" fontId="238" fillId="107" borderId="3" xfId="122" applyNumberFormat="1" applyFont="1" applyFill="1" applyBorder="1" applyAlignment="1">
      <alignment horizontal="center" vertical="center"/>
    </xf>
    <xf numFmtId="202" fontId="238" fillId="106" borderId="3" xfId="140" applyNumberFormat="1" applyFont="1" applyFill="1" applyBorder="1" applyAlignment="1">
      <alignment horizontal="center" vertical="center"/>
    </xf>
    <xf numFmtId="202" fontId="238" fillId="69" borderId="3" xfId="140" applyNumberFormat="1" applyFont="1" applyFill="1" applyBorder="1" applyAlignment="1">
      <alignment horizontal="center" vertical="center"/>
    </xf>
    <xf numFmtId="202" fontId="238" fillId="69" borderId="24" xfId="140" applyNumberFormat="1" applyFont="1" applyFill="1" applyBorder="1" applyAlignment="1">
      <alignment horizontal="center" vertical="center"/>
    </xf>
    <xf numFmtId="202" fontId="238" fillId="83" borderId="19" xfId="140" applyNumberFormat="1" applyFont="1" applyFill="1" applyBorder="1" applyAlignment="1">
      <alignment horizontal="center" vertical="center"/>
    </xf>
    <xf numFmtId="202" fontId="238" fillId="83" borderId="3" xfId="140" applyNumberFormat="1" applyFont="1" applyFill="1" applyBorder="1" applyAlignment="1">
      <alignment horizontal="center" vertical="center"/>
    </xf>
    <xf numFmtId="0" fontId="238" fillId="102" borderId="3" xfId="140" applyFont="1" applyFill="1" applyBorder="1" applyAlignment="1">
      <alignment horizontal="center" vertical="center"/>
    </xf>
    <xf numFmtId="202" fontId="238" fillId="102" borderId="3" xfId="140" applyNumberFormat="1" applyFont="1" applyFill="1" applyBorder="1" applyAlignment="1">
      <alignment horizontal="center" vertical="center"/>
    </xf>
    <xf numFmtId="0" fontId="190" fillId="69" borderId="19" xfId="140" applyFont="1" applyFill="1" applyBorder="1" applyAlignment="1">
      <alignment horizontal="center" vertical="center"/>
    </xf>
    <xf numFmtId="0" fontId="190" fillId="69" borderId="52" xfId="140" applyFont="1" applyFill="1" applyBorder="1" applyAlignment="1">
      <alignment horizontal="center" vertical="center"/>
    </xf>
    <xf numFmtId="0" fontId="190" fillId="0" borderId="0" xfId="140" applyFont="1" applyAlignment="1">
      <alignment horizontal="center" vertical="center"/>
    </xf>
    <xf numFmtId="41" fontId="226" fillId="35" borderId="23" xfId="159" applyFont="1" applyFill="1" applyBorder="1" applyAlignment="1">
      <alignment horizontal="center"/>
    </xf>
    <xf numFmtId="0" fontId="238" fillId="96" borderId="19" xfId="140" applyFont="1" applyFill="1" applyBorder="1" applyAlignment="1">
      <alignment vertical="center"/>
    </xf>
    <xf numFmtId="41" fontId="222" fillId="69" borderId="48" xfId="118" applyFont="1" applyFill="1" applyBorder="1" applyAlignment="1">
      <alignment vertical="center"/>
    </xf>
    <xf numFmtId="0" fontId="193" fillId="0" borderId="0" xfId="128" applyFont="1" applyAlignment="1">
      <alignment horizontal="center" vertical="center"/>
    </xf>
    <xf numFmtId="0" fontId="193" fillId="69" borderId="0" xfId="128" applyFont="1" applyFill="1" applyAlignment="1">
      <alignment horizontal="center" vertical="center"/>
    </xf>
    <xf numFmtId="41" fontId="193" fillId="72" borderId="3" xfId="116" applyFont="1" applyFill="1" applyBorder="1" applyAlignment="1">
      <alignment horizontal="center" vertical="center"/>
    </xf>
    <xf numFmtId="0" fontId="189" fillId="16" borderId="34" xfId="136" applyFont="1" applyFill="1" applyBorder="1" applyAlignment="1">
      <alignment horizontal="center" vertical="center" wrapText="1"/>
    </xf>
    <xf numFmtId="0" fontId="189" fillId="16" borderId="36" xfId="136" applyFont="1" applyFill="1" applyBorder="1" applyAlignment="1">
      <alignment horizontal="center" vertical="center" wrapText="1"/>
    </xf>
    <xf numFmtId="0" fontId="194" fillId="69" borderId="3" xfId="136" applyFont="1" applyFill="1" applyBorder="1" applyAlignment="1" applyProtection="1">
      <alignment vertical="center"/>
      <protection locked="0"/>
    </xf>
    <xf numFmtId="176" fontId="195" fillId="70" borderId="19" xfId="136" applyNumberFormat="1" applyFont="1" applyFill="1" applyBorder="1" applyAlignment="1">
      <alignment vertical="center"/>
    </xf>
    <xf numFmtId="41" fontId="222" fillId="69" borderId="46" xfId="140" applyNumberFormat="1" applyFont="1" applyFill="1" applyBorder="1" applyAlignment="1">
      <alignment vertical="center" wrapText="1"/>
    </xf>
    <xf numFmtId="41" fontId="222" fillId="69" borderId="47" xfId="140" applyNumberFormat="1" applyFont="1" applyFill="1" applyBorder="1" applyAlignment="1">
      <alignment vertical="center" wrapText="1"/>
    </xf>
    <xf numFmtId="41" fontId="222" fillId="69" borderId="50" xfId="140" applyNumberFormat="1" applyFont="1" applyFill="1" applyBorder="1" applyAlignment="1">
      <alignment vertical="center" wrapText="1"/>
    </xf>
    <xf numFmtId="41" fontId="222" fillId="69" borderId="53" xfId="140" applyNumberFormat="1" applyFont="1" applyFill="1" applyBorder="1" applyAlignment="1">
      <alignment vertical="center" wrapText="1"/>
    </xf>
    <xf numFmtId="41" fontId="222" fillId="69" borderId="63" xfId="118" applyFont="1" applyFill="1" applyBorder="1" applyAlignment="1">
      <alignment vertical="center"/>
    </xf>
    <xf numFmtId="41" fontId="222" fillId="69" borderId="64" xfId="118" applyFont="1" applyFill="1" applyBorder="1" applyAlignment="1">
      <alignment vertical="center"/>
    </xf>
    <xf numFmtId="41" fontId="222" fillId="69" borderId="46" xfId="140" applyNumberFormat="1" applyFont="1" applyFill="1" applyBorder="1" applyAlignment="1">
      <alignment vertical="center"/>
    </xf>
    <xf numFmtId="41" fontId="222" fillId="69" borderId="47" xfId="140" applyNumberFormat="1" applyFont="1" applyFill="1" applyBorder="1" applyAlignment="1">
      <alignment vertical="center"/>
    </xf>
    <xf numFmtId="41" fontId="222" fillId="69" borderId="48" xfId="140" applyNumberFormat="1" applyFont="1" applyFill="1" applyBorder="1" applyAlignment="1">
      <alignment vertical="center"/>
    </xf>
    <xf numFmtId="0" fontId="237" fillId="0" borderId="0" xfId="140" applyFont="1"/>
    <xf numFmtId="41" fontId="236" fillId="0" borderId="0" xfId="140" applyNumberFormat="1" applyFont="1" applyAlignment="1">
      <alignment horizontal="center" vertical="center"/>
    </xf>
    <xf numFmtId="41" fontId="236" fillId="0" borderId="0" xfId="3284" applyFont="1">
      <alignment vertical="center"/>
    </xf>
    <xf numFmtId="0" fontId="203" fillId="71" borderId="3" xfId="140" applyFont="1" applyFill="1" applyBorder="1" applyAlignment="1">
      <alignment vertical="center"/>
    </xf>
    <xf numFmtId="202" fontId="238" fillId="71" borderId="3" xfId="140" applyNumberFormat="1" applyFont="1" applyFill="1" applyBorder="1" applyAlignment="1">
      <alignment horizontal="center" vertical="center"/>
    </xf>
    <xf numFmtId="41" fontId="238" fillId="71" borderId="3" xfId="118" applyFont="1" applyFill="1" applyBorder="1" applyAlignment="1">
      <alignment horizontal="center" vertical="center"/>
    </xf>
    <xf numFmtId="0" fontId="238" fillId="71" borderId="3" xfId="140" applyFont="1" applyFill="1" applyBorder="1" applyAlignment="1">
      <alignment vertical="center"/>
    </xf>
    <xf numFmtId="202" fontId="222" fillId="71" borderId="3" xfId="140" applyNumberFormat="1" applyFont="1" applyFill="1" applyBorder="1" applyAlignment="1">
      <alignment horizontal="center" vertical="center"/>
    </xf>
    <xf numFmtId="0" fontId="203" fillId="71" borderId="19" xfId="140" applyFont="1" applyFill="1" applyBorder="1" applyAlignment="1">
      <alignment vertical="center"/>
    </xf>
    <xf numFmtId="0" fontId="222" fillId="71" borderId="19" xfId="140" applyFont="1" applyFill="1" applyBorder="1" applyAlignment="1">
      <alignment horizontal="center" vertical="center"/>
    </xf>
    <xf numFmtId="202" fontId="238" fillId="71" borderId="19" xfId="140" applyNumberFormat="1" applyFont="1" applyFill="1" applyBorder="1" applyAlignment="1">
      <alignment horizontal="center" vertical="center"/>
    </xf>
    <xf numFmtId="41" fontId="238" fillId="71" borderId="19" xfId="118" applyFont="1" applyFill="1" applyBorder="1" applyAlignment="1">
      <alignment horizontal="center" vertical="center"/>
    </xf>
    <xf numFmtId="41" fontId="248" fillId="0" borderId="0" xfId="111" applyFont="1" applyAlignment="1">
      <alignment horizontal="center" vertical="center"/>
    </xf>
    <xf numFmtId="41" fontId="249" fillId="104" borderId="46" xfId="111" applyFont="1" applyFill="1" applyBorder="1" applyAlignment="1">
      <alignment horizontal="center" vertical="center"/>
    </xf>
    <xf numFmtId="41" fontId="249" fillId="69" borderId="52" xfId="111" applyFont="1" applyFill="1" applyBorder="1" applyAlignment="1">
      <alignment vertical="center"/>
    </xf>
    <xf numFmtId="41" fontId="249" fillId="69" borderId="24" xfId="111" applyFont="1" applyFill="1" applyBorder="1" applyAlignment="1">
      <alignment vertical="center"/>
    </xf>
    <xf numFmtId="41" fontId="249" fillId="69" borderId="37" xfId="111" applyFont="1" applyFill="1" applyBorder="1" applyAlignment="1">
      <alignment vertical="center"/>
    </xf>
    <xf numFmtId="41" fontId="238" fillId="69" borderId="52" xfId="111" applyFont="1" applyFill="1" applyBorder="1" applyAlignment="1">
      <alignment vertical="center"/>
    </xf>
    <xf numFmtId="41" fontId="238" fillId="69" borderId="37" xfId="111" applyFont="1" applyFill="1" applyBorder="1" applyAlignment="1">
      <alignment vertical="center"/>
    </xf>
    <xf numFmtId="41" fontId="238" fillId="69" borderId="24" xfId="111" applyFont="1" applyFill="1" applyBorder="1" applyAlignment="1">
      <alignment vertical="center"/>
    </xf>
    <xf numFmtId="41" fontId="238" fillId="69" borderId="23" xfId="111" applyFont="1" applyFill="1" applyBorder="1" applyAlignment="1">
      <alignment vertical="center"/>
    </xf>
    <xf numFmtId="41" fontId="238" fillId="69" borderId="47" xfId="111" applyFont="1" applyFill="1" applyBorder="1" applyAlignment="1">
      <alignment vertical="center"/>
    </xf>
    <xf numFmtId="41" fontId="238" fillId="69" borderId="46" xfId="111" applyFont="1" applyFill="1" applyBorder="1" applyAlignment="1">
      <alignment vertical="center"/>
    </xf>
    <xf numFmtId="41" fontId="238" fillId="69" borderId="48" xfId="111" applyFont="1" applyFill="1" applyBorder="1" applyAlignment="1">
      <alignment vertical="center"/>
    </xf>
    <xf numFmtId="41" fontId="238" fillId="69" borderId="46" xfId="111" applyFont="1" applyFill="1" applyBorder="1" applyAlignment="1">
      <alignment vertical="center" wrapText="1"/>
    </xf>
    <xf numFmtId="41" fontId="238" fillId="69" borderId="47" xfId="111" applyFont="1" applyFill="1" applyBorder="1" applyAlignment="1">
      <alignment vertical="center" wrapText="1"/>
    </xf>
    <xf numFmtId="41" fontId="238" fillId="69" borderId="37" xfId="111" applyFont="1" applyFill="1" applyBorder="1" applyAlignment="1">
      <alignment vertical="center" wrapText="1"/>
    </xf>
    <xf numFmtId="41" fontId="238" fillId="69" borderId="31" xfId="111" applyFont="1" applyFill="1" applyBorder="1" applyAlignment="1">
      <alignment vertical="center" wrapText="1"/>
    </xf>
    <xf numFmtId="41" fontId="190" fillId="0" borderId="0" xfId="111" applyFont="1" applyAlignment="1">
      <alignment vertical="center"/>
    </xf>
    <xf numFmtId="41" fontId="249" fillId="69" borderId="23" xfId="111" applyFont="1" applyFill="1" applyBorder="1" applyAlignment="1">
      <alignment vertical="center"/>
    </xf>
    <xf numFmtId="41" fontId="215" fillId="69" borderId="70" xfId="140" applyNumberFormat="1" applyFont="1" applyFill="1" applyBorder="1" applyAlignment="1">
      <alignment vertical="center"/>
    </xf>
    <xf numFmtId="41" fontId="215" fillId="69" borderId="63" xfId="140" applyNumberFormat="1" applyFont="1" applyFill="1" applyBorder="1" applyAlignment="1">
      <alignment vertical="center"/>
    </xf>
    <xf numFmtId="0" fontId="215" fillId="69" borderId="63" xfId="140" applyFont="1" applyFill="1" applyBorder="1" applyAlignment="1">
      <alignment vertical="center"/>
    </xf>
    <xf numFmtId="205" fontId="238" fillId="102" borderId="27" xfId="140" applyNumberFormat="1" applyFont="1" applyFill="1" applyBorder="1" applyAlignment="1">
      <alignment horizontal="center" vertical="center"/>
    </xf>
    <xf numFmtId="41" fontId="249" fillId="69" borderId="31" xfId="111" applyFont="1" applyFill="1" applyBorder="1" applyAlignment="1">
      <alignment vertical="center"/>
    </xf>
    <xf numFmtId="0" fontId="215" fillId="69" borderId="53" xfId="140" applyFont="1" applyFill="1" applyBorder="1" applyAlignment="1">
      <alignment vertical="center"/>
    </xf>
    <xf numFmtId="41" fontId="255" fillId="91" borderId="48" xfId="111" applyFont="1" applyFill="1" applyBorder="1" applyAlignment="1">
      <alignment horizontal="center" vertical="center"/>
    </xf>
    <xf numFmtId="176" fontId="246" fillId="71" borderId="3" xfId="136" applyNumberFormat="1" applyFont="1" applyFill="1" applyBorder="1" applyAlignment="1">
      <alignment vertical="center"/>
    </xf>
    <xf numFmtId="176" fontId="232" fillId="0" borderId="0" xfId="128" applyNumberFormat="1" applyFont="1">
      <alignment vertical="center"/>
    </xf>
    <xf numFmtId="0" fontId="193" fillId="71" borderId="3" xfId="136" applyFont="1" applyFill="1" applyBorder="1" applyAlignment="1">
      <alignment horizontal="center" vertical="center"/>
    </xf>
    <xf numFmtId="0" fontId="194" fillId="71" borderId="3" xfId="136" applyFont="1" applyFill="1" applyBorder="1" applyAlignment="1">
      <alignment horizontal="center" vertical="center"/>
    </xf>
    <xf numFmtId="41" fontId="249" fillId="104" borderId="68" xfId="118" applyFont="1" applyFill="1" applyBorder="1" applyAlignment="1">
      <alignment horizontal="center" vertical="center"/>
    </xf>
    <xf numFmtId="41" fontId="238" fillId="69" borderId="16" xfId="118" applyFont="1" applyFill="1" applyBorder="1" applyAlignment="1">
      <alignment horizontal="center" vertical="center"/>
    </xf>
    <xf numFmtId="41" fontId="238" fillId="69" borderId="30" xfId="118" applyFont="1" applyFill="1" applyBorder="1" applyAlignment="1">
      <alignment horizontal="center" vertical="center"/>
    </xf>
    <xf numFmtId="41" fontId="238" fillId="107" borderId="16" xfId="118" applyFont="1" applyFill="1" applyBorder="1" applyAlignment="1">
      <alignment horizontal="center" vertical="center"/>
    </xf>
    <xf numFmtId="41" fontId="238" fillId="69" borderId="64" xfId="118" applyFont="1" applyFill="1" applyBorder="1" applyAlignment="1">
      <alignment horizontal="center" vertical="center"/>
    </xf>
    <xf numFmtId="41" fontId="238" fillId="69" borderId="43" xfId="118" applyFont="1" applyFill="1" applyBorder="1" applyAlignment="1">
      <alignment horizontal="center" vertical="center"/>
    </xf>
    <xf numFmtId="41" fontId="238" fillId="69" borderId="63" xfId="118" applyFont="1" applyFill="1" applyBorder="1" applyAlignment="1">
      <alignment horizontal="center" vertical="center"/>
    </xf>
    <xf numFmtId="41" fontId="238" fillId="69" borderId="26" xfId="118" applyFont="1" applyFill="1" applyBorder="1" applyAlignment="1">
      <alignment horizontal="center" vertical="center"/>
    </xf>
    <xf numFmtId="41" fontId="238" fillId="69" borderId="21" xfId="118" applyFont="1" applyFill="1" applyBorder="1" applyAlignment="1">
      <alignment horizontal="center" vertical="center"/>
    </xf>
    <xf numFmtId="41" fontId="238" fillId="69" borderId="62" xfId="118" applyFont="1" applyFill="1" applyBorder="1" applyAlignment="1">
      <alignment horizontal="center" vertical="center"/>
    </xf>
    <xf numFmtId="203" fontId="238" fillId="102" borderId="24" xfId="118" applyNumberFormat="1" applyFont="1" applyFill="1" applyBorder="1" applyAlignment="1">
      <alignment horizontal="center" vertical="center"/>
    </xf>
    <xf numFmtId="41" fontId="190" fillId="0" borderId="0" xfId="118" applyFont="1">
      <alignment vertical="center"/>
    </xf>
    <xf numFmtId="0" fontId="238" fillId="69" borderId="19" xfId="140" applyFont="1" applyFill="1" applyBorder="1" applyAlignment="1">
      <alignment vertical="center"/>
    </xf>
    <xf numFmtId="176" fontId="215" fillId="0" borderId="50" xfId="140" applyNumberFormat="1" applyFont="1" applyBorder="1" applyAlignment="1">
      <alignment horizontal="right" vertical="center"/>
    </xf>
    <xf numFmtId="0" fontId="222" fillId="0" borderId="32" xfId="140" applyFont="1" applyBorder="1" applyAlignment="1">
      <alignment horizontal="center" vertical="center"/>
    </xf>
    <xf numFmtId="176" fontId="215" fillId="0" borderId="45" xfId="140" applyNumberFormat="1" applyFont="1" applyBorder="1" applyAlignment="1">
      <alignment horizontal="right" vertical="center"/>
    </xf>
    <xf numFmtId="0" fontId="193" fillId="17" borderId="3" xfId="128" applyFont="1" applyFill="1" applyBorder="1">
      <alignment vertical="center"/>
    </xf>
    <xf numFmtId="0" fontId="194" fillId="69" borderId="19" xfId="136" applyFont="1" applyFill="1" applyBorder="1" applyAlignment="1" applyProtection="1">
      <alignment vertical="center"/>
      <protection locked="0"/>
    </xf>
    <xf numFmtId="41" fontId="246" fillId="81" borderId="37" xfId="116" applyFont="1" applyFill="1" applyBorder="1">
      <alignment vertical="center"/>
    </xf>
    <xf numFmtId="0" fontId="193" fillId="69" borderId="37" xfId="136" applyFont="1" applyFill="1" applyBorder="1" applyAlignment="1">
      <alignment horizontal="center" vertical="center"/>
    </xf>
    <xf numFmtId="0" fontId="264" fillId="0" borderId="0" xfId="140" applyFont="1" applyAlignment="1">
      <alignment vertical="center"/>
    </xf>
    <xf numFmtId="41" fontId="197" fillId="69" borderId="46" xfId="0" applyNumberFormat="1" applyFont="1" applyFill="1" applyBorder="1">
      <alignment vertical="center"/>
    </xf>
    <xf numFmtId="41" fontId="226" fillId="35" borderId="15" xfId="159" applyFont="1" applyFill="1" applyBorder="1" applyAlignment="1">
      <alignment horizontal="center"/>
    </xf>
    <xf numFmtId="41" fontId="226" fillId="35" borderId="48" xfId="159" applyFont="1" applyFill="1" applyBorder="1" applyAlignment="1">
      <alignment horizontal="center"/>
    </xf>
    <xf numFmtId="41" fontId="197" fillId="69" borderId="48" xfId="0" applyNumberFormat="1" applyFont="1" applyFill="1" applyBorder="1">
      <alignment vertical="center"/>
    </xf>
    <xf numFmtId="41" fontId="255" fillId="91" borderId="46" xfId="140" applyNumberFormat="1" applyFont="1" applyFill="1" applyBorder="1" applyAlignment="1">
      <alignment vertical="center"/>
    </xf>
    <xf numFmtId="41" fontId="265" fillId="103" borderId="34" xfId="140" applyNumberFormat="1" applyFont="1" applyFill="1" applyBorder="1" applyAlignment="1">
      <alignment vertical="center"/>
    </xf>
    <xf numFmtId="41" fontId="197" fillId="69" borderId="31" xfId="3706" applyFont="1" applyFill="1" applyBorder="1" applyAlignment="1">
      <alignment horizontal="center" vertical="center"/>
    </xf>
    <xf numFmtId="176" fontId="210" fillId="72" borderId="0" xfId="128" applyNumberFormat="1" applyFont="1" applyFill="1">
      <alignment vertical="center"/>
    </xf>
    <xf numFmtId="41" fontId="247" fillId="27" borderId="0" xfId="128" applyNumberFormat="1" applyFont="1" applyFill="1">
      <alignment vertical="center"/>
    </xf>
    <xf numFmtId="41" fontId="189" fillId="0" borderId="0" xfId="128" applyNumberFormat="1" applyFont="1">
      <alignment vertical="center"/>
    </xf>
    <xf numFmtId="41" fontId="247" fillId="69" borderId="0" xfId="128" applyNumberFormat="1" applyFont="1" applyFill="1">
      <alignment vertical="center"/>
    </xf>
    <xf numFmtId="0" fontId="189" fillId="0" borderId="4" xfId="136" applyFont="1" applyBorder="1" applyAlignment="1">
      <alignment vertical="center"/>
    </xf>
    <xf numFmtId="0" fontId="189" fillId="16" borderId="71" xfId="136" applyFont="1" applyFill="1" applyBorder="1" applyAlignment="1">
      <alignment horizontal="center" vertical="center"/>
    </xf>
    <xf numFmtId="176" fontId="246" fillId="41" borderId="42" xfId="136" applyNumberFormat="1" applyFont="1" applyFill="1" applyBorder="1" applyAlignment="1">
      <alignment vertical="center"/>
    </xf>
    <xf numFmtId="176" fontId="246" fillId="41" borderId="43" xfId="136" applyNumberFormat="1" applyFont="1" applyFill="1" applyBorder="1" applyAlignment="1">
      <alignment vertical="center"/>
    </xf>
    <xf numFmtId="176" fontId="246" fillId="41" borderId="44" xfId="136" applyNumberFormat="1" applyFont="1" applyFill="1" applyBorder="1" applyAlignment="1">
      <alignment vertical="center"/>
    </xf>
    <xf numFmtId="176" fontId="246" fillId="41" borderId="74" xfId="136" applyNumberFormat="1" applyFont="1" applyFill="1" applyBorder="1" applyAlignment="1">
      <alignment vertical="center"/>
    </xf>
    <xf numFmtId="176" fontId="246" fillId="41" borderId="73" xfId="136" applyNumberFormat="1" applyFont="1" applyFill="1" applyBorder="1" applyAlignment="1">
      <alignment vertical="center"/>
    </xf>
    <xf numFmtId="176" fontId="246" fillId="41" borderId="72" xfId="136" applyNumberFormat="1" applyFont="1" applyFill="1" applyBorder="1" applyAlignment="1">
      <alignment vertical="center"/>
    </xf>
    <xf numFmtId="176" fontId="246" fillId="41" borderId="75" xfId="136" applyNumberFormat="1" applyFont="1" applyFill="1" applyBorder="1" applyAlignment="1">
      <alignment vertical="center"/>
    </xf>
    <xf numFmtId="176" fontId="246" fillId="41" borderId="49" xfId="136" applyNumberFormat="1" applyFont="1" applyFill="1" applyBorder="1" applyAlignment="1">
      <alignment vertical="center"/>
    </xf>
    <xf numFmtId="176" fontId="238" fillId="41" borderId="75" xfId="136" applyNumberFormat="1" applyFont="1" applyFill="1" applyBorder="1" applyAlignment="1">
      <alignment vertical="center"/>
    </xf>
    <xf numFmtId="176" fontId="238" fillId="41" borderId="72" xfId="136" applyNumberFormat="1" applyFont="1" applyFill="1" applyBorder="1" applyAlignment="1">
      <alignment vertical="center"/>
    </xf>
    <xf numFmtId="176" fontId="238" fillId="41" borderId="73" xfId="136" applyNumberFormat="1" applyFont="1" applyFill="1" applyBorder="1" applyAlignment="1">
      <alignment vertical="center"/>
    </xf>
    <xf numFmtId="176" fontId="238" fillId="41" borderId="74" xfId="136" applyNumberFormat="1" applyFont="1" applyFill="1" applyBorder="1" applyAlignment="1">
      <alignment vertical="center"/>
    </xf>
    <xf numFmtId="176" fontId="238" fillId="41" borderId="70" xfId="136" applyNumberFormat="1" applyFont="1" applyFill="1" applyBorder="1" applyAlignment="1">
      <alignment vertical="center"/>
    </xf>
    <xf numFmtId="176" fontId="238" fillId="41" borderId="43" xfId="136" applyNumberFormat="1" applyFont="1" applyFill="1" applyBorder="1" applyAlignment="1">
      <alignment vertical="center"/>
    </xf>
    <xf numFmtId="176" fontId="238" fillId="41" borderId="53" xfId="136" applyNumberFormat="1" applyFont="1" applyFill="1" applyBorder="1" applyAlignment="1">
      <alignment vertical="center"/>
    </xf>
    <xf numFmtId="176" fontId="238" fillId="41" borderId="76" xfId="136" applyNumberFormat="1" applyFont="1" applyFill="1" applyBorder="1" applyAlignment="1">
      <alignment vertical="center"/>
    </xf>
    <xf numFmtId="41" fontId="0" fillId="0" borderId="0" xfId="0" applyNumberFormat="1">
      <alignment vertical="center"/>
    </xf>
    <xf numFmtId="204" fontId="217" fillId="71" borderId="24" xfId="128" applyNumberFormat="1" applyFont="1" applyFill="1" applyBorder="1" applyAlignment="1">
      <alignment horizontal="center" vertical="center"/>
    </xf>
    <xf numFmtId="0" fontId="197" fillId="0" borderId="0" xfId="128" applyFont="1">
      <alignment vertical="center"/>
    </xf>
    <xf numFmtId="41" fontId="197" fillId="33" borderId="52" xfId="128" applyNumberFormat="1" applyFont="1" applyFill="1" applyBorder="1">
      <alignment vertical="center"/>
    </xf>
    <xf numFmtId="41" fontId="197" fillId="33" borderId="24" xfId="128" applyNumberFormat="1" applyFont="1" applyFill="1" applyBorder="1">
      <alignment vertical="center"/>
    </xf>
    <xf numFmtId="0" fontId="193" fillId="40" borderId="51" xfId="136" applyFont="1" applyFill="1" applyBorder="1" applyAlignment="1">
      <alignment horizontal="center" vertical="center"/>
    </xf>
    <xf numFmtId="41" fontId="194" fillId="71" borderId="3" xfId="116" applyFont="1" applyFill="1" applyBorder="1" applyAlignment="1">
      <alignment horizontal="center" vertical="center"/>
    </xf>
    <xf numFmtId="0" fontId="194" fillId="0" borderId="3" xfId="136" applyFont="1" applyBorder="1" applyAlignment="1">
      <alignment horizontal="center" vertical="center"/>
    </xf>
    <xf numFmtId="0" fontId="194" fillId="72" borderId="24" xfId="136" applyFont="1" applyFill="1" applyBorder="1" applyAlignment="1">
      <alignment horizontal="center" vertical="center"/>
    </xf>
    <xf numFmtId="0" fontId="193" fillId="38" borderId="37" xfId="136" applyFont="1" applyFill="1" applyBorder="1" applyAlignment="1">
      <alignment horizontal="center" vertical="center"/>
    </xf>
    <xf numFmtId="41" fontId="194" fillId="44" borderId="37" xfId="116" applyFont="1" applyFill="1" applyBorder="1" applyAlignment="1">
      <alignment horizontal="center" vertical="center"/>
    </xf>
    <xf numFmtId="0" fontId="266" fillId="0" borderId="0" xfId="140" applyFont="1"/>
    <xf numFmtId="0" fontId="267" fillId="0" borderId="0" xfId="140" applyFont="1"/>
    <xf numFmtId="41" fontId="266" fillId="0" borderId="0" xfId="140" applyNumberFormat="1" applyFont="1" applyAlignment="1">
      <alignment vertical="center"/>
    </xf>
    <xf numFmtId="0" fontId="266" fillId="0" borderId="0" xfId="140" applyFont="1" applyAlignment="1">
      <alignment horizontal="left" vertical="center"/>
    </xf>
    <xf numFmtId="41" fontId="215" fillId="106" borderId="3" xfId="140" applyNumberFormat="1" applyFont="1" applyFill="1" applyBorder="1" applyAlignment="1">
      <alignment horizontal="center" vertical="center"/>
    </xf>
    <xf numFmtId="41" fontId="215" fillId="106" borderId="0" xfId="140" applyNumberFormat="1" applyFont="1" applyFill="1" applyAlignment="1">
      <alignment horizontal="center" vertical="center"/>
    </xf>
    <xf numFmtId="41" fontId="215" fillId="0" borderId="3" xfId="140" applyNumberFormat="1" applyFont="1" applyBorder="1" applyAlignment="1">
      <alignment horizontal="center" vertical="center"/>
    </xf>
    <xf numFmtId="41" fontId="215" fillId="0" borderId="0" xfId="140" applyNumberFormat="1" applyFont="1" applyAlignment="1">
      <alignment horizontal="center" vertical="center"/>
    </xf>
    <xf numFmtId="41" fontId="216" fillId="0" borderId="109" xfId="140" applyNumberFormat="1" applyFont="1" applyBorder="1" applyAlignment="1">
      <alignment vertical="center"/>
    </xf>
    <xf numFmtId="41" fontId="216" fillId="0" borderId="110" xfId="140" applyNumberFormat="1" applyFont="1" applyBorder="1" applyAlignment="1">
      <alignment vertical="center"/>
    </xf>
    <xf numFmtId="41" fontId="216" fillId="0" borderId="111" xfId="140" applyNumberFormat="1" applyFont="1" applyBorder="1" applyAlignment="1">
      <alignment vertical="center"/>
    </xf>
    <xf numFmtId="0" fontId="216" fillId="0" borderId="58" xfId="140" applyFont="1" applyBorder="1" applyAlignment="1">
      <alignment vertical="center"/>
    </xf>
    <xf numFmtId="9" fontId="216" fillId="0" borderId="0" xfId="140" applyNumberFormat="1" applyFont="1"/>
    <xf numFmtId="0" fontId="245" fillId="0" borderId="0" xfId="140" applyFont="1"/>
    <xf numFmtId="0" fontId="245" fillId="0" borderId="0" xfId="140" applyFont="1" applyAlignment="1">
      <alignment horizontal="left" vertical="center"/>
    </xf>
    <xf numFmtId="41" fontId="245" fillId="0" borderId="0" xfId="140" applyNumberFormat="1" applyFont="1" applyAlignment="1">
      <alignment vertical="center"/>
    </xf>
    <xf numFmtId="9" fontId="264" fillId="0" borderId="0" xfId="3807" applyFont="1" applyAlignment="1"/>
    <xf numFmtId="9" fontId="220" fillId="0" borderId="0" xfId="3807" applyFont="1" applyAlignment="1"/>
    <xf numFmtId="9" fontId="220" fillId="0" borderId="0" xfId="140" applyNumberFormat="1" applyFont="1"/>
    <xf numFmtId="9" fontId="264" fillId="0" borderId="0" xfId="140" applyNumberFormat="1" applyFont="1"/>
    <xf numFmtId="0" fontId="207" fillId="0" borderId="0" xfId="140" applyFont="1"/>
    <xf numFmtId="205" fontId="245" fillId="0" borderId="0" xfId="140" applyNumberFormat="1" applyFont="1" applyAlignment="1">
      <alignment vertical="center"/>
    </xf>
    <xf numFmtId="0" fontId="220" fillId="101" borderId="0" xfId="140" applyFont="1" applyFill="1"/>
    <xf numFmtId="0" fontId="266" fillId="101" borderId="0" xfId="140" applyFont="1" applyFill="1"/>
    <xf numFmtId="0" fontId="267" fillId="101" borderId="0" xfId="140" applyFont="1" applyFill="1"/>
    <xf numFmtId="41" fontId="216" fillId="0" borderId="112" xfId="140" applyNumberFormat="1" applyFont="1" applyBorder="1" applyAlignment="1">
      <alignment vertical="center"/>
    </xf>
    <xf numFmtId="0" fontId="216" fillId="0" borderId="59" xfId="140" applyFont="1" applyBorder="1" applyAlignment="1">
      <alignment vertical="center"/>
    </xf>
    <xf numFmtId="41" fontId="216" fillId="0" borderId="67" xfId="140" applyNumberFormat="1" applyFont="1" applyBorder="1" applyAlignment="1">
      <alignment vertical="center"/>
    </xf>
    <xf numFmtId="41" fontId="216" fillId="0" borderId="3" xfId="140" applyNumberFormat="1" applyFont="1" applyBorder="1" applyAlignment="1">
      <alignment vertical="center"/>
    </xf>
    <xf numFmtId="0" fontId="216" fillId="0" borderId="65" xfId="140" applyFont="1" applyBorder="1" applyAlignment="1">
      <alignment vertical="center"/>
    </xf>
    <xf numFmtId="41" fontId="216" fillId="0" borderId="113" xfId="140" applyNumberFormat="1" applyFont="1" applyBorder="1" applyAlignment="1">
      <alignment vertical="center"/>
    </xf>
    <xf numFmtId="0" fontId="216" fillId="0" borderId="3" xfId="140" applyFont="1" applyBorder="1" applyAlignment="1">
      <alignment vertical="center"/>
    </xf>
    <xf numFmtId="41" fontId="256" fillId="0" borderId="14" xfId="140" applyNumberFormat="1" applyFont="1" applyBorder="1" applyAlignment="1">
      <alignment vertical="center"/>
    </xf>
    <xf numFmtId="41" fontId="216" fillId="0" borderId="14" xfId="140" applyNumberFormat="1" applyFont="1" applyBorder="1" applyAlignment="1">
      <alignment horizontal="center" vertical="center"/>
    </xf>
    <xf numFmtId="41" fontId="220" fillId="0" borderId="0" xfId="111" applyFont="1" applyAlignment="1"/>
    <xf numFmtId="0" fontId="194" fillId="40" borderId="31" xfId="128" applyFont="1" applyFill="1" applyBorder="1">
      <alignment vertical="center"/>
    </xf>
    <xf numFmtId="0" fontId="194" fillId="40" borderId="32" xfId="128" applyFont="1" applyFill="1" applyBorder="1">
      <alignment vertical="center"/>
    </xf>
    <xf numFmtId="0" fontId="194" fillId="0" borderId="19" xfId="128" applyFont="1" applyBorder="1">
      <alignment vertical="center"/>
    </xf>
    <xf numFmtId="0" fontId="194" fillId="0" borderId="21" xfId="128" applyFont="1" applyBorder="1">
      <alignment vertical="center"/>
    </xf>
    <xf numFmtId="0" fontId="194" fillId="0" borderId="3" xfId="128" applyFont="1" applyBorder="1">
      <alignment vertical="center"/>
    </xf>
    <xf numFmtId="0" fontId="194" fillId="0" borderId="16" xfId="128" applyFont="1" applyBorder="1">
      <alignment vertical="center"/>
    </xf>
    <xf numFmtId="0" fontId="189" fillId="72" borderId="0" xfId="128" applyFont="1" applyFill="1">
      <alignment vertical="center"/>
    </xf>
    <xf numFmtId="176" fontId="189" fillId="72" borderId="0" xfId="128" applyNumberFormat="1" applyFont="1" applyFill="1">
      <alignment vertical="center"/>
    </xf>
    <xf numFmtId="176" fontId="189" fillId="0" borderId="0" xfId="128" applyNumberFormat="1" applyFont="1">
      <alignment vertical="center"/>
    </xf>
    <xf numFmtId="0" fontId="264" fillId="0" borderId="0" xfId="140" applyFont="1" applyAlignment="1">
      <alignment horizontal="center" vertical="center"/>
    </xf>
    <xf numFmtId="41" fontId="220" fillId="0" borderId="0" xfId="111" applyFont="1" applyAlignment="1">
      <alignment vertical="center"/>
    </xf>
    <xf numFmtId="0" fontId="0" fillId="0" borderId="0" xfId="0" applyAlignment="1">
      <alignment horizontal="center" vertical="center"/>
    </xf>
    <xf numFmtId="41" fontId="259" fillId="103" borderId="34" xfId="111" applyFont="1" applyFill="1" applyBorder="1" applyAlignment="1">
      <alignment vertical="center"/>
    </xf>
    <xf numFmtId="41" fontId="220" fillId="103" borderId="55" xfId="140" applyNumberFormat="1" applyFont="1" applyFill="1" applyBorder="1" applyAlignment="1">
      <alignment vertical="center"/>
    </xf>
    <xf numFmtId="0" fontId="192" fillId="0" borderId="71" xfId="136" applyFont="1" applyBorder="1" applyAlignment="1">
      <alignment vertical="center"/>
    </xf>
    <xf numFmtId="0" fontId="192" fillId="0" borderId="54" xfId="136" applyFont="1" applyBorder="1" applyAlignment="1">
      <alignment vertical="center"/>
    </xf>
    <xf numFmtId="0" fontId="192" fillId="0" borderId="75" xfId="136" applyFont="1" applyBorder="1" applyAlignment="1">
      <alignment vertical="center"/>
    </xf>
    <xf numFmtId="245" fontId="193" fillId="0" borderId="19" xfId="136" applyNumberFormat="1" applyFont="1" applyBorder="1" applyAlignment="1" applyProtection="1">
      <alignment vertical="center"/>
      <protection locked="0"/>
    </xf>
    <xf numFmtId="245" fontId="193" fillId="27" borderId="3" xfId="136" applyNumberFormat="1" applyFont="1" applyFill="1" applyBorder="1" applyAlignment="1" applyProtection="1">
      <alignment vertical="center"/>
      <protection locked="0"/>
    </xf>
    <xf numFmtId="245" fontId="193" fillId="72" borderId="3" xfId="136" applyNumberFormat="1" applyFont="1" applyFill="1" applyBorder="1" applyAlignment="1" applyProtection="1">
      <alignment vertical="center"/>
      <protection locked="0"/>
    </xf>
    <xf numFmtId="245" fontId="193" fillId="69" borderId="27" xfId="136" applyNumberFormat="1" applyFont="1" applyFill="1" applyBorder="1" applyAlignment="1" applyProtection="1">
      <alignment vertical="center"/>
      <protection locked="0"/>
    </xf>
    <xf numFmtId="245" fontId="193" fillId="90" borderId="19" xfId="136" applyNumberFormat="1" applyFont="1" applyFill="1" applyBorder="1" applyAlignment="1" applyProtection="1">
      <alignment vertical="center"/>
      <protection locked="0"/>
    </xf>
    <xf numFmtId="245" fontId="193" fillId="89" borderId="3" xfId="136" applyNumberFormat="1" applyFont="1" applyFill="1" applyBorder="1" applyAlignment="1" applyProtection="1">
      <alignment vertical="center"/>
      <protection locked="0"/>
    </xf>
    <xf numFmtId="245" fontId="193" fillId="90" borderId="3" xfId="136" applyNumberFormat="1" applyFont="1" applyFill="1" applyBorder="1" applyAlignment="1" applyProtection="1">
      <alignment vertical="center"/>
      <protection locked="0"/>
    </xf>
    <xf numFmtId="245" fontId="193" fillId="89" borderId="27" xfId="136" applyNumberFormat="1" applyFont="1" applyFill="1" applyBorder="1" applyAlignment="1" applyProtection="1">
      <alignment vertical="center"/>
      <protection locked="0"/>
    </xf>
    <xf numFmtId="245" fontId="193" fillId="69" borderId="19" xfId="136" applyNumberFormat="1" applyFont="1" applyFill="1" applyBorder="1" applyAlignment="1" applyProtection="1">
      <alignment vertical="center"/>
      <protection locked="0"/>
    </xf>
    <xf numFmtId="245" fontId="193" fillId="72" borderId="52" xfId="136" applyNumberFormat="1" applyFont="1" applyFill="1" applyBorder="1" applyAlignment="1" applyProtection="1">
      <alignment vertical="center"/>
      <protection locked="0"/>
    </xf>
    <xf numFmtId="245" fontId="193" fillId="89" borderId="52" xfId="136" applyNumberFormat="1" applyFont="1" applyFill="1" applyBorder="1" applyAlignment="1" applyProtection="1">
      <alignment vertical="center"/>
      <protection locked="0"/>
    </xf>
    <xf numFmtId="245" fontId="193" fillId="69" borderId="23" xfId="136" applyNumberFormat="1" applyFont="1" applyFill="1" applyBorder="1" applyAlignment="1" applyProtection="1">
      <alignment vertical="center"/>
      <protection locked="0"/>
    </xf>
    <xf numFmtId="245" fontId="193" fillId="0" borderId="37" xfId="136" applyNumberFormat="1" applyFont="1" applyBorder="1" applyAlignment="1" applyProtection="1">
      <alignment vertical="center"/>
      <protection locked="0"/>
    </xf>
    <xf numFmtId="245" fontId="193" fillId="40" borderId="52" xfId="136" applyNumberFormat="1" applyFont="1" applyFill="1" applyBorder="1" applyAlignment="1" applyProtection="1">
      <alignment vertical="center"/>
      <protection locked="0"/>
    </xf>
    <xf numFmtId="245" fontId="193" fillId="72" borderId="27" xfId="136" applyNumberFormat="1" applyFont="1" applyFill="1" applyBorder="1" applyAlignment="1" applyProtection="1">
      <alignment vertical="center"/>
      <protection locked="0"/>
    </xf>
    <xf numFmtId="245" fontId="193" fillId="69" borderId="37" xfId="136" applyNumberFormat="1" applyFont="1" applyFill="1" applyBorder="1" applyAlignment="1" applyProtection="1">
      <alignment vertical="center"/>
      <protection locked="0"/>
    </xf>
    <xf numFmtId="202" fontId="245" fillId="0" borderId="0" xfId="140" applyNumberFormat="1" applyFont="1" applyAlignment="1">
      <alignment vertical="center" shrinkToFit="1"/>
    </xf>
    <xf numFmtId="41" fontId="203" fillId="69" borderId="3" xfId="118" applyFont="1" applyFill="1" applyBorder="1" applyAlignment="1">
      <alignment horizontal="center" vertical="center"/>
    </xf>
    <xf numFmtId="41" fontId="203" fillId="69" borderId="24" xfId="118" applyFont="1" applyFill="1" applyBorder="1" applyAlignment="1">
      <alignment horizontal="center" vertical="center"/>
    </xf>
    <xf numFmtId="41" fontId="247" fillId="0" borderId="0" xfId="128" applyNumberFormat="1" applyFont="1">
      <alignment vertical="center"/>
    </xf>
    <xf numFmtId="176" fontId="268" fillId="35" borderId="4" xfId="136" applyNumberFormat="1" applyFont="1" applyFill="1" applyBorder="1" applyAlignment="1">
      <alignment vertical="center"/>
    </xf>
    <xf numFmtId="176" fontId="192" fillId="27" borderId="0" xfId="128" applyNumberFormat="1" applyFont="1" applyFill="1">
      <alignment vertical="center"/>
    </xf>
    <xf numFmtId="0" fontId="194" fillId="40" borderId="52" xfId="136" applyFont="1" applyFill="1" applyBorder="1" applyAlignment="1" applyProtection="1">
      <alignment vertical="center"/>
      <protection locked="0"/>
    </xf>
    <xf numFmtId="176" fontId="195" fillId="71" borderId="21" xfId="136" applyNumberFormat="1" applyFont="1" applyFill="1" applyBorder="1" applyAlignment="1">
      <alignment vertical="center"/>
    </xf>
    <xf numFmtId="0" fontId="238" fillId="69" borderId="24" xfId="140" applyFont="1" applyFill="1" applyBorder="1" applyAlignment="1">
      <alignment horizontal="center" vertical="center"/>
    </xf>
    <xf numFmtId="0" fontId="222" fillId="83" borderId="27" xfId="140" applyFont="1" applyFill="1" applyBorder="1" applyAlignment="1">
      <alignment vertical="center"/>
    </xf>
    <xf numFmtId="202" fontId="238" fillId="83" borderId="27" xfId="140" applyNumberFormat="1" applyFont="1" applyFill="1" applyBorder="1" applyAlignment="1">
      <alignment horizontal="center" vertical="center"/>
    </xf>
    <xf numFmtId="0" fontId="189" fillId="69" borderId="3" xfId="0" applyFont="1" applyFill="1" applyBorder="1" applyAlignment="1">
      <alignment horizontal="center" vertical="center"/>
    </xf>
    <xf numFmtId="0" fontId="238" fillId="102" borderId="52" xfId="140" applyFont="1" applyFill="1" applyBorder="1" applyAlignment="1">
      <alignment horizontal="left" vertical="center"/>
    </xf>
    <xf numFmtId="0" fontId="246" fillId="0" borderId="3" xfId="136" applyFont="1" applyBorder="1" applyAlignment="1">
      <alignment horizontal="center" vertical="center"/>
    </xf>
    <xf numFmtId="0" fontId="222" fillId="95" borderId="52" xfId="140" applyFont="1" applyFill="1" applyBorder="1" applyAlignment="1">
      <alignment horizontal="left" vertical="center"/>
    </xf>
    <xf numFmtId="0" fontId="222" fillId="95" borderId="52" xfId="140" applyFont="1" applyFill="1" applyBorder="1" applyAlignment="1">
      <alignment horizontal="center" vertical="center"/>
    </xf>
    <xf numFmtId="0" fontId="222" fillId="95" borderId="3" xfId="140" applyFont="1" applyFill="1" applyBorder="1" applyAlignment="1">
      <alignment horizontal="center" vertical="center"/>
    </xf>
    <xf numFmtId="41" fontId="220" fillId="0" borderId="0" xfId="3284" applyFont="1">
      <alignment vertical="center"/>
    </xf>
    <xf numFmtId="202" fontId="238" fillId="69" borderId="31" xfId="140" applyNumberFormat="1" applyFont="1" applyFill="1" applyBorder="1" applyAlignment="1">
      <alignment horizontal="center" vertical="center"/>
    </xf>
    <xf numFmtId="0" fontId="269" fillId="0" borderId="3" xfId="0" applyFont="1" applyBorder="1">
      <alignment vertical="center"/>
    </xf>
    <xf numFmtId="0" fontId="35" fillId="0" borderId="3" xfId="205" applyFont="1" applyBorder="1"/>
    <xf numFmtId="0" fontId="238" fillId="69" borderId="56" xfId="140" applyFont="1" applyFill="1" applyBorder="1" applyAlignment="1">
      <alignment horizontal="center" vertical="center"/>
    </xf>
    <xf numFmtId="0" fontId="238" fillId="96" borderId="52" xfId="140" applyFont="1" applyFill="1" applyBorder="1" applyAlignment="1">
      <alignment vertical="center"/>
    </xf>
    <xf numFmtId="0" fontId="203" fillId="69" borderId="31" xfId="140" applyFont="1" applyFill="1" applyBorder="1" applyAlignment="1">
      <alignment vertical="center"/>
    </xf>
    <xf numFmtId="41" fontId="203" fillId="69" borderId="31" xfId="118" applyFont="1" applyFill="1" applyBorder="1" applyAlignment="1">
      <alignment horizontal="center" vertical="center"/>
    </xf>
    <xf numFmtId="0" fontId="203" fillId="106" borderId="27" xfId="140" applyFont="1" applyFill="1" applyBorder="1" applyAlignment="1">
      <alignment vertical="center"/>
    </xf>
    <xf numFmtId="202" fontId="238" fillId="106" borderId="27" xfId="140" applyNumberFormat="1" applyFont="1" applyFill="1" applyBorder="1" applyAlignment="1">
      <alignment horizontal="center" vertical="center"/>
    </xf>
    <xf numFmtId="0" fontId="238" fillId="69" borderId="57" xfId="140" applyFont="1" applyFill="1" applyBorder="1" applyAlignment="1">
      <alignment horizontal="center" vertical="center"/>
    </xf>
    <xf numFmtId="0" fontId="238" fillId="106" borderId="3" xfId="140" applyFont="1" applyFill="1" applyBorder="1" applyAlignment="1">
      <alignment vertical="center"/>
    </xf>
    <xf numFmtId="0" fontId="222" fillId="106" borderId="27" xfId="140" applyFont="1" applyFill="1" applyBorder="1" applyAlignment="1">
      <alignment horizontal="center" vertical="center"/>
    </xf>
    <xf numFmtId="0" fontId="250" fillId="0" borderId="3" xfId="136" applyFont="1" applyBorder="1" applyAlignment="1" applyProtection="1">
      <alignment vertical="center"/>
      <protection locked="0"/>
    </xf>
    <xf numFmtId="0" fontId="250" fillId="0" borderId="52" xfId="136" applyFont="1" applyBorder="1" applyAlignment="1" applyProtection="1">
      <alignment vertical="center"/>
      <protection locked="0"/>
    </xf>
    <xf numFmtId="0" fontId="238" fillId="69" borderId="25" xfId="140" applyFont="1" applyFill="1" applyBorder="1" applyAlignment="1">
      <alignment vertical="center"/>
    </xf>
    <xf numFmtId="0" fontId="238" fillId="69" borderId="51" xfId="140" applyFont="1" applyFill="1" applyBorder="1" applyAlignment="1">
      <alignment vertical="center"/>
    </xf>
    <xf numFmtId="0" fontId="251" fillId="69" borderId="52" xfId="0" applyFont="1" applyFill="1" applyBorder="1" applyAlignment="1">
      <alignment horizontal="center" vertical="center"/>
    </xf>
    <xf numFmtId="0" fontId="251" fillId="72" borderId="52" xfId="0" applyFont="1" applyFill="1" applyBorder="1" applyAlignment="1">
      <alignment horizontal="left" vertical="center"/>
    </xf>
    <xf numFmtId="41" fontId="197" fillId="69" borderId="52" xfId="111" applyFont="1" applyFill="1" applyBorder="1" applyAlignment="1">
      <alignment horizontal="center" vertical="center"/>
    </xf>
    <xf numFmtId="0" fontId="251" fillId="69" borderId="3" xfId="0" applyFont="1" applyFill="1" applyBorder="1" applyAlignment="1">
      <alignment horizontal="center" vertical="center"/>
    </xf>
    <xf numFmtId="0" fontId="251" fillId="72" borderId="3" xfId="0" applyFont="1" applyFill="1" applyBorder="1" applyAlignment="1">
      <alignment horizontal="left" vertical="center"/>
    </xf>
    <xf numFmtId="0" fontId="222" fillId="107" borderId="57" xfId="140" applyFont="1" applyFill="1" applyBorder="1" applyAlignment="1">
      <alignment horizontal="center" vertical="center"/>
    </xf>
    <xf numFmtId="0" fontId="222" fillId="107" borderId="24" xfId="140" applyFont="1" applyFill="1" applyBorder="1" applyAlignment="1">
      <alignment horizontal="left" vertical="center"/>
    </xf>
    <xf numFmtId="181" fontId="222" fillId="107" borderId="24" xfId="122" applyNumberFormat="1" applyFont="1" applyFill="1" applyBorder="1" applyAlignment="1">
      <alignment horizontal="center" vertical="center"/>
    </xf>
    <xf numFmtId="202" fontId="238" fillId="107" borderId="24" xfId="122" applyNumberFormat="1" applyFont="1" applyFill="1" applyBorder="1" applyAlignment="1">
      <alignment horizontal="center" vertical="center"/>
    </xf>
    <xf numFmtId="0" fontId="222" fillId="107" borderId="37" xfId="140" applyFont="1" applyFill="1" applyBorder="1" applyAlignment="1">
      <alignment horizontal="center" vertical="center"/>
    </xf>
    <xf numFmtId="41" fontId="238" fillId="107" borderId="24" xfId="118" applyFont="1" applyFill="1" applyBorder="1" applyAlignment="1">
      <alignment horizontal="center" vertical="center"/>
    </xf>
    <xf numFmtId="41" fontId="238" fillId="107" borderId="26" xfId="118" applyFont="1" applyFill="1" applyBorder="1" applyAlignment="1">
      <alignment horizontal="center" vertical="center"/>
    </xf>
    <xf numFmtId="0" fontId="238" fillId="102" borderId="3" xfId="0" applyFont="1" applyFill="1" applyBorder="1" applyAlignment="1">
      <alignment horizontal="center" vertical="center"/>
    </xf>
    <xf numFmtId="205" fontId="238" fillId="102" borderId="3" xfId="140" applyNumberFormat="1" applyFont="1" applyFill="1" applyBorder="1" applyAlignment="1">
      <alignment horizontal="center" vertical="center"/>
    </xf>
    <xf numFmtId="0" fontId="238" fillId="102" borderId="27" xfId="0" applyFont="1" applyFill="1" applyBorder="1" applyAlignment="1">
      <alignment horizontal="center" vertical="center"/>
    </xf>
    <xf numFmtId="41" fontId="215" fillId="69" borderId="64" xfId="140" applyNumberFormat="1" applyFont="1" applyFill="1" applyBorder="1" applyAlignment="1">
      <alignment vertical="center"/>
    </xf>
    <xf numFmtId="41" fontId="215" fillId="69" borderId="50" xfId="140" applyNumberFormat="1" applyFont="1" applyFill="1" applyBorder="1" applyAlignment="1">
      <alignment vertical="center"/>
    </xf>
    <xf numFmtId="0" fontId="207" fillId="69" borderId="23" xfId="3706" applyNumberFormat="1" applyFont="1" applyFill="1" applyBorder="1" applyAlignment="1">
      <alignment horizontal="center" vertical="center"/>
    </xf>
    <xf numFmtId="0" fontId="194" fillId="0" borderId="27" xfId="116" applyNumberFormat="1" applyFont="1" applyBorder="1" applyAlignment="1">
      <alignment horizontal="center" vertical="center"/>
    </xf>
    <xf numFmtId="41" fontId="238" fillId="106" borderId="3" xfId="118" applyFont="1" applyFill="1" applyBorder="1" applyAlignment="1">
      <alignment horizontal="center" vertical="center"/>
    </xf>
    <xf numFmtId="41" fontId="226" fillId="35" borderId="14" xfId="159" applyFont="1" applyFill="1" applyBorder="1" applyAlignment="1">
      <alignment horizontal="center"/>
    </xf>
    <xf numFmtId="0" fontId="207" fillId="110" borderId="78" xfId="136" applyFont="1" applyFill="1" applyBorder="1" applyAlignment="1">
      <alignment horizontal="center" vertical="center"/>
    </xf>
    <xf numFmtId="177" fontId="189" fillId="91" borderId="34" xfId="138" applyNumberFormat="1" applyFont="1" applyFill="1" applyBorder="1" applyAlignment="1" applyProtection="1">
      <alignment horizontal="center" vertical="center"/>
      <protection locked="0"/>
    </xf>
    <xf numFmtId="0" fontId="192" fillId="91" borderId="35" xfId="136" applyFont="1" applyFill="1" applyBorder="1" applyAlignment="1">
      <alignment horizontal="center" vertical="center"/>
    </xf>
    <xf numFmtId="0" fontId="192" fillId="91" borderId="55" xfId="136" applyFont="1" applyFill="1" applyBorder="1" applyAlignment="1">
      <alignment horizontal="center" vertical="center"/>
    </xf>
    <xf numFmtId="43" fontId="220" fillId="0" borderId="0" xfId="140" applyNumberFormat="1" applyFont="1"/>
    <xf numFmtId="41" fontId="246" fillId="81" borderId="23" xfId="116" applyFont="1" applyFill="1" applyBorder="1">
      <alignment vertical="center"/>
    </xf>
    <xf numFmtId="0" fontId="192" fillId="72" borderId="0" xfId="128" applyFont="1" applyFill="1">
      <alignment vertical="center"/>
    </xf>
    <xf numFmtId="0" fontId="192" fillId="90" borderId="0" xfId="128" applyFont="1" applyFill="1">
      <alignment vertical="center"/>
    </xf>
    <xf numFmtId="0" fontId="232" fillId="0" borderId="0" xfId="128" applyFont="1">
      <alignment vertical="center"/>
    </xf>
    <xf numFmtId="41" fontId="232" fillId="0" borderId="0" xfId="3284" applyFont="1">
      <alignment vertical="center"/>
    </xf>
    <xf numFmtId="0" fontId="195" fillId="97" borderId="48" xfId="136" applyFont="1" applyFill="1" applyBorder="1" applyAlignment="1">
      <alignment horizontal="center" vertical="center"/>
    </xf>
    <xf numFmtId="0" fontId="193" fillId="97" borderId="33" xfId="136" applyFont="1" applyFill="1" applyBorder="1" applyAlignment="1">
      <alignment horizontal="center" vertical="center"/>
    </xf>
    <xf numFmtId="0" fontId="193" fillId="97" borderId="31" xfId="136" applyFont="1" applyFill="1" applyBorder="1" applyAlignment="1">
      <alignment horizontal="center" vertical="center"/>
    </xf>
    <xf numFmtId="41" fontId="194" fillId="97" borderId="31" xfId="116" applyFont="1" applyFill="1" applyBorder="1" applyAlignment="1">
      <alignment horizontal="center" vertical="center"/>
    </xf>
    <xf numFmtId="0" fontId="193" fillId="97" borderId="33" xfId="136" applyFont="1" applyFill="1" applyBorder="1" applyAlignment="1" applyProtection="1">
      <alignment vertical="center"/>
      <protection locked="0"/>
    </xf>
    <xf numFmtId="0" fontId="193" fillId="97" borderId="4" xfId="136" applyFont="1" applyFill="1" applyBorder="1" applyAlignment="1" applyProtection="1">
      <alignment vertical="center"/>
      <protection locked="0"/>
    </xf>
    <xf numFmtId="0" fontId="193" fillId="97" borderId="31" xfId="136" applyFont="1" applyFill="1" applyBorder="1" applyAlignment="1" applyProtection="1">
      <alignment vertical="center"/>
      <protection locked="0"/>
    </xf>
    <xf numFmtId="41" fontId="195" fillId="70" borderId="31" xfId="116" applyFont="1" applyFill="1" applyBorder="1">
      <alignment vertical="center"/>
    </xf>
    <xf numFmtId="0" fontId="253" fillId="37" borderId="0" xfId="140" applyFont="1" applyFill="1" applyAlignment="1">
      <alignment horizontal="center" vertical="center" textRotation="255"/>
    </xf>
    <xf numFmtId="0" fontId="238" fillId="69" borderId="28" xfId="140" applyFont="1" applyFill="1" applyBorder="1" applyAlignment="1">
      <alignment horizontal="center" vertical="center"/>
    </xf>
    <xf numFmtId="0" fontId="238" fillId="96" borderId="27" xfId="140" applyFont="1" applyFill="1" applyBorder="1" applyAlignment="1">
      <alignment vertical="center"/>
    </xf>
    <xf numFmtId="0" fontId="238" fillId="0" borderId="27" xfId="140" applyFont="1" applyBorder="1" applyAlignment="1">
      <alignment horizontal="center" vertical="center" wrapText="1"/>
    </xf>
    <xf numFmtId="0" fontId="211" fillId="105" borderId="23" xfId="136" applyFont="1" applyFill="1" applyBorder="1" applyAlignment="1">
      <alignment horizontal="center" vertical="center"/>
    </xf>
    <xf numFmtId="177" fontId="211" fillId="71" borderId="23" xfId="138" applyNumberFormat="1" applyFont="1" applyFill="1" applyBorder="1" applyAlignment="1" applyProtection="1">
      <alignment horizontal="center" vertical="center"/>
      <protection locked="0"/>
    </xf>
    <xf numFmtId="0" fontId="249" fillId="71" borderId="70" xfId="128" applyFont="1" applyFill="1" applyBorder="1" applyAlignment="1">
      <alignment horizontal="center" vertical="center"/>
    </xf>
    <xf numFmtId="176" fontId="215" fillId="69" borderId="50" xfId="140" applyNumberFormat="1" applyFont="1" applyFill="1" applyBorder="1" applyAlignment="1">
      <alignment horizontal="right" vertical="center"/>
    </xf>
    <xf numFmtId="41" fontId="197" fillId="69" borderId="85" xfId="0" applyNumberFormat="1" applyFont="1" applyFill="1" applyBorder="1">
      <alignment vertical="center"/>
    </xf>
    <xf numFmtId="41" fontId="197" fillId="69" borderId="84" xfId="0" applyNumberFormat="1" applyFont="1" applyFill="1" applyBorder="1">
      <alignment vertical="center"/>
    </xf>
    <xf numFmtId="0" fontId="203" fillId="72" borderId="52" xfId="140" applyFont="1" applyFill="1" applyBorder="1" applyAlignment="1">
      <alignment horizontal="left" vertical="center"/>
    </xf>
    <xf numFmtId="0" fontId="216" fillId="69" borderId="106" xfId="128" applyFont="1" applyFill="1" applyBorder="1" applyAlignment="1">
      <alignment horizontal="center" vertical="center"/>
    </xf>
    <xf numFmtId="41" fontId="196" fillId="69" borderId="106" xfId="116" applyFont="1" applyFill="1" applyBorder="1" applyAlignment="1">
      <alignment horizontal="center" vertical="center"/>
    </xf>
    <xf numFmtId="41" fontId="193" fillId="0" borderId="31" xfId="116" applyFont="1" applyBorder="1" applyAlignment="1">
      <alignment horizontal="center" vertical="center"/>
    </xf>
    <xf numFmtId="0" fontId="222" fillId="83" borderId="56" xfId="140" applyFont="1" applyFill="1" applyBorder="1" applyAlignment="1">
      <alignment horizontal="center" vertical="center"/>
    </xf>
    <xf numFmtId="0" fontId="222" fillId="83" borderId="52" xfId="140" applyFont="1" applyFill="1" applyBorder="1" applyAlignment="1">
      <alignment vertical="center"/>
    </xf>
    <xf numFmtId="202" fontId="238" fillId="83" borderId="52" xfId="140" applyNumberFormat="1" applyFont="1" applyFill="1" applyBorder="1" applyAlignment="1">
      <alignment horizontal="center" vertical="center"/>
    </xf>
    <xf numFmtId="0" fontId="194" fillId="72" borderId="52" xfId="136" applyFont="1" applyFill="1" applyBorder="1" applyAlignment="1">
      <alignment horizontal="center" vertical="center"/>
    </xf>
    <xf numFmtId="0" fontId="194" fillId="71" borderId="52" xfId="136" applyFont="1" applyFill="1" applyBorder="1" applyAlignment="1">
      <alignment horizontal="center" vertical="center"/>
    </xf>
    <xf numFmtId="41" fontId="194" fillId="71" borderId="52" xfId="116" applyFont="1" applyFill="1" applyBorder="1" applyAlignment="1">
      <alignment horizontal="center" vertical="center"/>
    </xf>
    <xf numFmtId="0" fontId="222" fillId="0" borderId="52" xfId="140" applyFont="1" applyBorder="1" applyAlignment="1">
      <alignment vertical="center"/>
    </xf>
    <xf numFmtId="0" fontId="222" fillId="0" borderId="23" xfId="140" applyFont="1" applyBorder="1" applyAlignment="1">
      <alignment horizontal="left" vertical="center"/>
    </xf>
    <xf numFmtId="0" fontId="197" fillId="69" borderId="23" xfId="140" applyFont="1" applyFill="1" applyBorder="1" applyAlignment="1">
      <alignment horizontal="center" vertical="center"/>
    </xf>
    <xf numFmtId="0" fontId="197" fillId="69" borderId="70" xfId="140" applyFont="1" applyFill="1" applyBorder="1" applyAlignment="1">
      <alignment horizontal="center" vertical="center"/>
    </xf>
    <xf numFmtId="0" fontId="271" fillId="0" borderId="0" xfId="140" applyFont="1" applyAlignment="1">
      <alignment vertical="center"/>
    </xf>
    <xf numFmtId="0" fontId="271" fillId="69" borderId="0" xfId="140" applyFont="1" applyFill="1" applyAlignment="1">
      <alignment vertical="center"/>
    </xf>
    <xf numFmtId="176" fontId="249" fillId="69" borderId="53" xfId="140" applyNumberFormat="1" applyFont="1" applyFill="1" applyBorder="1" applyAlignment="1">
      <alignment horizontal="right" vertical="center"/>
    </xf>
    <xf numFmtId="41" fontId="255" fillId="0" borderId="0" xfId="117" applyFont="1" applyAlignment="1"/>
    <xf numFmtId="41" fontId="223" fillId="35" borderId="45" xfId="117" applyFont="1" applyFill="1" applyBorder="1" applyAlignment="1">
      <alignment horizontal="center" vertical="center"/>
    </xf>
    <xf numFmtId="0" fontId="238" fillId="102" borderId="52" xfId="140" applyFont="1" applyFill="1" applyBorder="1" applyAlignment="1">
      <alignment horizontal="center" vertical="center"/>
    </xf>
    <xf numFmtId="0" fontId="238" fillId="83" borderId="52" xfId="140" applyFont="1" applyFill="1" applyBorder="1" applyAlignment="1">
      <alignment horizontal="center" vertical="center"/>
    </xf>
    <xf numFmtId="0" fontId="249" fillId="0" borderId="42" xfId="140" applyFont="1" applyBorder="1" applyAlignment="1">
      <alignment horizontal="center" vertical="center"/>
    </xf>
    <xf numFmtId="0" fontId="249" fillId="0" borderId="44" xfId="140" applyFont="1" applyBorder="1" applyAlignment="1">
      <alignment horizontal="center" vertical="center"/>
    </xf>
    <xf numFmtId="0" fontId="249" fillId="0" borderId="64" xfId="140" applyFont="1" applyBorder="1" applyAlignment="1">
      <alignment horizontal="center" vertical="center"/>
    </xf>
    <xf numFmtId="0" fontId="249" fillId="0" borderId="43" xfId="140" applyFont="1" applyBorder="1" applyAlignment="1">
      <alignment horizontal="center" vertical="center"/>
    </xf>
    <xf numFmtId="0" fontId="249" fillId="0" borderId="63" xfId="140" applyFont="1" applyBorder="1" applyAlignment="1">
      <alignment horizontal="center" vertical="center"/>
    </xf>
    <xf numFmtId="0" fontId="238" fillId="0" borderId="43" xfId="140" applyFont="1" applyBorder="1" applyAlignment="1">
      <alignment horizontal="center" vertical="center"/>
    </xf>
    <xf numFmtId="0" fontId="249" fillId="69" borderId="43" xfId="140" applyFont="1" applyFill="1" applyBorder="1" applyAlignment="1">
      <alignment horizontal="center" vertical="center"/>
    </xf>
    <xf numFmtId="0" fontId="249" fillId="72" borderId="43" xfId="140" applyFont="1" applyFill="1" applyBorder="1" applyAlignment="1">
      <alignment horizontal="center" vertical="center" wrapText="1"/>
    </xf>
    <xf numFmtId="0" fontId="249" fillId="71" borderId="43" xfId="140" applyFont="1" applyFill="1" applyBorder="1" applyAlignment="1">
      <alignment horizontal="center" vertical="center" wrapText="1"/>
    </xf>
    <xf numFmtId="0" fontId="238" fillId="0" borderId="50" xfId="140" applyFont="1" applyBorder="1" applyAlignment="1">
      <alignment horizontal="center" vertical="center"/>
    </xf>
    <xf numFmtId="0" fontId="238" fillId="0" borderId="63" xfId="140" applyFont="1" applyBorder="1" applyAlignment="1">
      <alignment horizontal="center" vertical="center"/>
    </xf>
    <xf numFmtId="0" fontId="238" fillId="0" borderId="44" xfId="140" applyFont="1" applyBorder="1" applyAlignment="1">
      <alignment horizontal="center" vertical="center"/>
    </xf>
    <xf numFmtId="0" fontId="249" fillId="0" borderId="70" xfId="140" applyFont="1" applyBorder="1" applyAlignment="1">
      <alignment horizontal="center" vertical="center"/>
    </xf>
    <xf numFmtId="0" fontId="247" fillId="69" borderId="70" xfId="140" applyFont="1" applyFill="1" applyBorder="1" applyAlignment="1">
      <alignment horizontal="center" vertical="center"/>
    </xf>
    <xf numFmtId="0" fontId="247" fillId="69" borderId="63" xfId="140" applyFont="1" applyFill="1" applyBorder="1" applyAlignment="1">
      <alignment horizontal="center" vertical="center"/>
    </xf>
    <xf numFmtId="0" fontId="249" fillId="0" borderId="0" xfId="140" applyFont="1" applyAlignment="1">
      <alignment horizontal="center" vertical="center"/>
    </xf>
    <xf numFmtId="0" fontId="238" fillId="102" borderId="24" xfId="140" applyFont="1" applyFill="1" applyBorder="1" applyAlignment="1">
      <alignment vertical="center"/>
    </xf>
    <xf numFmtId="181" fontId="238" fillId="102" borderId="24" xfId="122" applyNumberFormat="1" applyFont="1" applyFill="1" applyBorder="1" applyAlignment="1">
      <alignment horizontal="center" vertical="center"/>
    </xf>
    <xf numFmtId="0" fontId="238" fillId="102" borderId="3" xfId="140" applyFont="1" applyFill="1" applyBorder="1" applyAlignment="1">
      <alignment vertical="center"/>
    </xf>
    <xf numFmtId="181" fontId="238" fillId="102" borderId="3" xfId="122" applyNumberFormat="1" applyFont="1" applyFill="1" applyBorder="1" applyAlignment="1">
      <alignment horizontal="center" vertical="center"/>
    </xf>
    <xf numFmtId="0" fontId="238" fillId="102" borderId="3" xfId="140" applyFont="1" applyFill="1" applyBorder="1" applyAlignment="1">
      <alignment horizontal="left" vertical="center"/>
    </xf>
    <xf numFmtId="0" fontId="238" fillId="102" borderId="37" xfId="140" applyFont="1" applyFill="1" applyBorder="1" applyAlignment="1">
      <alignment horizontal="left" vertical="center"/>
    </xf>
    <xf numFmtId="0" fontId="238" fillId="106" borderId="3" xfId="140" applyFont="1" applyFill="1" applyBorder="1" applyAlignment="1">
      <alignment horizontal="center" vertical="center"/>
    </xf>
    <xf numFmtId="0" fontId="238" fillId="106" borderId="15" xfId="140" applyFont="1" applyFill="1" applyBorder="1" applyAlignment="1">
      <alignment horizontal="center" vertical="center"/>
    </xf>
    <xf numFmtId="41" fontId="235" fillId="109" borderId="45" xfId="0" applyNumberFormat="1" applyFont="1" applyFill="1" applyBorder="1">
      <alignment vertical="center"/>
    </xf>
    <xf numFmtId="0" fontId="235" fillId="112" borderId="48" xfId="0" applyFont="1" applyFill="1" applyBorder="1" applyAlignment="1">
      <alignment horizontal="center" vertical="center"/>
    </xf>
    <xf numFmtId="41" fontId="197" fillId="69" borderId="63" xfId="0" applyNumberFormat="1" applyFont="1" applyFill="1" applyBorder="1">
      <alignment vertical="center"/>
    </xf>
    <xf numFmtId="41" fontId="226" fillId="35" borderId="18" xfId="159" applyFont="1" applyFill="1" applyBorder="1" applyAlignment="1">
      <alignment horizontal="center"/>
    </xf>
    <xf numFmtId="41" fontId="226" fillId="35" borderId="29" xfId="159" applyFont="1" applyFill="1" applyBorder="1" applyAlignment="1">
      <alignment horizontal="center"/>
    </xf>
    <xf numFmtId="41" fontId="189" fillId="69" borderId="49" xfId="0" applyNumberFormat="1" applyFont="1" applyFill="1" applyBorder="1">
      <alignment vertical="center"/>
    </xf>
    <xf numFmtId="0" fontId="238" fillId="69" borderId="52" xfId="140" applyFont="1" applyFill="1" applyBorder="1" applyAlignment="1">
      <alignment horizontal="left" vertical="center"/>
    </xf>
    <xf numFmtId="0" fontId="249" fillId="36" borderId="78" xfId="140" applyFont="1" applyFill="1" applyBorder="1" applyAlignment="1">
      <alignment horizontal="center" vertical="center"/>
    </xf>
    <xf numFmtId="177" fontId="197" fillId="69" borderId="30" xfId="3720" applyNumberFormat="1" applyFont="1" applyFill="1" applyBorder="1">
      <alignment vertical="center"/>
    </xf>
    <xf numFmtId="0" fontId="238" fillId="69" borderId="27" xfId="140" applyFont="1" applyFill="1" applyBorder="1" applyAlignment="1">
      <alignment vertical="center"/>
    </xf>
    <xf numFmtId="0" fontId="253" fillId="91" borderId="17" xfId="140" applyFont="1" applyFill="1" applyBorder="1" applyAlignment="1">
      <alignment horizontal="center" vertical="center" textRotation="255"/>
    </xf>
    <xf numFmtId="0" fontId="253" fillId="91" borderId="0" xfId="140" applyFont="1" applyFill="1" applyAlignment="1">
      <alignment horizontal="center" vertical="center" textRotation="255"/>
    </xf>
    <xf numFmtId="0" fontId="190" fillId="91" borderId="0" xfId="140" applyFont="1" applyFill="1" applyAlignment="1">
      <alignment horizontal="center" vertical="center"/>
    </xf>
    <xf numFmtId="41" fontId="197" fillId="69" borderId="62" xfId="3720" applyFont="1" applyFill="1" applyBorder="1" applyAlignment="1">
      <alignment horizontal="center" vertical="center"/>
    </xf>
    <xf numFmtId="0" fontId="253" fillId="69" borderId="0" xfId="140" applyFont="1" applyFill="1" applyAlignment="1">
      <alignment horizontal="center" vertical="center" textRotation="255"/>
    </xf>
    <xf numFmtId="0" fontId="238" fillId="69" borderId="43" xfId="140" applyFont="1" applyFill="1" applyBorder="1" applyAlignment="1">
      <alignment vertical="center"/>
    </xf>
    <xf numFmtId="0" fontId="238" fillId="0" borderId="14" xfId="140" applyFont="1" applyBorder="1" applyAlignment="1">
      <alignment horizontal="center" vertical="center"/>
    </xf>
    <xf numFmtId="41" fontId="197" fillId="69" borderId="3" xfId="116" applyFont="1" applyFill="1" applyBorder="1" applyAlignment="1">
      <alignment horizontal="center" vertical="center"/>
    </xf>
    <xf numFmtId="41" fontId="197" fillId="69" borderId="3" xfId="140" applyNumberFormat="1" applyFont="1" applyFill="1" applyBorder="1" applyAlignment="1">
      <alignment vertical="center"/>
    </xf>
    <xf numFmtId="0" fontId="190" fillId="69" borderId="0" xfId="140" applyFont="1" applyFill="1" applyAlignment="1">
      <alignment horizontal="center" vertical="center"/>
    </xf>
    <xf numFmtId="0" fontId="238" fillId="72" borderId="43" xfId="140" applyFont="1" applyFill="1" applyBorder="1" applyAlignment="1">
      <alignment vertical="center"/>
    </xf>
    <xf numFmtId="0" fontId="238" fillId="69" borderId="14" xfId="140" applyFont="1" applyFill="1" applyBorder="1" applyAlignment="1">
      <alignment horizontal="center" vertical="center"/>
    </xf>
    <xf numFmtId="0" fontId="238" fillId="0" borderId="43" xfId="140" applyFont="1" applyBorder="1" applyAlignment="1">
      <alignment vertical="center"/>
    </xf>
    <xf numFmtId="0" fontId="190" fillId="0" borderId="0" xfId="140" applyFont="1" applyAlignment="1">
      <alignment horizontal="center"/>
    </xf>
    <xf numFmtId="0" fontId="240" fillId="69" borderId="3" xfId="140" applyFont="1" applyFill="1" applyBorder="1" applyAlignment="1">
      <alignment horizontal="center" vertical="center"/>
    </xf>
    <xf numFmtId="0" fontId="193" fillId="90" borderId="24" xfId="136" applyFont="1" applyFill="1" applyBorder="1" applyAlignment="1">
      <alignment horizontal="center" vertical="center"/>
    </xf>
    <xf numFmtId="41" fontId="194" fillId="90" borderId="24" xfId="116" applyFont="1" applyFill="1" applyBorder="1" applyAlignment="1">
      <alignment horizontal="center" vertical="center"/>
    </xf>
    <xf numFmtId="245" fontId="193" fillId="90" borderId="24" xfId="136" applyNumberFormat="1" applyFont="1" applyFill="1" applyBorder="1" applyAlignment="1" applyProtection="1">
      <alignment vertical="center"/>
      <protection locked="0"/>
    </xf>
    <xf numFmtId="0" fontId="193" fillId="89" borderId="34" xfId="136" applyFont="1" applyFill="1" applyBorder="1" applyAlignment="1">
      <alignment horizontal="center" vertical="center"/>
    </xf>
    <xf numFmtId="176" fontId="195" fillId="70" borderId="34" xfId="136" applyNumberFormat="1" applyFont="1" applyFill="1" applyBorder="1" applyAlignment="1">
      <alignment vertical="center"/>
    </xf>
    <xf numFmtId="0" fontId="193" fillId="0" borderId="32" xfId="136" applyFont="1" applyBorder="1" applyAlignment="1" applyProtection="1">
      <alignment vertical="center"/>
      <protection locked="0"/>
    </xf>
    <xf numFmtId="176" fontId="195" fillId="70" borderId="31" xfId="136" applyNumberFormat="1" applyFont="1" applyFill="1" applyBorder="1" applyAlignment="1">
      <alignment vertical="center"/>
    </xf>
    <xf numFmtId="0" fontId="189" fillId="28" borderId="69" xfId="136" applyFont="1" applyFill="1" applyBorder="1" applyAlignment="1">
      <alignment horizontal="center" vertical="center"/>
    </xf>
    <xf numFmtId="0" fontId="189" fillId="0" borderId="0" xfId="136" applyFont="1" applyAlignment="1">
      <alignment horizontal="center" vertical="center"/>
    </xf>
    <xf numFmtId="0" fontId="67" fillId="0" borderId="0" xfId="0" applyFont="1">
      <alignment vertical="center"/>
    </xf>
    <xf numFmtId="0" fontId="194" fillId="92" borderId="52" xfId="136" applyFont="1" applyFill="1" applyBorder="1" applyAlignment="1">
      <alignment horizontal="center" vertical="center"/>
    </xf>
    <xf numFmtId="202" fontId="275" fillId="106" borderId="3" xfId="140" applyNumberFormat="1" applyFont="1" applyFill="1" applyBorder="1" applyAlignment="1">
      <alignment horizontal="center" vertical="center"/>
    </xf>
    <xf numFmtId="202" fontId="275" fillId="69" borderId="3" xfId="140" applyNumberFormat="1" applyFont="1" applyFill="1" applyBorder="1" applyAlignment="1">
      <alignment horizontal="center" vertical="center"/>
    </xf>
    <xf numFmtId="41" fontId="194" fillId="92" borderId="3" xfId="116" applyFont="1" applyFill="1" applyBorder="1" applyAlignment="1">
      <alignment horizontal="center" vertical="center"/>
    </xf>
    <xf numFmtId="0" fontId="194" fillId="92" borderId="3" xfId="136" applyFont="1" applyFill="1" applyBorder="1" applyAlignment="1">
      <alignment horizontal="center" vertical="center"/>
    </xf>
    <xf numFmtId="176" fontId="192" fillId="0" borderId="33" xfId="128" applyNumberFormat="1" applyFont="1" applyBorder="1">
      <alignment vertical="center"/>
    </xf>
    <xf numFmtId="0" fontId="192" fillId="0" borderId="86" xfId="136" applyFont="1" applyBorder="1" applyAlignment="1">
      <alignment vertical="center"/>
    </xf>
    <xf numFmtId="0" fontId="192" fillId="0" borderId="17" xfId="136" applyFont="1" applyBorder="1" applyAlignment="1">
      <alignment vertical="center"/>
    </xf>
    <xf numFmtId="0" fontId="194" fillId="0" borderId="52" xfId="136" applyFont="1" applyBorder="1" applyAlignment="1">
      <alignment horizontal="center" vertical="center"/>
    </xf>
    <xf numFmtId="0" fontId="207" fillId="0" borderId="20" xfId="136" applyFont="1" applyBorder="1" applyAlignment="1">
      <alignment horizontal="center" vertical="center" wrapText="1"/>
    </xf>
    <xf numFmtId="0" fontId="193" fillId="0" borderId="23" xfId="136" applyFont="1" applyBorder="1" applyAlignment="1" applyProtection="1">
      <alignment vertical="center"/>
      <protection locked="0"/>
    </xf>
    <xf numFmtId="0" fontId="193" fillId="69" borderId="23" xfId="136" applyFont="1" applyFill="1" applyBorder="1" applyAlignment="1" applyProtection="1">
      <alignment vertical="center"/>
      <protection locked="0"/>
    </xf>
    <xf numFmtId="0" fontId="207" fillId="0" borderId="15" xfId="136" applyFont="1" applyBorder="1" applyAlignment="1">
      <alignment horizontal="center" vertical="center" wrapText="1"/>
    </xf>
    <xf numFmtId="0" fontId="207" fillId="115" borderId="15" xfId="136" applyFont="1" applyFill="1" applyBorder="1" applyAlignment="1">
      <alignment horizontal="center" vertical="center" wrapText="1"/>
    </xf>
    <xf numFmtId="0" fontId="207" fillId="106" borderId="15" xfId="136" applyFont="1" applyFill="1" applyBorder="1" applyAlignment="1">
      <alignment horizontal="center" vertical="center" wrapText="1"/>
    </xf>
    <xf numFmtId="0" fontId="207" fillId="114" borderId="15" xfId="136" applyFont="1" applyFill="1" applyBorder="1" applyAlignment="1">
      <alignment horizontal="center" vertical="center" wrapText="1"/>
    </xf>
    <xf numFmtId="0" fontId="207" fillId="70" borderId="15" xfId="136" applyFont="1" applyFill="1" applyBorder="1" applyAlignment="1">
      <alignment horizontal="center" vertical="center" wrapText="1"/>
    </xf>
    <xf numFmtId="0" fontId="277" fillId="69" borderId="52" xfId="140" applyFont="1" applyFill="1" applyBorder="1" applyAlignment="1">
      <alignment horizontal="center" vertical="center"/>
    </xf>
    <xf numFmtId="41" fontId="277" fillId="69" borderId="52" xfId="3706" applyFont="1" applyFill="1" applyBorder="1" applyAlignment="1">
      <alignment horizontal="center"/>
    </xf>
    <xf numFmtId="245" fontId="274" fillId="72" borderId="27" xfId="136" applyNumberFormat="1" applyFont="1" applyFill="1" applyBorder="1" applyAlignment="1" applyProtection="1">
      <alignment vertical="center"/>
      <protection locked="0"/>
    </xf>
    <xf numFmtId="0" fontId="278" fillId="0" borderId="3" xfId="136" applyFont="1" applyBorder="1" applyAlignment="1">
      <alignment horizontal="center" vertical="center"/>
    </xf>
    <xf numFmtId="0" fontId="274" fillId="0" borderId="3" xfId="136" applyFont="1" applyBorder="1" applyAlignment="1">
      <alignment horizontal="center" vertical="center"/>
    </xf>
    <xf numFmtId="0" fontId="203" fillId="71" borderId="18" xfId="140" applyFont="1" applyFill="1" applyBorder="1" applyAlignment="1">
      <alignment horizontal="center" vertical="center"/>
    </xf>
    <xf numFmtId="0" fontId="203" fillId="71" borderId="14" xfId="140" applyFont="1" applyFill="1" applyBorder="1" applyAlignment="1">
      <alignment horizontal="center" vertical="center"/>
    </xf>
    <xf numFmtId="0" fontId="238" fillId="71" borderId="14" xfId="140" applyFont="1" applyFill="1" applyBorder="1" applyAlignment="1">
      <alignment horizontal="center" vertical="center"/>
    </xf>
    <xf numFmtId="0" fontId="197" fillId="69" borderId="51" xfId="140" applyFont="1" applyFill="1" applyBorder="1" applyAlignment="1">
      <alignment horizontal="center" vertical="center"/>
    </xf>
    <xf numFmtId="41" fontId="197" fillId="69" borderId="29" xfId="140" applyNumberFormat="1" applyFont="1" applyFill="1" applyBorder="1" applyAlignment="1">
      <alignment horizontal="center" vertical="center"/>
    </xf>
    <xf numFmtId="0" fontId="222" fillId="0" borderId="20" xfId="140" applyFont="1" applyBorder="1" applyAlignment="1">
      <alignment horizontal="center" vertical="center"/>
    </xf>
    <xf numFmtId="0" fontId="222" fillId="0" borderId="15" xfId="140" applyFont="1" applyBorder="1" applyAlignment="1">
      <alignment horizontal="center" vertical="center"/>
    </xf>
    <xf numFmtId="0" fontId="222" fillId="0" borderId="28" xfId="140" applyFont="1" applyBorder="1" applyAlignment="1">
      <alignment horizontal="center" vertical="center"/>
    </xf>
    <xf numFmtId="41" fontId="223" fillId="35" borderId="81" xfId="159" applyFont="1" applyFill="1" applyBorder="1" applyAlignment="1">
      <alignment horizontal="center"/>
    </xf>
    <xf numFmtId="41" fontId="223" fillId="35" borderId="84" xfId="159" applyFont="1" applyFill="1" applyBorder="1" applyAlignment="1">
      <alignment horizontal="center"/>
    </xf>
    <xf numFmtId="41" fontId="223" fillId="35" borderId="83" xfId="159" applyFont="1" applyFill="1" applyBorder="1" applyAlignment="1">
      <alignment horizontal="center"/>
    </xf>
    <xf numFmtId="41" fontId="223" fillId="35" borderId="82" xfId="159" applyFont="1" applyFill="1" applyBorder="1" applyAlignment="1">
      <alignment horizontal="center"/>
    </xf>
    <xf numFmtId="41" fontId="223" fillId="35" borderId="43" xfId="159" applyFont="1" applyFill="1" applyBorder="1" applyAlignment="1">
      <alignment horizontal="center" vertical="center"/>
    </xf>
    <xf numFmtId="41" fontId="223" fillId="35" borderId="42" xfId="159" applyFont="1" applyFill="1" applyBorder="1" applyAlignment="1">
      <alignment horizontal="center"/>
    </xf>
    <xf numFmtId="41" fontId="223" fillId="35" borderId="43" xfId="159" applyFont="1" applyFill="1" applyBorder="1" applyAlignment="1">
      <alignment horizontal="center"/>
    </xf>
    <xf numFmtId="41" fontId="223" fillId="35" borderId="63" xfId="159" applyFont="1" applyFill="1" applyBorder="1" applyAlignment="1">
      <alignment horizontal="center"/>
    </xf>
    <xf numFmtId="41" fontId="223" fillId="35" borderId="3" xfId="159" applyFont="1" applyFill="1" applyBorder="1" applyAlignment="1">
      <alignment horizontal="center"/>
    </xf>
    <xf numFmtId="41" fontId="223" fillId="35" borderId="42" xfId="159" applyFont="1" applyFill="1" applyBorder="1" applyAlignment="1">
      <alignment horizontal="center" vertical="center"/>
    </xf>
    <xf numFmtId="41" fontId="223" fillId="35" borderId="63" xfId="159" applyFont="1" applyFill="1" applyBorder="1" applyAlignment="1">
      <alignment horizontal="center" vertical="center"/>
    </xf>
    <xf numFmtId="41" fontId="223" fillId="35" borderId="82" xfId="111" applyFont="1" applyFill="1" applyBorder="1" applyAlignment="1">
      <alignment horizontal="center"/>
    </xf>
    <xf numFmtId="0" fontId="238" fillId="102" borderId="37" xfId="140" applyFont="1" applyFill="1" applyBorder="1" applyAlignment="1">
      <alignment horizontal="center" vertical="center"/>
    </xf>
    <xf numFmtId="0" fontId="258" fillId="0" borderId="14" xfId="136" applyFont="1" applyBorder="1" applyAlignment="1">
      <alignment horizontal="center" vertical="center"/>
    </xf>
    <xf numFmtId="41" fontId="238" fillId="69" borderId="47" xfId="3284" applyFont="1" applyFill="1" applyBorder="1" applyAlignment="1">
      <alignment vertical="center"/>
    </xf>
    <xf numFmtId="0" fontId="228" fillId="36" borderId="77" xfId="140" applyFont="1" applyFill="1" applyBorder="1" applyAlignment="1">
      <alignment horizontal="center" vertical="center" textRotation="255"/>
    </xf>
    <xf numFmtId="0" fontId="203" fillId="0" borderId="31" xfId="140" applyFont="1" applyBorder="1" applyAlignment="1">
      <alignment horizontal="center" vertical="center"/>
    </xf>
    <xf numFmtId="0" fontId="222" fillId="0" borderId="27" xfId="140" applyFont="1" applyBorder="1" applyAlignment="1">
      <alignment vertical="center"/>
    </xf>
    <xf numFmtId="41" fontId="197" fillId="69" borderId="27" xfId="3706" applyFont="1" applyFill="1" applyBorder="1" applyAlignment="1">
      <alignment horizontal="center"/>
    </xf>
    <xf numFmtId="41" fontId="197" fillId="69" borderId="27" xfId="3706" applyFont="1" applyFill="1" applyBorder="1" applyAlignment="1">
      <alignment horizontal="right" vertical="center"/>
    </xf>
    <xf numFmtId="41" fontId="226" fillId="35" borderId="43" xfId="159" applyFont="1" applyFill="1" applyBorder="1" applyAlignment="1">
      <alignment horizontal="center"/>
    </xf>
    <xf numFmtId="0" fontId="203" fillId="83" borderId="3" xfId="140" applyFont="1" applyFill="1" applyBorder="1" applyAlignment="1">
      <alignment horizontal="center" vertical="center"/>
    </xf>
    <xf numFmtId="0" fontId="203" fillId="83" borderId="19" xfId="140" applyFont="1" applyFill="1" applyBorder="1" applyAlignment="1">
      <alignment horizontal="center" vertical="center"/>
    </xf>
    <xf numFmtId="41" fontId="222" fillId="69" borderId="70" xfId="140" applyNumberFormat="1" applyFont="1" applyFill="1" applyBorder="1" applyAlignment="1">
      <alignment vertical="center" wrapText="1"/>
    </xf>
    <xf numFmtId="0" fontId="203" fillId="83" borderId="27" xfId="140" applyFont="1" applyFill="1" applyBorder="1" applyAlignment="1">
      <alignment horizontal="center" vertical="center"/>
    </xf>
    <xf numFmtId="41" fontId="238" fillId="69" borderId="31" xfId="111" applyFont="1" applyFill="1" applyBorder="1" applyAlignment="1">
      <alignment vertical="center"/>
    </xf>
    <xf numFmtId="0" fontId="194" fillId="0" borderId="3" xfId="136" applyFont="1" applyBorder="1" applyAlignment="1" applyProtection="1">
      <alignment vertical="center"/>
      <protection locked="0"/>
    </xf>
    <xf numFmtId="0" fontId="193" fillId="0" borderId="15" xfId="136" applyFont="1" applyBorder="1" applyAlignment="1">
      <alignment horizontal="center" vertical="center"/>
    </xf>
    <xf numFmtId="0" fontId="278" fillId="92" borderId="52" xfId="136" applyFont="1" applyFill="1" applyBorder="1" applyAlignment="1">
      <alignment horizontal="center" vertical="center"/>
    </xf>
    <xf numFmtId="0" fontId="193" fillId="27" borderId="31" xfId="136" applyFont="1" applyFill="1" applyBorder="1" applyAlignment="1" applyProtection="1">
      <alignment vertical="center"/>
      <protection locked="0"/>
    </xf>
    <xf numFmtId="176" fontId="195" fillId="70" borderId="23" xfId="136" applyNumberFormat="1" applyFont="1" applyFill="1" applyBorder="1" applyAlignment="1">
      <alignment vertical="center"/>
    </xf>
    <xf numFmtId="176" fontId="246" fillId="41" borderId="71" xfId="136" applyNumberFormat="1" applyFont="1" applyFill="1" applyBorder="1" applyAlignment="1">
      <alignment vertical="center"/>
    </xf>
    <xf numFmtId="202" fontId="190" fillId="0" borderId="0" xfId="140" applyNumberFormat="1" applyFont="1" applyAlignment="1">
      <alignment horizontal="center"/>
    </xf>
    <xf numFmtId="41" fontId="190" fillId="0" borderId="0" xfId="3284" applyFont="1" applyAlignment="1">
      <alignment horizontal="center"/>
    </xf>
    <xf numFmtId="41" fontId="190" fillId="0" borderId="0" xfId="140" applyNumberFormat="1" applyFont="1" applyAlignment="1">
      <alignment horizontal="center"/>
    </xf>
    <xf numFmtId="0" fontId="190" fillId="0" borderId="0" xfId="140" applyFont="1" applyAlignment="1">
      <alignment horizontal="right" vertical="center"/>
    </xf>
    <xf numFmtId="41" fontId="190" fillId="0" borderId="0" xfId="140" applyNumberFormat="1" applyFont="1" applyAlignment="1">
      <alignment horizontal="center" vertical="center"/>
    </xf>
    <xf numFmtId="41" fontId="264" fillId="0" borderId="0" xfId="3284" applyFont="1" applyAlignment="1">
      <alignment horizontal="center"/>
    </xf>
    <xf numFmtId="0" fontId="192" fillId="110" borderId="35" xfId="136" applyFont="1" applyFill="1" applyBorder="1" applyAlignment="1">
      <alignment horizontal="center" vertical="center"/>
    </xf>
    <xf numFmtId="0" fontId="192" fillId="110" borderId="45" xfId="136" applyFont="1" applyFill="1" applyBorder="1" applyAlignment="1">
      <alignment horizontal="center" vertical="center"/>
    </xf>
    <xf numFmtId="0" fontId="192" fillId="110" borderId="36" xfId="136" applyFont="1" applyFill="1" applyBorder="1" applyAlignment="1">
      <alignment horizontal="center" vertical="center"/>
    </xf>
    <xf numFmtId="0" fontId="192" fillId="0" borderId="69" xfId="136" applyFont="1" applyBorder="1" applyAlignment="1">
      <alignment vertical="center"/>
    </xf>
    <xf numFmtId="0" fontId="192" fillId="0" borderId="38" xfId="136" applyFont="1" applyBorder="1" applyAlignment="1">
      <alignment vertical="center"/>
    </xf>
    <xf numFmtId="0" fontId="193" fillId="44" borderId="51" xfId="136" applyFont="1" applyFill="1" applyBorder="1" applyAlignment="1" applyProtection="1">
      <alignment vertical="center"/>
      <protection locked="0"/>
    </xf>
    <xf numFmtId="0" fontId="193" fillId="44" borderId="52" xfId="136" applyFont="1" applyFill="1" applyBorder="1" applyAlignment="1" applyProtection="1">
      <alignment vertical="center"/>
      <protection locked="0"/>
    </xf>
    <xf numFmtId="0" fontId="193" fillId="71" borderId="19" xfId="136" applyFont="1" applyFill="1" applyBorder="1" applyAlignment="1">
      <alignment horizontal="center" vertical="center"/>
    </xf>
    <xf numFmtId="41" fontId="194" fillId="71" borderId="19" xfId="116" applyFont="1" applyFill="1" applyBorder="1" applyAlignment="1">
      <alignment horizontal="center" vertical="center"/>
    </xf>
    <xf numFmtId="0" fontId="193" fillId="69" borderId="18" xfId="136" applyFont="1" applyFill="1" applyBorder="1" applyAlignment="1" applyProtection="1">
      <alignment vertical="center"/>
      <protection locked="0"/>
    </xf>
    <xf numFmtId="0" fontId="193" fillId="71" borderId="24" xfId="136" applyFont="1" applyFill="1" applyBorder="1" applyAlignment="1">
      <alignment horizontal="center" vertical="center"/>
    </xf>
    <xf numFmtId="41" fontId="194" fillId="71" borderId="24" xfId="116" applyFont="1" applyFill="1" applyBorder="1" applyAlignment="1">
      <alignment horizontal="center" vertical="center"/>
    </xf>
    <xf numFmtId="0" fontId="194" fillId="71" borderId="24" xfId="136" applyFont="1" applyFill="1" applyBorder="1" applyAlignment="1">
      <alignment horizontal="center" vertical="center"/>
    </xf>
    <xf numFmtId="0" fontId="207" fillId="0" borderId="56" xfId="136" applyFont="1" applyBorder="1" applyAlignment="1">
      <alignment horizontal="center" vertical="center" wrapText="1"/>
    </xf>
    <xf numFmtId="0" fontId="197" fillId="104" borderId="15" xfId="136" applyFont="1" applyFill="1" applyBorder="1" applyAlignment="1">
      <alignment horizontal="center" vertical="center" wrapText="1"/>
    </xf>
    <xf numFmtId="176" fontId="195" fillId="104" borderId="3" xfId="136" applyNumberFormat="1" applyFont="1" applyFill="1" applyBorder="1" applyAlignment="1">
      <alignment vertical="center"/>
    </xf>
    <xf numFmtId="176" fontId="195" fillId="104" borderId="43" xfId="136" applyNumberFormat="1" applyFont="1" applyFill="1" applyBorder="1" applyAlignment="1">
      <alignment vertical="center"/>
    </xf>
    <xf numFmtId="0" fontId="207" fillId="109" borderId="15" xfId="136" applyFont="1" applyFill="1" applyBorder="1" applyAlignment="1">
      <alignment horizontal="center" vertical="center" wrapText="1"/>
    </xf>
    <xf numFmtId="0" fontId="189" fillId="0" borderId="0" xfId="0" applyFont="1" applyAlignment="1">
      <alignment horizontal="center" vertical="center"/>
    </xf>
    <xf numFmtId="176" fontId="246" fillId="114" borderId="3" xfId="136" applyNumberFormat="1" applyFont="1" applyFill="1" applyBorder="1" applyAlignment="1">
      <alignment vertical="center"/>
    </xf>
    <xf numFmtId="176" fontId="195" fillId="114" borderId="43" xfId="136" applyNumberFormat="1" applyFont="1" applyFill="1" applyBorder="1" applyAlignment="1">
      <alignment vertical="center"/>
    </xf>
    <xf numFmtId="0" fontId="194" fillId="114" borderId="3" xfId="136" applyFont="1" applyFill="1" applyBorder="1" applyAlignment="1">
      <alignment horizontal="center" vertical="center"/>
    </xf>
    <xf numFmtId="41" fontId="194" fillId="114" borderId="3" xfId="116" applyFont="1" applyFill="1" applyBorder="1" applyAlignment="1">
      <alignment horizontal="center" vertical="center"/>
    </xf>
    <xf numFmtId="0" fontId="194" fillId="114" borderId="52" xfId="136" applyFont="1" applyFill="1" applyBorder="1" applyAlignment="1">
      <alignment horizontal="center" vertical="center"/>
    </xf>
    <xf numFmtId="0" fontId="207" fillId="72" borderId="15" xfId="136" applyFont="1" applyFill="1" applyBorder="1" applyAlignment="1">
      <alignment horizontal="center" vertical="center" wrapText="1"/>
    </xf>
    <xf numFmtId="0" fontId="194" fillId="72" borderId="3" xfId="136" applyFont="1" applyFill="1" applyBorder="1" applyAlignment="1">
      <alignment horizontal="center" vertical="center"/>
    </xf>
    <xf numFmtId="176" fontId="246" fillId="72" borderId="3" xfId="136" applyNumberFormat="1" applyFont="1" applyFill="1" applyBorder="1" applyAlignment="1">
      <alignment vertical="center"/>
    </xf>
    <xf numFmtId="176" fontId="246" fillId="72" borderId="43" xfId="136" applyNumberFormat="1" applyFont="1" applyFill="1" applyBorder="1" applyAlignment="1">
      <alignment vertical="center"/>
    </xf>
    <xf numFmtId="176" fontId="246" fillId="72" borderId="52" xfId="136" applyNumberFormat="1" applyFont="1" applyFill="1" applyBorder="1" applyAlignment="1">
      <alignment vertical="center"/>
    </xf>
    <xf numFmtId="176" fontId="246" fillId="72" borderId="63" xfId="136" applyNumberFormat="1" applyFont="1" applyFill="1" applyBorder="1" applyAlignment="1">
      <alignment vertical="center"/>
    </xf>
    <xf numFmtId="0" fontId="194" fillId="69" borderId="3" xfId="136" applyFont="1" applyFill="1" applyBorder="1" applyAlignment="1">
      <alignment horizontal="center" vertical="center"/>
    </xf>
    <xf numFmtId="176" fontId="246" fillId="69" borderId="3" xfId="136" applyNumberFormat="1" applyFont="1" applyFill="1" applyBorder="1" applyAlignment="1">
      <alignment vertical="center"/>
    </xf>
    <xf numFmtId="176" fontId="195" fillId="69" borderId="43" xfId="136" applyNumberFormat="1" applyFont="1" applyFill="1" applyBorder="1" applyAlignment="1">
      <alignment vertical="center"/>
    </xf>
    <xf numFmtId="0" fontId="194" fillId="69" borderId="52" xfId="136" applyFont="1" applyFill="1" applyBorder="1" applyAlignment="1">
      <alignment horizontal="center" vertical="center"/>
    </xf>
    <xf numFmtId="0" fontId="280" fillId="69" borderId="52" xfId="0" applyFont="1" applyFill="1" applyBorder="1" applyAlignment="1">
      <alignment horizontal="center" vertical="center"/>
    </xf>
    <xf numFmtId="0" fontId="280" fillId="72" borderId="3" xfId="0" applyFont="1" applyFill="1" applyBorder="1" applyAlignment="1">
      <alignment horizontal="left" vertical="center"/>
    </xf>
    <xf numFmtId="0" fontId="264" fillId="0" borderId="0" xfId="140" applyFont="1" applyAlignment="1">
      <alignment horizontal="center"/>
    </xf>
    <xf numFmtId="202" fontId="264" fillId="0" borderId="0" xfId="140" applyNumberFormat="1" applyFont="1" applyAlignment="1">
      <alignment horizontal="center"/>
    </xf>
    <xf numFmtId="41" fontId="264" fillId="0" borderId="0" xfId="140" applyNumberFormat="1" applyFont="1" applyAlignment="1">
      <alignment horizontal="center"/>
    </xf>
    <xf numFmtId="41" fontId="264" fillId="0" borderId="0" xfId="140" applyNumberFormat="1" applyFont="1" applyAlignment="1">
      <alignment horizontal="center" vertical="center"/>
    </xf>
    <xf numFmtId="202" fontId="0" fillId="0" borderId="0" xfId="0" applyNumberFormat="1" applyAlignment="1">
      <alignment horizontal="center" vertical="center"/>
    </xf>
    <xf numFmtId="41" fontId="0" fillId="0" borderId="0" xfId="3284" applyFont="1" applyAlignment="1">
      <alignment horizontal="center"/>
    </xf>
    <xf numFmtId="41" fontId="264" fillId="69" borderId="0" xfId="3284" applyFont="1" applyFill="1" applyAlignment="1"/>
    <xf numFmtId="41" fontId="220" fillId="0" borderId="0" xfId="3284" applyFont="1" applyAlignment="1"/>
    <xf numFmtId="0" fontId="264" fillId="0" borderId="0" xfId="140" applyFont="1" applyAlignment="1">
      <alignment horizontal="right" vertical="center"/>
    </xf>
    <xf numFmtId="41" fontId="197" fillId="69" borderId="2" xfId="3720" applyFont="1" applyFill="1" applyBorder="1" applyAlignment="1">
      <alignment horizontal="center" vertical="center"/>
    </xf>
    <xf numFmtId="0" fontId="238" fillId="0" borderId="23" xfId="140" applyFont="1" applyBorder="1" applyAlignment="1">
      <alignment horizontal="center" vertical="center"/>
    </xf>
    <xf numFmtId="41" fontId="197" fillId="69" borderId="40" xfId="3720" applyFont="1" applyFill="1" applyBorder="1" applyAlignment="1">
      <alignment horizontal="center" vertical="center"/>
    </xf>
    <xf numFmtId="41" fontId="197" fillId="69" borderId="51" xfId="3720" applyFont="1" applyFill="1" applyBorder="1" applyAlignment="1">
      <alignment horizontal="center" vertical="center"/>
    </xf>
    <xf numFmtId="41" fontId="197" fillId="69" borderId="14" xfId="3720" applyFont="1" applyFill="1" applyBorder="1" applyAlignment="1">
      <alignment horizontal="center" vertical="center"/>
    </xf>
    <xf numFmtId="41" fontId="197" fillId="69" borderId="0" xfId="3720" applyFont="1" applyFill="1" applyBorder="1" applyAlignment="1">
      <alignment horizontal="center" vertical="center"/>
    </xf>
    <xf numFmtId="41" fontId="197" fillId="69" borderId="79" xfId="3720" applyFont="1" applyFill="1" applyBorder="1" applyAlignment="1">
      <alignment horizontal="center" vertical="center"/>
    </xf>
    <xf numFmtId="0" fontId="238" fillId="0" borderId="23" xfId="140" applyFont="1" applyBorder="1" applyAlignment="1">
      <alignment vertical="center"/>
    </xf>
    <xf numFmtId="0" fontId="238" fillId="0" borderId="22" xfId="140" applyFont="1" applyBorder="1" applyAlignment="1">
      <alignment horizontal="center" vertical="center"/>
    </xf>
    <xf numFmtId="41" fontId="197" fillId="69" borderId="23" xfId="3720" applyFont="1" applyFill="1" applyBorder="1" applyAlignment="1">
      <alignment horizontal="center" vertical="center"/>
    </xf>
    <xf numFmtId="41" fontId="197" fillId="69" borderId="68" xfId="3720" applyFont="1" applyFill="1" applyBorder="1" applyAlignment="1">
      <alignment horizontal="center" vertical="center"/>
    </xf>
    <xf numFmtId="0" fontId="275" fillId="0" borderId="3" xfId="140" applyFont="1" applyBorder="1" applyAlignment="1">
      <alignment horizontal="center" vertical="center"/>
    </xf>
    <xf numFmtId="0" fontId="203" fillId="69" borderId="52" xfId="140" applyFont="1" applyFill="1" applyBorder="1" applyAlignment="1">
      <alignment horizontal="center" vertical="center"/>
    </xf>
    <xf numFmtId="0" fontId="192" fillId="0" borderId="0" xfId="136" applyFont="1" applyAlignment="1">
      <alignment horizontal="center" vertical="center" wrapText="1"/>
    </xf>
    <xf numFmtId="245" fontId="193" fillId="90" borderId="52" xfId="136" applyNumberFormat="1" applyFont="1" applyFill="1" applyBorder="1" applyAlignment="1" applyProtection="1">
      <alignment vertical="center"/>
      <protection locked="0"/>
    </xf>
    <xf numFmtId="41" fontId="197" fillId="69" borderId="70" xfId="0" applyNumberFormat="1" applyFont="1" applyFill="1" applyBorder="1">
      <alignment vertical="center"/>
    </xf>
    <xf numFmtId="176" fontId="197" fillId="69" borderId="24" xfId="140" applyNumberFormat="1" applyFont="1" applyFill="1" applyBorder="1" applyAlignment="1">
      <alignment horizontal="right" vertical="center"/>
    </xf>
    <xf numFmtId="41" fontId="189" fillId="69" borderId="48" xfId="0" applyNumberFormat="1" applyFont="1" applyFill="1" applyBorder="1">
      <alignment vertical="center"/>
    </xf>
    <xf numFmtId="0" fontId="238" fillId="102" borderId="19" xfId="140" applyFont="1" applyFill="1" applyBorder="1" applyAlignment="1">
      <alignment horizontal="center" vertical="center"/>
    </xf>
    <xf numFmtId="0" fontId="238" fillId="102" borderId="19" xfId="140" applyFont="1" applyFill="1" applyBorder="1" applyAlignment="1">
      <alignment horizontal="left" vertical="center"/>
    </xf>
    <xf numFmtId="0" fontId="238" fillId="102" borderId="3" xfId="140" applyFont="1" applyFill="1" applyBorder="1" applyAlignment="1">
      <alignment horizontal="center" vertical="center" wrapText="1"/>
    </xf>
    <xf numFmtId="0" fontId="238" fillId="102" borderId="52" xfId="0" applyFont="1" applyFill="1" applyBorder="1" applyAlignment="1">
      <alignment horizontal="center" vertical="center"/>
    </xf>
    <xf numFmtId="0" fontId="238" fillId="102" borderId="27" xfId="140" applyFont="1" applyFill="1" applyBorder="1" applyAlignment="1">
      <alignment horizontal="left" vertical="center"/>
    </xf>
    <xf numFmtId="205" fontId="238" fillId="102" borderId="52" xfId="140" applyNumberFormat="1" applyFont="1" applyFill="1" applyBorder="1" applyAlignment="1">
      <alignment horizontal="center" vertical="center"/>
    </xf>
    <xf numFmtId="0" fontId="238" fillId="102" borderId="27" xfId="140" applyFont="1" applyFill="1" applyBorder="1" applyAlignment="1">
      <alignment horizontal="center" vertical="center" wrapText="1"/>
    </xf>
    <xf numFmtId="41" fontId="193" fillId="0" borderId="36" xfId="136" applyNumberFormat="1" applyFont="1" applyBorder="1" applyAlignment="1" applyProtection="1">
      <alignment vertical="center"/>
      <protection locked="0"/>
    </xf>
    <xf numFmtId="41" fontId="0" fillId="0" borderId="0" xfId="111" applyFont="1">
      <alignment vertical="center"/>
    </xf>
    <xf numFmtId="0" fontId="192" fillId="0" borderId="23" xfId="128" applyFont="1" applyBorder="1" applyAlignment="1">
      <alignment horizontal="center" vertical="center"/>
    </xf>
    <xf numFmtId="0" fontId="192" fillId="0" borderId="37" xfId="128" applyFont="1" applyBorder="1" applyAlignment="1">
      <alignment horizontal="center" vertical="center"/>
    </xf>
    <xf numFmtId="0" fontId="192" fillId="0" borderId="22" xfId="136" applyFont="1" applyBorder="1" applyAlignment="1">
      <alignment horizontal="center" vertical="center"/>
    </xf>
    <xf numFmtId="0" fontId="192" fillId="0" borderId="77" xfId="136" applyFont="1" applyBorder="1" applyAlignment="1">
      <alignment horizontal="center" vertical="center"/>
    </xf>
    <xf numFmtId="0" fontId="192" fillId="0" borderId="79" xfId="136" applyFont="1" applyBorder="1" applyAlignment="1">
      <alignment vertical="center"/>
    </xf>
    <xf numFmtId="176" fontId="192" fillId="0" borderId="0" xfId="136" applyNumberFormat="1" applyFont="1" applyAlignment="1">
      <alignment horizontal="center" vertical="center"/>
    </xf>
    <xf numFmtId="41" fontId="246" fillId="70" borderId="27" xfId="116" applyFont="1" applyFill="1" applyBorder="1">
      <alignment vertical="center"/>
    </xf>
    <xf numFmtId="41" fontId="246" fillId="70" borderId="52" xfId="116" applyFont="1" applyFill="1" applyBorder="1">
      <alignment vertical="center"/>
    </xf>
    <xf numFmtId="178" fontId="232" fillId="27" borderId="0" xfId="128" applyNumberFormat="1" applyFont="1" applyFill="1">
      <alignment vertical="center"/>
    </xf>
    <xf numFmtId="41" fontId="189" fillId="0" borderId="0" xfId="136" applyNumberFormat="1" applyFont="1" applyAlignment="1">
      <alignment vertical="center"/>
    </xf>
    <xf numFmtId="41" fontId="197" fillId="33" borderId="63" xfId="128" applyNumberFormat="1" applyFont="1" applyFill="1" applyBorder="1">
      <alignment vertical="center"/>
    </xf>
    <xf numFmtId="41" fontId="197" fillId="33" borderId="53" xfId="128" applyNumberFormat="1" applyFont="1" applyFill="1" applyBorder="1">
      <alignment vertical="center"/>
    </xf>
    <xf numFmtId="0" fontId="194" fillId="69" borderId="19" xfId="136" applyFont="1" applyFill="1" applyBorder="1" applyAlignment="1">
      <alignment horizontal="center" vertical="center"/>
    </xf>
    <xf numFmtId="0" fontId="194" fillId="69" borderId="18" xfId="136" applyFont="1" applyFill="1" applyBorder="1" applyAlignment="1">
      <alignment horizontal="center" vertical="center"/>
    </xf>
    <xf numFmtId="0" fontId="194" fillId="69" borderId="14" xfId="136" applyFont="1" applyFill="1" applyBorder="1" applyAlignment="1">
      <alignment horizontal="center" vertical="center"/>
    </xf>
    <xf numFmtId="0" fontId="197" fillId="69" borderId="18" xfId="140" applyFont="1" applyFill="1" applyBorder="1" applyAlignment="1">
      <alignment horizontal="center" vertical="center"/>
    </xf>
    <xf numFmtId="41" fontId="197" fillId="69" borderId="42" xfId="3706" applyFont="1" applyFill="1" applyBorder="1" applyAlignment="1">
      <alignment horizontal="center" vertical="center"/>
    </xf>
    <xf numFmtId="41" fontId="197" fillId="69" borderId="44" xfId="3706" applyFont="1" applyFill="1" applyBorder="1" applyAlignment="1">
      <alignment horizontal="center" vertical="center"/>
    </xf>
    <xf numFmtId="41" fontId="197" fillId="69" borderId="25" xfId="3706" applyFont="1" applyFill="1" applyBorder="1" applyAlignment="1">
      <alignment horizontal="center" vertical="center"/>
    </xf>
    <xf numFmtId="13" fontId="197" fillId="69" borderId="3" xfId="3706" applyNumberFormat="1" applyFont="1" applyFill="1" applyBorder="1" applyAlignment="1">
      <alignment horizontal="center" vertical="center"/>
    </xf>
    <xf numFmtId="41" fontId="197" fillId="69" borderId="14" xfId="111" applyFont="1" applyFill="1" applyBorder="1" applyAlignment="1">
      <alignment horizontal="center" vertical="center"/>
    </xf>
    <xf numFmtId="41" fontId="197" fillId="69" borderId="14" xfId="111" applyFont="1" applyFill="1" applyBorder="1" applyAlignment="1">
      <alignment vertical="center"/>
    </xf>
    <xf numFmtId="41" fontId="197" fillId="69" borderId="19" xfId="3706" applyFont="1" applyFill="1" applyBorder="1" applyAlignment="1">
      <alignment horizontal="right" vertical="center"/>
    </xf>
    <xf numFmtId="41" fontId="197" fillId="69" borderId="27" xfId="3706" applyFont="1" applyFill="1" applyBorder="1" applyAlignment="1">
      <alignment vertical="center"/>
    </xf>
    <xf numFmtId="41" fontId="244" fillId="0" borderId="0" xfId="140" applyNumberFormat="1" applyFont="1"/>
    <xf numFmtId="41" fontId="238" fillId="69" borderId="62" xfId="118" applyFont="1" applyFill="1" applyBorder="1" applyAlignment="1">
      <alignment vertical="center"/>
    </xf>
    <xf numFmtId="41" fontId="238" fillId="69" borderId="39" xfId="118" applyFont="1" applyFill="1" applyBorder="1" applyAlignment="1">
      <alignment vertical="center"/>
    </xf>
    <xf numFmtId="41" fontId="222" fillId="69" borderId="39" xfId="118" applyFont="1" applyFill="1" applyBorder="1" applyAlignment="1">
      <alignment vertical="center"/>
    </xf>
    <xf numFmtId="41" fontId="222" fillId="69" borderId="26" xfId="118" applyFont="1" applyFill="1" applyBorder="1" applyAlignment="1">
      <alignment vertical="center"/>
    </xf>
    <xf numFmtId="41" fontId="222" fillId="69" borderId="70" xfId="118" applyFont="1" applyFill="1" applyBorder="1" applyAlignment="1">
      <alignment vertical="center"/>
    </xf>
    <xf numFmtId="41" fontId="222" fillId="69" borderId="53" xfId="118" applyFont="1" applyFill="1" applyBorder="1" applyAlignment="1">
      <alignment vertical="center"/>
    </xf>
    <xf numFmtId="41" fontId="245" fillId="69" borderId="15" xfId="3706" applyFont="1" applyFill="1" applyBorder="1" applyAlignment="1">
      <alignment horizontal="center" vertical="center"/>
    </xf>
    <xf numFmtId="0" fontId="249" fillId="69" borderId="52" xfId="140" applyFont="1" applyFill="1" applyBorder="1" applyAlignment="1">
      <alignment horizontal="center" vertical="center"/>
    </xf>
    <xf numFmtId="0" fontId="249" fillId="69" borderId="3" xfId="140" applyFont="1" applyFill="1" applyBorder="1" applyAlignment="1">
      <alignment horizontal="center" vertical="center"/>
    </xf>
    <xf numFmtId="0" fontId="222" fillId="101" borderId="52" xfId="140" applyFont="1" applyFill="1" applyBorder="1" applyAlignment="1">
      <alignment horizontal="left" vertical="center"/>
    </xf>
    <xf numFmtId="0" fontId="250" fillId="69" borderId="52" xfId="136" applyFont="1" applyFill="1" applyBorder="1" applyAlignment="1" applyProtection="1">
      <alignment vertical="center"/>
      <protection locked="0"/>
    </xf>
    <xf numFmtId="0" fontId="238" fillId="69" borderId="3" xfId="140" applyFont="1" applyFill="1" applyBorder="1" applyAlignment="1">
      <alignment horizontal="left" vertical="center"/>
    </xf>
    <xf numFmtId="41" fontId="226" fillId="35" borderId="52" xfId="111" applyFont="1" applyFill="1" applyBorder="1" applyAlignment="1">
      <alignment horizontal="center"/>
    </xf>
    <xf numFmtId="41" fontId="245" fillId="69" borderId="19" xfId="111" applyFont="1" applyFill="1" applyBorder="1" applyAlignment="1">
      <alignment horizontal="center" vertical="center"/>
    </xf>
    <xf numFmtId="41" fontId="245" fillId="69" borderId="52" xfId="111" applyFont="1" applyFill="1" applyBorder="1" applyAlignment="1">
      <alignment horizontal="center" vertical="center"/>
    </xf>
    <xf numFmtId="0" fontId="193" fillId="0" borderId="3" xfId="136" applyFont="1" applyBorder="1" applyAlignment="1" applyProtection="1">
      <alignment horizontal="center" vertical="center"/>
      <protection locked="0"/>
    </xf>
    <xf numFmtId="0" fontId="232" fillId="0" borderId="17" xfId="136" applyFont="1" applyBorder="1" applyAlignment="1">
      <alignment horizontal="center" vertical="center"/>
    </xf>
    <xf numFmtId="9" fontId="232" fillId="0" borderId="17" xfId="136" applyNumberFormat="1" applyFont="1" applyBorder="1" applyAlignment="1">
      <alignment horizontal="center" vertical="center"/>
    </xf>
    <xf numFmtId="0" fontId="194" fillId="89" borderId="3" xfId="136" applyFont="1" applyFill="1" applyBorder="1" applyAlignment="1">
      <alignment horizontal="center" vertical="center"/>
    </xf>
    <xf numFmtId="245" fontId="194" fillId="89" borderId="3" xfId="136" applyNumberFormat="1" applyFont="1" applyFill="1" applyBorder="1" applyAlignment="1" applyProtection="1">
      <alignment vertical="center"/>
      <protection locked="0"/>
    </xf>
    <xf numFmtId="0" fontId="194" fillId="89" borderId="3" xfId="136" applyFont="1" applyFill="1" applyBorder="1" applyAlignment="1" applyProtection="1">
      <alignment vertical="center"/>
      <protection locked="0"/>
    </xf>
    <xf numFmtId="0" fontId="220" fillId="0" borderId="3" xfId="140" applyFont="1" applyBorder="1" applyAlignment="1">
      <alignment vertical="center"/>
    </xf>
    <xf numFmtId="0" fontId="238" fillId="83" borderId="3" xfId="140" applyFont="1" applyFill="1" applyBorder="1" applyAlignment="1">
      <alignment horizontal="center" vertical="center"/>
    </xf>
    <xf numFmtId="41" fontId="281" fillId="91" borderId="48" xfId="118" applyFont="1" applyFill="1" applyBorder="1" applyAlignment="1">
      <alignment horizontal="center" vertical="center" wrapText="1"/>
    </xf>
    <xf numFmtId="41" fontId="255" fillId="91" borderId="48" xfId="118" applyFont="1" applyFill="1" applyBorder="1" applyAlignment="1">
      <alignment horizontal="center" vertical="center" wrapText="1"/>
    </xf>
    <xf numFmtId="41" fontId="281" fillId="91" borderId="46" xfId="118" applyFont="1" applyFill="1" applyBorder="1" applyAlignment="1">
      <alignment horizontal="center" vertical="center" wrapText="1"/>
    </xf>
    <xf numFmtId="0" fontId="207" fillId="69" borderId="27" xfId="3706" applyNumberFormat="1" applyFont="1" applyFill="1" applyBorder="1" applyAlignment="1">
      <alignment horizontal="center" vertical="center"/>
    </xf>
    <xf numFmtId="41" fontId="226" fillId="35" borderId="27" xfId="111" applyFont="1" applyFill="1" applyBorder="1" applyAlignment="1">
      <alignment horizontal="center"/>
    </xf>
    <xf numFmtId="245" fontId="194" fillId="69" borderId="19" xfId="136" applyNumberFormat="1" applyFont="1" applyFill="1" applyBorder="1" applyAlignment="1" applyProtection="1">
      <alignment vertical="center"/>
      <protection locked="0"/>
    </xf>
    <xf numFmtId="245" fontId="194" fillId="72" borderId="3" xfId="136" applyNumberFormat="1" applyFont="1" applyFill="1" applyBorder="1" applyAlignment="1" applyProtection="1">
      <alignment vertical="center"/>
      <protection locked="0"/>
    </xf>
    <xf numFmtId="0" fontId="194" fillId="90" borderId="52" xfId="136" applyFont="1" applyFill="1" applyBorder="1" applyAlignment="1">
      <alignment horizontal="center" vertical="center"/>
    </xf>
    <xf numFmtId="245" fontId="194" fillId="90" borderId="52" xfId="136" applyNumberFormat="1" applyFont="1" applyFill="1" applyBorder="1" applyAlignment="1" applyProtection="1">
      <alignment vertical="center"/>
      <protection locked="0"/>
    </xf>
    <xf numFmtId="0" fontId="194" fillId="72" borderId="27" xfId="136" applyFont="1" applyFill="1" applyBorder="1" applyAlignment="1">
      <alignment horizontal="center" vertical="center"/>
    </xf>
    <xf numFmtId="245" fontId="194" fillId="72" borderId="27" xfId="136" applyNumberFormat="1" applyFont="1" applyFill="1" applyBorder="1" applyAlignment="1" applyProtection="1">
      <alignment vertical="center"/>
      <protection locked="0"/>
    </xf>
    <xf numFmtId="0" fontId="208" fillId="0" borderId="17" xfId="136" applyFont="1" applyBorder="1" applyAlignment="1">
      <alignment vertical="center"/>
    </xf>
    <xf numFmtId="0" fontId="192" fillId="0" borderId="22" xfId="136" applyFont="1" applyBorder="1" applyAlignment="1">
      <alignment horizontal="center" vertical="center" wrapText="1"/>
    </xf>
    <xf numFmtId="0" fontId="192" fillId="0" borderId="77" xfId="136" applyFont="1" applyBorder="1" applyAlignment="1">
      <alignment horizontal="center" vertical="center" wrapText="1"/>
    </xf>
    <xf numFmtId="0" fontId="258" fillId="0" borderId="14" xfId="136" applyFont="1" applyBorder="1" applyAlignment="1">
      <alignment horizontal="center" vertical="center" wrapText="1"/>
    </xf>
    <xf numFmtId="0" fontId="258" fillId="0" borderId="29" xfId="136" applyFont="1" applyBorder="1" applyAlignment="1">
      <alignment horizontal="center" vertical="center"/>
    </xf>
    <xf numFmtId="0" fontId="258" fillId="0" borderId="25" xfId="136" applyFont="1" applyBorder="1" applyAlignment="1">
      <alignment horizontal="center" vertical="center"/>
    </xf>
    <xf numFmtId="0" fontId="208" fillId="0" borderId="0" xfId="136" applyFont="1" applyAlignment="1">
      <alignment horizontal="center" vertical="center"/>
    </xf>
    <xf numFmtId="176" fontId="208" fillId="0" borderId="0" xfId="136" applyNumberFormat="1" applyFont="1" applyAlignment="1">
      <alignment horizontal="center" vertical="center"/>
    </xf>
    <xf numFmtId="0" fontId="208" fillId="28" borderId="69" xfId="136" applyFont="1" applyFill="1" applyBorder="1" applyAlignment="1">
      <alignment horizontal="center" vertical="center"/>
    </xf>
    <xf numFmtId="0" fontId="208" fillId="0" borderId="3" xfId="136" applyFont="1" applyBorder="1" applyAlignment="1">
      <alignment horizontal="center" vertical="center"/>
    </xf>
    <xf numFmtId="0" fontId="208" fillId="0" borderId="69" xfId="136" applyFont="1" applyBorder="1" applyAlignment="1">
      <alignment horizontal="center" vertical="center"/>
    </xf>
    <xf numFmtId="0" fontId="208" fillId="0" borderId="37" xfId="136" applyFont="1" applyBorder="1" applyAlignment="1">
      <alignment horizontal="center" vertical="center"/>
    </xf>
    <xf numFmtId="0" fontId="208" fillId="0" borderId="31" xfId="136" applyFont="1" applyBorder="1" applyAlignment="1">
      <alignment horizontal="center" vertical="center"/>
    </xf>
    <xf numFmtId="0" fontId="208" fillId="0" borderId="23" xfId="136" applyFont="1" applyBorder="1" applyAlignment="1">
      <alignment horizontal="center" vertical="center"/>
    </xf>
    <xf numFmtId="0" fontId="208" fillId="0" borderId="23" xfId="128" applyFont="1" applyBorder="1" applyAlignment="1">
      <alignment horizontal="center" vertical="center"/>
    </xf>
    <xf numFmtId="0" fontId="208" fillId="0" borderId="37" xfId="128" applyFont="1" applyBorder="1" applyAlignment="1">
      <alignment horizontal="center" vertical="center"/>
    </xf>
    <xf numFmtId="0" fontId="208" fillId="0" borderId="31" xfId="128" applyFont="1" applyBorder="1" applyAlignment="1">
      <alignment horizontal="center" vertical="center"/>
    </xf>
    <xf numFmtId="0" fontId="208" fillId="0" borderId="32" xfId="128" applyFont="1" applyBorder="1" applyAlignment="1">
      <alignment horizontal="center" vertical="center"/>
    </xf>
    <xf numFmtId="0" fontId="208" fillId="0" borderId="35" xfId="128" applyFont="1" applyBorder="1" applyAlignment="1">
      <alignment horizontal="center" vertical="center"/>
    </xf>
    <xf numFmtId="0" fontId="208" fillId="0" borderId="34" xfId="128" applyFont="1" applyBorder="1" applyAlignment="1">
      <alignment horizontal="center" vertical="center"/>
    </xf>
    <xf numFmtId="0" fontId="208" fillId="0" borderId="19" xfId="136" applyFont="1" applyBorder="1" applyAlignment="1">
      <alignment horizontal="center" vertical="center"/>
    </xf>
    <xf numFmtId="0" fontId="208" fillId="0" borderId="27" xfId="136" applyFont="1" applyBorder="1" applyAlignment="1">
      <alignment horizontal="center" vertical="center"/>
    </xf>
    <xf numFmtId="0" fontId="208" fillId="0" borderId="69" xfId="136" applyFont="1" applyBorder="1" applyAlignment="1">
      <alignment horizontal="center" vertical="center" wrapText="1"/>
    </xf>
    <xf numFmtId="0" fontId="208" fillId="0" borderId="33" xfId="136" applyFont="1" applyBorder="1" applyAlignment="1">
      <alignment horizontal="center" vertical="center" wrapText="1"/>
    </xf>
    <xf numFmtId="0" fontId="197" fillId="107" borderId="15" xfId="136" applyFont="1" applyFill="1" applyBorder="1" applyAlignment="1">
      <alignment horizontal="center" vertical="center" wrapText="1"/>
    </xf>
    <xf numFmtId="0" fontId="194" fillId="107" borderId="3" xfId="136" applyFont="1" applyFill="1" applyBorder="1" applyAlignment="1">
      <alignment horizontal="center" vertical="center"/>
    </xf>
    <xf numFmtId="0" fontId="197" fillId="69" borderId="15" xfId="136" applyFont="1" applyFill="1" applyBorder="1" applyAlignment="1">
      <alignment horizontal="center" vertical="center" wrapText="1"/>
    </xf>
    <xf numFmtId="0" fontId="197" fillId="0" borderId="15" xfId="136" applyFont="1" applyBorder="1" applyAlignment="1">
      <alignment horizontal="center" vertical="center" wrapText="1"/>
    </xf>
    <xf numFmtId="0" fontId="194" fillId="0" borderId="19" xfId="136" applyFont="1" applyBorder="1" applyAlignment="1">
      <alignment horizontal="center" vertical="center"/>
    </xf>
    <xf numFmtId="0" fontId="194" fillId="69" borderId="51" xfId="136" applyFont="1" applyFill="1" applyBorder="1" applyAlignment="1">
      <alignment horizontal="center" vertical="center"/>
    </xf>
    <xf numFmtId="41" fontId="207" fillId="69" borderId="30" xfId="3706" applyFont="1" applyFill="1" applyBorder="1" applyAlignment="1">
      <alignment horizontal="center" vertical="center"/>
    </xf>
    <xf numFmtId="0" fontId="207" fillId="72" borderId="3" xfId="136" applyFont="1" applyFill="1" applyBorder="1" applyAlignment="1">
      <alignment horizontal="center" vertical="center"/>
    </xf>
    <xf numFmtId="0" fontId="193" fillId="0" borderId="23" xfId="136" applyFont="1" applyBorder="1" applyAlignment="1">
      <alignment horizontal="center" vertical="center"/>
    </xf>
    <xf numFmtId="41" fontId="194" fillId="0" borderId="23" xfId="116" applyFont="1" applyBorder="1" applyAlignment="1">
      <alignment horizontal="center" vertical="center"/>
    </xf>
    <xf numFmtId="0" fontId="207" fillId="72" borderId="19" xfId="136" applyFont="1" applyFill="1" applyBorder="1" applyAlignment="1">
      <alignment horizontal="center" vertical="center"/>
    </xf>
    <xf numFmtId="0" fontId="207" fillId="72" borderId="27" xfId="136" applyFont="1" applyFill="1" applyBorder="1" applyAlignment="1">
      <alignment horizontal="center" vertical="center"/>
    </xf>
    <xf numFmtId="41" fontId="197" fillId="69" borderId="29" xfId="3720" applyFont="1" applyFill="1" applyBorder="1" applyAlignment="1">
      <alignment horizontal="center" vertical="center"/>
    </xf>
    <xf numFmtId="41" fontId="245" fillId="69" borderId="52" xfId="3720" applyFont="1" applyFill="1" applyBorder="1" applyAlignment="1">
      <alignment horizontal="center" vertical="center"/>
    </xf>
    <xf numFmtId="0" fontId="238" fillId="0" borderId="52" xfId="140" applyFont="1" applyBorder="1" applyAlignment="1">
      <alignment vertical="center"/>
    </xf>
    <xf numFmtId="41" fontId="197" fillId="69" borderId="18" xfId="3720" applyFont="1" applyFill="1" applyBorder="1" applyAlignment="1">
      <alignment horizontal="center" vertical="center"/>
    </xf>
    <xf numFmtId="176" fontId="197" fillId="69" borderId="19" xfId="140" applyNumberFormat="1" applyFont="1" applyFill="1" applyBorder="1" applyAlignment="1">
      <alignment horizontal="right" vertical="center"/>
    </xf>
    <xf numFmtId="0" fontId="194" fillId="0" borderId="24" xfId="136" applyFont="1" applyBorder="1" applyAlignment="1">
      <alignment horizontal="center" vertical="center"/>
    </xf>
    <xf numFmtId="0" fontId="194" fillId="69" borderId="24" xfId="136" applyFont="1" applyFill="1" applyBorder="1" applyAlignment="1">
      <alignment horizontal="center" vertical="center"/>
    </xf>
    <xf numFmtId="176" fontId="246" fillId="107" borderId="3" xfId="136" applyNumberFormat="1" applyFont="1" applyFill="1" applyBorder="1" applyAlignment="1">
      <alignment vertical="center"/>
    </xf>
    <xf numFmtId="176" fontId="195" fillId="107" borderId="43" xfId="136" applyNumberFormat="1" applyFont="1" applyFill="1" applyBorder="1" applyAlignment="1">
      <alignment vertical="center"/>
    </xf>
    <xf numFmtId="13" fontId="245" fillId="69" borderId="14" xfId="3706" applyNumberFormat="1" applyFont="1" applyFill="1" applyBorder="1" applyAlignment="1">
      <alignment horizontal="center" vertical="center"/>
    </xf>
    <xf numFmtId="41" fontId="245" fillId="69" borderId="14" xfId="111" applyFont="1" applyFill="1" applyBorder="1" applyAlignment="1">
      <alignment horizontal="center" vertical="center"/>
    </xf>
    <xf numFmtId="41" fontId="245" fillId="69" borderId="14" xfId="111" applyFont="1" applyFill="1" applyBorder="1" applyAlignment="1">
      <alignment vertical="center"/>
    </xf>
    <xf numFmtId="41" fontId="196" fillId="69" borderId="3" xfId="3720" applyFont="1" applyFill="1" applyBorder="1" applyAlignment="1">
      <alignment horizontal="center" vertical="center"/>
    </xf>
    <xf numFmtId="0" fontId="222" fillId="71" borderId="52" xfId="140" applyFont="1" applyFill="1" applyBorder="1" applyAlignment="1">
      <alignment vertical="center"/>
    </xf>
    <xf numFmtId="0" fontId="222" fillId="71" borderId="52" xfId="140" applyFont="1" applyFill="1" applyBorder="1" applyAlignment="1">
      <alignment horizontal="center" vertical="center"/>
    </xf>
    <xf numFmtId="0" fontId="249" fillId="71" borderId="63" xfId="140" applyFont="1" applyFill="1" applyBorder="1" applyAlignment="1">
      <alignment horizontal="center" vertical="center" wrapText="1"/>
    </xf>
    <xf numFmtId="41" fontId="197" fillId="69" borderId="51" xfId="111" applyFont="1" applyFill="1" applyBorder="1" applyAlignment="1">
      <alignment vertical="center"/>
    </xf>
    <xf numFmtId="41" fontId="197" fillId="69" borderId="37" xfId="3706" applyFont="1" applyFill="1" applyBorder="1" applyAlignment="1">
      <alignment horizontal="center" vertical="center"/>
    </xf>
    <xf numFmtId="0" fontId="222" fillId="0" borderId="25" xfId="140" applyFont="1" applyBorder="1" applyAlignment="1">
      <alignment horizontal="center" vertical="center"/>
    </xf>
    <xf numFmtId="41" fontId="223" fillId="35" borderId="64" xfId="159" applyFont="1" applyFill="1" applyBorder="1" applyAlignment="1">
      <alignment horizontal="center"/>
    </xf>
    <xf numFmtId="176" fontId="197" fillId="0" borderId="19" xfId="140" applyNumberFormat="1" applyFont="1" applyBorder="1" applyAlignment="1">
      <alignment horizontal="center" vertical="center"/>
    </xf>
    <xf numFmtId="41" fontId="223" fillId="35" borderId="44" xfId="159" applyFont="1" applyFill="1" applyBorder="1" applyAlignment="1">
      <alignment horizontal="center"/>
    </xf>
    <xf numFmtId="41" fontId="245" fillId="69" borderId="3" xfId="3720" applyFont="1" applyFill="1" applyBorder="1" applyAlignment="1">
      <alignment horizontal="center" vertical="center"/>
    </xf>
    <xf numFmtId="41" fontId="245" fillId="69" borderId="3" xfId="116" applyFont="1" applyFill="1" applyBorder="1" applyAlignment="1">
      <alignment horizontal="center" vertical="center"/>
    </xf>
    <xf numFmtId="0" fontId="222" fillId="69" borderId="31" xfId="140" applyFont="1" applyFill="1" applyBorder="1" applyAlignment="1">
      <alignment vertical="center"/>
    </xf>
    <xf numFmtId="0" fontId="207" fillId="113" borderId="56" xfId="136" applyFont="1" applyFill="1" applyBorder="1" applyAlignment="1">
      <alignment horizontal="center" vertical="center" wrapText="1"/>
    </xf>
    <xf numFmtId="0" fontId="208" fillId="0" borderId="57" xfId="136" applyFont="1" applyBorder="1" applyAlignment="1">
      <alignment horizontal="center" vertical="center"/>
    </xf>
    <xf numFmtId="0" fontId="194" fillId="92" borderId="19" xfId="136" applyFont="1" applyFill="1" applyBorder="1" applyAlignment="1">
      <alignment horizontal="center" vertical="center"/>
    </xf>
    <xf numFmtId="41" fontId="194" fillId="92" borderId="19" xfId="116" applyFont="1" applyFill="1" applyBorder="1" applyAlignment="1">
      <alignment horizontal="center" vertical="center"/>
    </xf>
    <xf numFmtId="0" fontId="194" fillId="92" borderId="27" xfId="136" applyFont="1" applyFill="1" applyBorder="1" applyAlignment="1">
      <alignment horizontal="center" vertical="center"/>
    </xf>
    <xf numFmtId="41" fontId="194" fillId="69" borderId="24" xfId="116" applyFont="1" applyFill="1" applyBorder="1">
      <alignment vertical="center"/>
    </xf>
    <xf numFmtId="41" fontId="76" fillId="0" borderId="0" xfId="0" applyNumberFormat="1" applyFont="1">
      <alignment vertical="center"/>
    </xf>
    <xf numFmtId="0" fontId="66" fillId="0" borderId="3" xfId="0" applyFont="1" applyBorder="1" applyAlignment="1">
      <alignment horizontal="center" vertical="center" wrapText="1"/>
    </xf>
    <xf numFmtId="0" fontId="208" fillId="0" borderId="38" xfId="136" applyFont="1" applyBorder="1" applyAlignment="1">
      <alignment horizontal="center" vertical="center"/>
    </xf>
    <xf numFmtId="0" fontId="247" fillId="0" borderId="41" xfId="128" applyFont="1" applyBorder="1" applyAlignment="1">
      <alignment horizontal="center" vertical="center"/>
    </xf>
    <xf numFmtId="176" fontId="268" fillId="42" borderId="49" xfId="128" applyNumberFormat="1" applyFont="1" applyFill="1" applyBorder="1">
      <alignment vertical="center"/>
    </xf>
    <xf numFmtId="41" fontId="197" fillId="31" borderId="48" xfId="128" applyNumberFormat="1" applyFont="1" applyFill="1" applyBorder="1">
      <alignment vertical="center"/>
    </xf>
    <xf numFmtId="41" fontId="192" fillId="0" borderId="0" xfId="111" applyFont="1">
      <alignment vertical="center"/>
    </xf>
    <xf numFmtId="41" fontId="192" fillId="72" borderId="0" xfId="128" applyNumberFormat="1" applyFont="1" applyFill="1">
      <alignment vertical="center"/>
    </xf>
    <xf numFmtId="176" fontId="192" fillId="0" borderId="0" xfId="128" applyNumberFormat="1" applyFont="1" applyAlignment="1">
      <alignment horizontal="center" vertical="center"/>
    </xf>
    <xf numFmtId="41" fontId="238" fillId="106" borderId="27" xfId="118" applyFont="1" applyFill="1" applyBorder="1" applyAlignment="1">
      <alignment horizontal="center" vertical="center"/>
    </xf>
    <xf numFmtId="0" fontId="238" fillId="102" borderId="25" xfId="140" applyFont="1" applyFill="1" applyBorder="1" applyAlignment="1">
      <alignment horizontal="center" vertical="center"/>
    </xf>
    <xf numFmtId="0" fontId="238" fillId="102" borderId="14" xfId="140" applyFont="1" applyFill="1" applyBorder="1" applyAlignment="1">
      <alignment horizontal="center" vertical="center"/>
    </xf>
    <xf numFmtId="0" fontId="238" fillId="102" borderId="38" xfId="140" applyFont="1" applyFill="1" applyBorder="1" applyAlignment="1">
      <alignment horizontal="center" vertical="center"/>
    </xf>
    <xf numFmtId="41" fontId="250" fillId="0" borderId="24" xfId="116" applyFont="1" applyBorder="1">
      <alignment vertical="center"/>
    </xf>
    <xf numFmtId="176" fontId="232" fillId="27" borderId="0" xfId="128" applyNumberFormat="1" applyFont="1" applyFill="1">
      <alignment vertical="center"/>
    </xf>
    <xf numFmtId="41" fontId="189" fillId="69" borderId="71" xfId="128" applyNumberFormat="1" applyFont="1" applyFill="1" applyBorder="1">
      <alignment vertical="center"/>
    </xf>
    <xf numFmtId="0" fontId="192" fillId="95" borderId="115" xfId="128" applyFont="1" applyFill="1" applyBorder="1" applyAlignment="1">
      <alignment horizontal="center" vertical="center"/>
    </xf>
    <xf numFmtId="0" fontId="192" fillId="0" borderId="14" xfId="128" applyFont="1" applyBorder="1" applyAlignment="1">
      <alignment horizontal="center" vertical="center"/>
    </xf>
    <xf numFmtId="0" fontId="196" fillId="69" borderId="106" xfId="128" applyFont="1" applyFill="1" applyBorder="1" applyAlignment="1">
      <alignment horizontal="center" vertical="center"/>
    </xf>
    <xf numFmtId="0" fontId="196" fillId="17" borderId="116" xfId="128" applyFont="1" applyFill="1" applyBorder="1" applyAlignment="1">
      <alignment horizontal="center" vertical="center"/>
    </xf>
    <xf numFmtId="0" fontId="196" fillId="69" borderId="3" xfId="128" applyFont="1" applyFill="1" applyBorder="1" applyAlignment="1">
      <alignment horizontal="center" vertical="center"/>
    </xf>
    <xf numFmtId="0" fontId="196" fillId="17" borderId="43" xfId="128" applyFont="1" applyFill="1" applyBorder="1" applyAlignment="1">
      <alignment horizontal="center" vertical="center"/>
    </xf>
    <xf numFmtId="0" fontId="196" fillId="0" borderId="52" xfId="128" applyFont="1" applyBorder="1" applyAlignment="1">
      <alignment horizontal="center" vertical="center"/>
    </xf>
    <xf numFmtId="0" fontId="196" fillId="17" borderId="63" xfId="128" applyFont="1" applyFill="1" applyBorder="1" applyAlignment="1">
      <alignment horizontal="center" vertical="center"/>
    </xf>
    <xf numFmtId="0" fontId="217" fillId="69" borderId="3" xfId="128" applyFont="1" applyFill="1" applyBorder="1" applyAlignment="1">
      <alignment horizontal="center" vertical="center"/>
    </xf>
    <xf numFmtId="0" fontId="208" fillId="69" borderId="3" xfId="128" applyFont="1" applyFill="1" applyBorder="1" applyAlignment="1">
      <alignment horizontal="center" vertical="center"/>
    </xf>
    <xf numFmtId="0" fontId="189" fillId="0" borderId="14" xfId="128" applyFont="1" applyBorder="1" applyAlignment="1">
      <alignment horizontal="center" vertical="center"/>
    </xf>
    <xf numFmtId="41" fontId="238" fillId="97" borderId="3" xfId="116" applyFont="1" applyFill="1" applyBorder="1" applyAlignment="1">
      <alignment horizontal="center" vertical="center"/>
    </xf>
    <xf numFmtId="0" fontId="196" fillId="97" borderId="43" xfId="128" applyFont="1" applyFill="1" applyBorder="1" applyAlignment="1">
      <alignment horizontal="center" vertical="center"/>
    </xf>
    <xf numFmtId="0" fontId="208" fillId="97" borderId="64" xfId="128" applyFont="1" applyFill="1" applyBorder="1" applyAlignment="1">
      <alignment horizontal="center" vertical="center"/>
    </xf>
    <xf numFmtId="41" fontId="215" fillId="98" borderId="27" xfId="128" applyNumberFormat="1" applyFont="1" applyFill="1" applyBorder="1" applyAlignment="1">
      <alignment horizontal="center" vertical="center"/>
    </xf>
    <xf numFmtId="0" fontId="207" fillId="98" borderId="27" xfId="128" applyFont="1" applyFill="1" applyBorder="1" applyAlignment="1">
      <alignment horizontal="center" vertical="center"/>
    </xf>
    <xf numFmtId="41" fontId="207" fillId="98" borderId="44" xfId="116" applyFont="1" applyFill="1" applyBorder="1" applyAlignment="1">
      <alignment horizontal="center" vertical="center"/>
    </xf>
    <xf numFmtId="0" fontId="207" fillId="0" borderId="14" xfId="128" applyFont="1" applyBorder="1" applyAlignment="1">
      <alignment horizontal="center" vertical="center"/>
    </xf>
    <xf numFmtId="0" fontId="283" fillId="0" borderId="0" xfId="0" applyFont="1">
      <alignment vertical="center"/>
    </xf>
    <xf numFmtId="0" fontId="284" fillId="0" borderId="0" xfId="0" applyFont="1">
      <alignment vertical="center"/>
    </xf>
    <xf numFmtId="41" fontId="194" fillId="0" borderId="3" xfId="116" applyFont="1" applyBorder="1">
      <alignment vertical="center"/>
    </xf>
    <xf numFmtId="41" fontId="222" fillId="69" borderId="23" xfId="118" applyFont="1" applyFill="1" applyBorder="1" applyAlignment="1">
      <alignment vertical="center"/>
    </xf>
    <xf numFmtId="41" fontId="222" fillId="69" borderId="37" xfId="118" applyFont="1" applyFill="1" applyBorder="1" applyAlignment="1">
      <alignment vertical="center"/>
    </xf>
    <xf numFmtId="41" fontId="222" fillId="69" borderId="24" xfId="118" applyFont="1" applyFill="1" applyBorder="1" applyAlignment="1">
      <alignment vertical="center"/>
    </xf>
    <xf numFmtId="0" fontId="238" fillId="69" borderId="52" xfId="140" applyFont="1" applyFill="1" applyBorder="1" applyAlignment="1">
      <alignment horizontal="center" vertical="center"/>
    </xf>
    <xf numFmtId="0" fontId="238" fillId="72" borderId="52" xfId="140" applyFont="1" applyFill="1" applyBorder="1" applyAlignment="1">
      <alignment horizontal="center" vertical="center"/>
    </xf>
    <xf numFmtId="41" fontId="194" fillId="69" borderId="3" xfId="116" applyFont="1" applyFill="1" applyBorder="1">
      <alignment vertical="center"/>
    </xf>
    <xf numFmtId="41" fontId="194" fillId="0" borderId="27" xfId="116" applyFont="1" applyBorder="1">
      <alignment vertical="center"/>
    </xf>
    <xf numFmtId="247" fontId="238" fillId="102" borderId="52" xfId="118" applyNumberFormat="1" applyFont="1" applyFill="1" applyBorder="1" applyAlignment="1">
      <alignment horizontal="center" vertical="center"/>
    </xf>
    <xf numFmtId="41" fontId="207" fillId="69" borderId="41" xfId="3706" applyFont="1" applyFill="1" applyBorder="1" applyAlignment="1">
      <alignment horizontal="center" vertical="center"/>
    </xf>
    <xf numFmtId="0" fontId="245" fillId="69" borderId="3" xfId="140" applyFont="1" applyFill="1" applyBorder="1" applyAlignment="1">
      <alignment horizontal="center" vertical="center"/>
    </xf>
    <xf numFmtId="0" fontId="207" fillId="69" borderId="19" xfId="3706" applyNumberFormat="1" applyFont="1" applyFill="1" applyBorder="1" applyAlignment="1">
      <alignment horizontal="center" vertical="center"/>
    </xf>
    <xf numFmtId="41" fontId="197" fillId="69" borderId="50" xfId="0" applyNumberFormat="1" applyFont="1" applyFill="1" applyBorder="1">
      <alignment vertical="center"/>
    </xf>
    <xf numFmtId="0" fontId="189" fillId="0" borderId="3" xfId="0" applyFont="1" applyBorder="1">
      <alignment vertical="center"/>
    </xf>
    <xf numFmtId="41" fontId="197" fillId="104" borderId="49" xfId="0" applyNumberFormat="1" applyFont="1" applyFill="1" applyBorder="1">
      <alignment vertical="center"/>
    </xf>
    <xf numFmtId="0" fontId="189" fillId="69" borderId="45" xfId="0" applyFont="1" applyFill="1" applyBorder="1" applyAlignment="1">
      <alignment horizontal="center" vertical="center"/>
    </xf>
    <xf numFmtId="41" fontId="197" fillId="69" borderId="64" xfId="0" applyNumberFormat="1" applyFont="1" applyFill="1" applyBorder="1">
      <alignment vertical="center"/>
    </xf>
    <xf numFmtId="41" fontId="197" fillId="69" borderId="55" xfId="0" applyNumberFormat="1" applyFont="1" applyFill="1" applyBorder="1">
      <alignment vertical="center"/>
    </xf>
    <xf numFmtId="41" fontId="197" fillId="69" borderId="53" xfId="0" applyNumberFormat="1" applyFont="1" applyFill="1" applyBorder="1">
      <alignment vertical="center"/>
    </xf>
    <xf numFmtId="41" fontId="197" fillId="69" borderId="83" xfId="0" applyNumberFormat="1" applyFont="1" applyFill="1" applyBorder="1">
      <alignment vertical="center"/>
    </xf>
    <xf numFmtId="41" fontId="197" fillId="69" borderId="82" xfId="0" applyNumberFormat="1" applyFont="1" applyFill="1" applyBorder="1">
      <alignment vertical="center"/>
    </xf>
    <xf numFmtId="0" fontId="189" fillId="69" borderId="55" xfId="0" applyFont="1" applyFill="1" applyBorder="1">
      <alignment vertical="center"/>
    </xf>
    <xf numFmtId="41" fontId="197" fillId="69" borderId="18" xfId="111" applyFont="1" applyFill="1" applyBorder="1" applyAlignment="1">
      <alignment horizontal="center" vertical="center"/>
    </xf>
    <xf numFmtId="41" fontId="197" fillId="69" borderId="29" xfId="111" applyFont="1" applyFill="1" applyBorder="1" applyAlignment="1">
      <alignment horizontal="center" vertical="center"/>
    </xf>
    <xf numFmtId="0" fontId="247" fillId="69" borderId="42" xfId="140" applyFont="1" applyFill="1" applyBorder="1" applyAlignment="1">
      <alignment horizontal="center" vertical="center"/>
    </xf>
    <xf numFmtId="0" fontId="247" fillId="69" borderId="43" xfId="140" applyFont="1" applyFill="1" applyBorder="1" applyAlignment="1">
      <alignment horizontal="center" vertical="center"/>
    </xf>
    <xf numFmtId="0" fontId="251" fillId="72" borderId="27" xfId="0" applyFont="1" applyFill="1" applyBorder="1" applyAlignment="1">
      <alignment horizontal="left" vertical="center"/>
    </xf>
    <xf numFmtId="0" fontId="247" fillId="69" borderId="44" xfId="140" applyFont="1" applyFill="1" applyBorder="1" applyAlignment="1">
      <alignment horizontal="center" vertical="center"/>
    </xf>
    <xf numFmtId="245" fontId="194" fillId="0" borderId="37" xfId="136" applyNumberFormat="1" applyFont="1" applyBorder="1" applyAlignment="1" applyProtection="1">
      <alignment vertical="center"/>
      <protection locked="0"/>
    </xf>
    <xf numFmtId="245" fontId="194" fillId="72" borderId="52" xfId="136" applyNumberFormat="1" applyFont="1" applyFill="1" applyBorder="1" applyAlignment="1" applyProtection="1">
      <alignment vertical="center"/>
      <protection locked="0"/>
    </xf>
    <xf numFmtId="245" fontId="194" fillId="89" borderId="52" xfId="136" applyNumberFormat="1" applyFont="1" applyFill="1" applyBorder="1" applyAlignment="1" applyProtection="1">
      <alignment vertical="center"/>
      <protection locked="0"/>
    </xf>
    <xf numFmtId="245" fontId="194" fillId="40" borderId="52" xfId="136" applyNumberFormat="1" applyFont="1" applyFill="1" applyBorder="1" applyAlignment="1" applyProtection="1">
      <alignment vertical="center"/>
      <protection locked="0"/>
    </xf>
    <xf numFmtId="245" fontId="194" fillId="69" borderId="37" xfId="136" applyNumberFormat="1" applyFont="1" applyFill="1" applyBorder="1" applyAlignment="1" applyProtection="1">
      <alignment vertical="center"/>
      <protection locked="0"/>
    </xf>
    <xf numFmtId="245" fontId="194" fillId="69" borderId="23" xfId="136" applyNumberFormat="1" applyFont="1" applyFill="1" applyBorder="1" applyAlignment="1" applyProtection="1">
      <alignment vertical="center"/>
      <protection locked="0"/>
    </xf>
    <xf numFmtId="245" fontId="194" fillId="90" borderId="19" xfId="136" applyNumberFormat="1" applyFont="1" applyFill="1" applyBorder="1" applyAlignment="1" applyProtection="1">
      <alignment vertical="center"/>
      <protection locked="0"/>
    </xf>
    <xf numFmtId="245" fontId="194" fillId="90" borderId="3" xfId="136" applyNumberFormat="1" applyFont="1" applyFill="1" applyBorder="1" applyAlignment="1" applyProtection="1">
      <alignment vertical="center"/>
      <protection locked="0"/>
    </xf>
    <xf numFmtId="245" fontId="194" fillId="69" borderId="27" xfId="136" applyNumberFormat="1" applyFont="1" applyFill="1" applyBorder="1" applyAlignment="1" applyProtection="1">
      <alignment vertical="center"/>
      <protection locked="0"/>
    </xf>
    <xf numFmtId="245" fontId="194" fillId="89" borderId="27" xfId="136" applyNumberFormat="1" applyFont="1" applyFill="1" applyBorder="1" applyAlignment="1" applyProtection="1">
      <alignment vertical="center"/>
      <protection locked="0"/>
    </xf>
    <xf numFmtId="245" fontId="194" fillId="90" borderId="24" xfId="136" applyNumberFormat="1" applyFont="1" applyFill="1" applyBorder="1" applyAlignment="1" applyProtection="1">
      <alignment vertical="center"/>
      <protection locked="0"/>
    </xf>
    <xf numFmtId="0" fontId="247" fillId="0" borderId="0" xfId="136" applyFont="1" applyAlignment="1">
      <alignment horizontal="center" vertical="center"/>
    </xf>
    <xf numFmtId="176" fontId="246" fillId="92" borderId="3" xfId="136" applyNumberFormat="1" applyFont="1" applyFill="1" applyBorder="1" applyAlignment="1">
      <alignment vertical="center"/>
    </xf>
    <xf numFmtId="41" fontId="245" fillId="69" borderId="3" xfId="111" applyFont="1" applyFill="1" applyBorder="1" applyAlignment="1">
      <alignment horizontal="center" vertical="center"/>
    </xf>
    <xf numFmtId="41" fontId="245" fillId="69" borderId="26" xfId="3706" applyFont="1" applyFill="1" applyBorder="1" applyAlignment="1">
      <alignment horizontal="center" vertical="center"/>
    </xf>
    <xf numFmtId="41" fontId="193" fillId="0" borderId="19" xfId="136" applyNumberFormat="1" applyFont="1" applyBorder="1" applyAlignment="1" applyProtection="1">
      <alignment vertical="center"/>
      <protection locked="0"/>
    </xf>
    <xf numFmtId="0" fontId="193" fillId="69" borderId="21" xfId="136" applyFont="1" applyFill="1" applyBorder="1" applyAlignment="1">
      <alignment horizontal="center" vertical="center"/>
    </xf>
    <xf numFmtId="0" fontId="193" fillId="69" borderId="16" xfId="136" applyFont="1" applyFill="1" applyBorder="1" applyAlignment="1">
      <alignment horizontal="center" vertical="center"/>
    </xf>
    <xf numFmtId="245" fontId="193" fillId="69" borderId="3" xfId="136" applyNumberFormat="1" applyFont="1" applyFill="1" applyBorder="1" applyAlignment="1" applyProtection="1">
      <alignment vertical="center"/>
      <protection locked="0"/>
    </xf>
    <xf numFmtId="245" fontId="194" fillId="69" borderId="3" xfId="136" applyNumberFormat="1" applyFont="1" applyFill="1" applyBorder="1" applyAlignment="1" applyProtection="1">
      <alignment vertical="center"/>
      <protection locked="0"/>
    </xf>
    <xf numFmtId="0" fontId="0" fillId="69" borderId="3" xfId="0" applyFill="1" applyBorder="1">
      <alignment vertical="center"/>
    </xf>
    <xf numFmtId="0" fontId="203" fillId="0" borderId="56" xfId="135" applyFont="1" applyBorder="1" applyAlignment="1">
      <alignment horizontal="center" vertical="center"/>
    </xf>
    <xf numFmtId="176" fontId="192" fillId="0" borderId="0" xfId="128" applyNumberFormat="1" applyFont="1" applyAlignment="1">
      <alignment vertical="center" wrapText="1"/>
    </xf>
    <xf numFmtId="0" fontId="194" fillId="0" borderId="27" xfId="136" applyFont="1" applyBorder="1" applyAlignment="1">
      <alignment horizontal="center" vertical="center"/>
    </xf>
    <xf numFmtId="176" fontId="192" fillId="0" borderId="0" xfId="128" applyNumberFormat="1" applyFont="1" applyAlignment="1">
      <alignment horizontal="center" vertical="center" wrapText="1"/>
    </xf>
    <xf numFmtId="0" fontId="238" fillId="0" borderId="87" xfId="140" applyFont="1" applyBorder="1" applyAlignment="1">
      <alignment vertical="center"/>
    </xf>
    <xf numFmtId="0" fontId="238" fillId="0" borderId="69" xfId="140" applyFont="1" applyBorder="1" applyAlignment="1">
      <alignment horizontal="center" vertical="center"/>
    </xf>
    <xf numFmtId="41" fontId="196" fillId="69" borderId="52" xfId="3284" applyFont="1" applyFill="1" applyBorder="1" applyAlignment="1">
      <alignment horizontal="center" vertical="center"/>
    </xf>
    <xf numFmtId="41" fontId="238" fillId="97" borderId="24" xfId="116" applyFont="1" applyFill="1" applyBorder="1" applyAlignment="1">
      <alignment horizontal="center" vertical="center"/>
    </xf>
    <xf numFmtId="0" fontId="229" fillId="0" borderId="87" xfId="128" applyFont="1" applyBorder="1">
      <alignment vertical="center"/>
    </xf>
    <xf numFmtId="0" fontId="229" fillId="0" borderId="71" xfId="128" applyFont="1" applyBorder="1">
      <alignment vertical="center"/>
    </xf>
    <xf numFmtId="176" fontId="246" fillId="92" borderId="43" xfId="136" applyNumberFormat="1" applyFont="1" applyFill="1" applyBorder="1" applyAlignment="1">
      <alignment vertical="center"/>
    </xf>
    <xf numFmtId="176" fontId="246" fillId="92" borderId="52" xfId="136" applyNumberFormat="1" applyFont="1" applyFill="1" applyBorder="1" applyAlignment="1">
      <alignment vertical="center"/>
    </xf>
    <xf numFmtId="176" fontId="246" fillId="92" borderId="63" xfId="136" applyNumberFormat="1" applyFont="1" applyFill="1" applyBorder="1" applyAlignment="1">
      <alignment vertical="center"/>
    </xf>
    <xf numFmtId="176" fontId="246" fillId="33" borderId="3" xfId="136" applyNumberFormat="1" applyFont="1" applyFill="1" applyBorder="1" applyAlignment="1">
      <alignment vertical="center"/>
    </xf>
    <xf numFmtId="176" fontId="246" fillId="33" borderId="43" xfId="136" applyNumberFormat="1" applyFont="1" applyFill="1" applyBorder="1" applyAlignment="1">
      <alignment vertical="center"/>
    </xf>
    <xf numFmtId="176" fontId="246" fillId="33" borderId="42" xfId="136" applyNumberFormat="1" applyFont="1" applyFill="1" applyBorder="1" applyAlignment="1">
      <alignment vertical="center"/>
    </xf>
    <xf numFmtId="176" fontId="246" fillId="33" borderId="19" xfId="136" applyNumberFormat="1" applyFont="1" applyFill="1" applyBorder="1" applyAlignment="1">
      <alignment vertical="center"/>
    </xf>
    <xf numFmtId="176" fontId="246" fillId="33" borderId="52" xfId="136" applyNumberFormat="1" applyFont="1" applyFill="1" applyBorder="1" applyAlignment="1">
      <alignment vertical="center"/>
    </xf>
    <xf numFmtId="176" fontId="246" fillId="33" borderId="63" xfId="136" applyNumberFormat="1" applyFont="1" applyFill="1" applyBorder="1" applyAlignment="1">
      <alignment vertical="center"/>
    </xf>
    <xf numFmtId="0" fontId="198" fillId="95" borderId="47" xfId="136" applyFont="1" applyFill="1" applyBorder="1" applyAlignment="1">
      <alignment horizontal="center" vertical="center"/>
    </xf>
    <xf numFmtId="0" fontId="198" fillId="95" borderId="48" xfId="136" applyFont="1" applyFill="1" applyBorder="1" applyAlignment="1">
      <alignment horizontal="center" vertical="center"/>
    </xf>
    <xf numFmtId="41" fontId="189" fillId="69" borderId="50" xfId="128" applyNumberFormat="1" applyFont="1" applyFill="1" applyBorder="1" applyAlignment="1">
      <alignment horizontal="center" vertical="center"/>
    </xf>
    <xf numFmtId="41" fontId="189" fillId="69" borderId="53" xfId="128" applyNumberFormat="1" applyFont="1" applyFill="1" applyBorder="1" applyAlignment="1">
      <alignment horizontal="center" vertical="center"/>
    </xf>
    <xf numFmtId="41" fontId="238" fillId="69" borderId="23" xfId="118" applyFont="1" applyFill="1" applyBorder="1" applyAlignment="1">
      <alignment horizontal="center" vertical="center"/>
    </xf>
    <xf numFmtId="0" fontId="238" fillId="0" borderId="21" xfId="140" applyFont="1" applyBorder="1" applyAlignment="1">
      <alignment horizontal="center" vertical="center"/>
    </xf>
    <xf numFmtId="0" fontId="238" fillId="0" borderId="16" xfId="140" applyFont="1" applyBorder="1" applyAlignment="1">
      <alignment horizontal="center" vertical="center"/>
    </xf>
    <xf numFmtId="0" fontId="238" fillId="0" borderId="30" xfId="140" applyFont="1" applyBorder="1" applyAlignment="1">
      <alignment horizontal="center" vertical="center"/>
    </xf>
    <xf numFmtId="0" fontId="203" fillId="106" borderId="56" xfId="140" applyFont="1" applyFill="1" applyBorder="1" applyAlignment="1">
      <alignment horizontal="center" vertical="center"/>
    </xf>
    <xf numFmtId="0" fontId="203" fillId="106" borderId="52" xfId="140" applyFont="1" applyFill="1" applyBorder="1" applyAlignment="1">
      <alignment vertical="center"/>
    </xf>
    <xf numFmtId="0" fontId="222" fillId="106" borderId="52" xfId="140" applyFont="1" applyFill="1" applyBorder="1" applyAlignment="1">
      <alignment horizontal="center" vertical="center"/>
    </xf>
    <xf numFmtId="202" fontId="238" fillId="106" borderId="52" xfId="140" applyNumberFormat="1" applyFont="1" applyFill="1" applyBorder="1" applyAlignment="1">
      <alignment horizontal="center" vertical="center"/>
    </xf>
    <xf numFmtId="0" fontId="238" fillId="71" borderId="38" xfId="140" applyFont="1" applyFill="1" applyBorder="1" applyAlignment="1">
      <alignment horizontal="center" vertical="center"/>
    </xf>
    <xf numFmtId="0" fontId="238" fillId="71" borderId="37" xfId="140" applyFont="1" applyFill="1" applyBorder="1" applyAlignment="1">
      <alignment vertical="center"/>
    </xf>
    <xf numFmtId="0" fontId="273" fillId="71" borderId="37" xfId="140" applyFont="1" applyFill="1" applyBorder="1" applyAlignment="1">
      <alignment horizontal="center" vertical="center"/>
    </xf>
    <xf numFmtId="202" fontId="238" fillId="71" borderId="37" xfId="140" applyNumberFormat="1" applyFont="1" applyFill="1" applyBorder="1" applyAlignment="1">
      <alignment horizontal="center" vertical="center"/>
    </xf>
    <xf numFmtId="0" fontId="203" fillId="106" borderId="20" xfId="140" applyFont="1" applyFill="1" applyBorder="1" applyAlignment="1">
      <alignment horizontal="center" vertical="center"/>
    </xf>
    <xf numFmtId="0" fontId="238" fillId="106" borderId="19" xfId="140" applyFont="1" applyFill="1" applyBorder="1" applyAlignment="1">
      <alignment vertical="center"/>
    </xf>
    <xf numFmtId="0" fontId="238" fillId="106" borderId="19" xfId="140" applyFont="1" applyFill="1" applyBorder="1" applyAlignment="1">
      <alignment horizontal="center" vertical="center"/>
    </xf>
    <xf numFmtId="202" fontId="238" fillId="106" borderId="19" xfId="140" applyNumberFormat="1" applyFont="1" applyFill="1" applyBorder="1" applyAlignment="1">
      <alignment horizontal="center" vertical="center"/>
    </xf>
    <xf numFmtId="41" fontId="238" fillId="106" borderId="19" xfId="118" applyFont="1" applyFill="1" applyBorder="1" applyAlignment="1">
      <alignment horizontal="center" vertical="center"/>
    </xf>
    <xf numFmtId="0" fontId="203" fillId="106" borderId="28" xfId="140" applyFont="1" applyFill="1" applyBorder="1" applyAlignment="1">
      <alignment horizontal="center" vertical="center"/>
    </xf>
    <xf numFmtId="0" fontId="203" fillId="71" borderId="18" xfId="137" applyFont="1" applyFill="1" applyBorder="1" applyAlignment="1">
      <alignment horizontal="center" vertical="center"/>
    </xf>
    <xf numFmtId="0" fontId="195" fillId="71" borderId="19" xfId="135" applyFont="1" applyFill="1" applyBorder="1">
      <alignment vertical="center"/>
    </xf>
    <xf numFmtId="0" fontId="190" fillId="71" borderId="19" xfId="140" applyFont="1" applyFill="1" applyBorder="1" applyAlignment="1">
      <alignment horizontal="center" vertical="center"/>
    </xf>
    <xf numFmtId="41" fontId="220" fillId="0" borderId="0" xfId="3708" applyFont="1">
      <alignment vertical="center"/>
    </xf>
    <xf numFmtId="0" fontId="203" fillId="71" borderId="14" xfId="137" applyFont="1" applyFill="1" applyBorder="1" applyAlignment="1">
      <alignment horizontal="center" vertical="center"/>
    </xf>
    <xf numFmtId="0" fontId="195" fillId="71" borderId="3" xfId="135" applyFont="1" applyFill="1" applyBorder="1">
      <alignment vertical="center"/>
    </xf>
    <xf numFmtId="0" fontId="238" fillId="71" borderId="3" xfId="140" applyFont="1" applyFill="1" applyBorder="1" applyAlignment="1">
      <alignment horizontal="center" vertical="center"/>
    </xf>
    <xf numFmtId="41" fontId="246" fillId="71" borderId="3" xfId="118" applyFont="1" applyFill="1" applyBorder="1" applyAlignment="1">
      <alignment horizontal="center" vertical="center"/>
    </xf>
    <xf numFmtId="0" fontId="203" fillId="71" borderId="14" xfId="135" applyFont="1" applyFill="1" applyBorder="1" applyAlignment="1">
      <alignment horizontal="center" vertical="center"/>
    </xf>
    <xf numFmtId="182" fontId="203" fillId="71" borderId="14" xfId="129" applyNumberFormat="1" applyFont="1" applyFill="1" applyBorder="1" applyAlignment="1">
      <alignment horizontal="center" vertical="center" wrapText="1"/>
    </xf>
    <xf numFmtId="0" fontId="195" fillId="71" borderId="3" xfId="129" applyFont="1" applyFill="1" applyBorder="1" applyAlignment="1">
      <alignment vertical="center" wrapText="1"/>
    </xf>
    <xf numFmtId="182" fontId="203" fillId="71" borderId="14" xfId="129" applyNumberFormat="1" applyFont="1" applyFill="1" applyBorder="1" applyAlignment="1">
      <alignment horizontal="center" vertical="center"/>
    </xf>
    <xf numFmtId="0" fontId="249" fillId="71" borderId="3" xfId="140" applyFont="1" applyFill="1" applyBorder="1" applyAlignment="1">
      <alignment horizontal="center" vertical="center"/>
    </xf>
    <xf numFmtId="9" fontId="264" fillId="0" borderId="0" xfId="3808" applyFont="1" applyAlignment="1"/>
    <xf numFmtId="9" fontId="220" fillId="0" borderId="0" xfId="3808" applyFont="1" applyAlignment="1"/>
    <xf numFmtId="182" fontId="203" fillId="71" borderId="29" xfId="129" applyNumberFormat="1" applyFont="1" applyFill="1" applyBorder="1" applyAlignment="1">
      <alignment horizontal="center" vertical="center"/>
    </xf>
    <xf numFmtId="0" fontId="195" fillId="71" borderId="27" xfId="129" applyFont="1" applyFill="1" applyBorder="1" applyAlignment="1">
      <alignment vertical="center" wrapText="1"/>
    </xf>
    <xf numFmtId="0" fontId="222" fillId="71" borderId="27" xfId="140" applyFont="1" applyFill="1" applyBorder="1" applyAlignment="1">
      <alignment horizontal="center" vertical="center"/>
    </xf>
    <xf numFmtId="0" fontId="249" fillId="71" borderId="27" xfId="140" applyFont="1" applyFill="1" applyBorder="1" applyAlignment="1">
      <alignment horizontal="center" vertical="center"/>
    </xf>
    <xf numFmtId="182" fontId="203" fillId="69" borderId="19" xfId="129" applyNumberFormat="1" applyFont="1" applyFill="1" applyBorder="1" applyAlignment="1">
      <alignment horizontal="center" vertical="center"/>
    </xf>
    <xf numFmtId="0" fontId="256" fillId="69" borderId="19" xfId="129" applyFont="1" applyFill="1" applyBorder="1" applyAlignment="1">
      <alignment horizontal="center" vertical="center" wrapText="1"/>
    </xf>
    <xf numFmtId="0" fontId="249" fillId="69" borderId="19" xfId="140" applyFont="1" applyFill="1" applyBorder="1" applyAlignment="1">
      <alignment horizontal="center" vertical="center"/>
    </xf>
    <xf numFmtId="182" fontId="203" fillId="69" borderId="3" xfId="129" applyNumberFormat="1" applyFont="1" applyFill="1" applyBorder="1" applyAlignment="1">
      <alignment horizontal="center" vertical="center"/>
    </xf>
    <xf numFmtId="0" fontId="256" fillId="69" borderId="3" xfId="129" applyFont="1" applyFill="1" applyBorder="1" applyAlignment="1">
      <alignment horizontal="center" vertical="center" wrapText="1"/>
    </xf>
    <xf numFmtId="182" fontId="203" fillId="69" borderId="3" xfId="128" applyNumberFormat="1" applyFont="1" applyFill="1" applyBorder="1" applyAlignment="1">
      <alignment horizontal="center" vertical="center"/>
    </xf>
    <xf numFmtId="0" fontId="256" fillId="69" borderId="3" xfId="128" applyFont="1" applyFill="1" applyBorder="1" applyAlignment="1">
      <alignment horizontal="center" vertical="center" wrapText="1"/>
    </xf>
    <xf numFmtId="182" fontId="195" fillId="69" borderId="3" xfId="128" applyNumberFormat="1" applyFont="1" applyFill="1" applyBorder="1" applyAlignment="1">
      <alignment horizontal="center" vertical="center"/>
    </xf>
    <xf numFmtId="0" fontId="190" fillId="69" borderId="3" xfId="140" applyFont="1" applyFill="1" applyBorder="1" applyAlignment="1">
      <alignment horizontal="center" vertical="center"/>
    </xf>
    <xf numFmtId="0" fontId="215" fillId="69" borderId="3" xfId="140" applyFont="1" applyFill="1" applyBorder="1" applyAlignment="1">
      <alignment horizontal="center" vertical="center"/>
    </xf>
    <xf numFmtId="0" fontId="215" fillId="69" borderId="27" xfId="140" applyFont="1" applyFill="1" applyBorder="1" applyAlignment="1">
      <alignment horizontal="center" vertical="center"/>
    </xf>
    <xf numFmtId="0" fontId="190" fillId="69" borderId="27" xfId="140" applyFont="1" applyFill="1" applyBorder="1" applyAlignment="1">
      <alignment horizontal="center" vertical="center"/>
    </xf>
    <xf numFmtId="41" fontId="255" fillId="91" borderId="46" xfId="118" applyFont="1" applyFill="1" applyBorder="1" applyAlignment="1">
      <alignment horizontal="center" vertical="center" wrapText="1"/>
    </xf>
    <xf numFmtId="41" fontId="255" fillId="91" borderId="48" xfId="3708" applyFont="1" applyFill="1" applyBorder="1" applyAlignment="1">
      <alignment horizontal="center" vertical="center"/>
    </xf>
    <xf numFmtId="181" fontId="238" fillId="69" borderId="3" xfId="122" applyNumberFormat="1" applyFont="1" applyFill="1" applyBorder="1" applyAlignment="1">
      <alignment horizontal="center" vertical="center"/>
    </xf>
    <xf numFmtId="0" fontId="249" fillId="69" borderId="63" xfId="140" applyFont="1" applyFill="1" applyBorder="1" applyAlignment="1">
      <alignment horizontal="center" vertical="center"/>
    </xf>
    <xf numFmtId="0" fontId="238" fillId="69" borderId="43" xfId="140" applyFont="1" applyFill="1" applyBorder="1" applyAlignment="1">
      <alignment horizontal="center" vertical="center"/>
    </xf>
    <xf numFmtId="0" fontId="238" fillId="69" borderId="24" xfId="140" applyFont="1" applyFill="1" applyBorder="1" applyAlignment="1">
      <alignment horizontal="left" vertical="center"/>
    </xf>
    <xf numFmtId="0" fontId="249" fillId="69" borderId="64" xfId="140" applyFont="1" applyFill="1" applyBorder="1" applyAlignment="1">
      <alignment horizontal="center" vertical="center"/>
    </xf>
    <xf numFmtId="41" fontId="215" fillId="69" borderId="42" xfId="3284" applyFont="1" applyFill="1" applyBorder="1" applyAlignment="1">
      <alignment horizontal="center" vertical="center"/>
    </xf>
    <xf numFmtId="41" fontId="226" fillId="35" borderId="42" xfId="159" applyFont="1" applyFill="1" applyBorder="1" applyAlignment="1">
      <alignment horizontal="center"/>
    </xf>
    <xf numFmtId="41" fontId="215" fillId="69" borderId="43" xfId="3284" applyFont="1" applyFill="1" applyBorder="1" applyAlignment="1">
      <alignment horizontal="center" vertical="center"/>
    </xf>
    <xf numFmtId="41" fontId="245" fillId="69" borderId="14" xfId="3706" applyFont="1" applyFill="1" applyBorder="1" applyAlignment="1">
      <alignment horizontal="center" vertical="center"/>
    </xf>
    <xf numFmtId="41" fontId="215" fillId="69" borderId="44" xfId="3284" applyFont="1" applyFill="1" applyBorder="1" applyAlignment="1">
      <alignment horizontal="center" vertical="center"/>
    </xf>
    <xf numFmtId="41" fontId="226" fillId="35" borderId="44" xfId="159" applyFont="1" applyFill="1" applyBorder="1" applyAlignment="1">
      <alignment horizontal="center"/>
    </xf>
    <xf numFmtId="176" fontId="215" fillId="69" borderId="42" xfId="140" applyNumberFormat="1" applyFont="1" applyFill="1" applyBorder="1" applyAlignment="1">
      <alignment horizontal="right" vertical="center"/>
    </xf>
    <xf numFmtId="0" fontId="224" fillId="69" borderId="3" xfId="140" applyFont="1" applyFill="1" applyBorder="1" applyAlignment="1">
      <alignment horizontal="center" vertical="center"/>
    </xf>
    <xf numFmtId="0" fontId="252" fillId="69" borderId="3" xfId="140" applyFont="1" applyFill="1" applyBorder="1" applyAlignment="1">
      <alignment horizontal="center" vertical="center"/>
    </xf>
    <xf numFmtId="0" fontId="224" fillId="69" borderId="52" xfId="140" applyFont="1" applyFill="1" applyBorder="1" applyAlignment="1">
      <alignment horizontal="center" vertical="center"/>
    </xf>
    <xf numFmtId="0" fontId="252" fillId="69" borderId="52" xfId="140" applyFont="1" applyFill="1" applyBorder="1" applyAlignment="1">
      <alignment horizontal="center" vertical="center"/>
    </xf>
    <xf numFmtId="41" fontId="226" fillId="35" borderId="63" xfId="159" applyFont="1" applyFill="1" applyBorder="1" applyAlignment="1">
      <alignment horizontal="center"/>
    </xf>
    <xf numFmtId="0" fontId="224" fillId="69" borderId="27" xfId="140" applyFont="1" applyFill="1" applyBorder="1" applyAlignment="1">
      <alignment horizontal="center" vertical="center"/>
    </xf>
    <xf numFmtId="0" fontId="252" fillId="69" borderId="27" xfId="140" applyFont="1" applyFill="1" applyBorder="1" applyAlignment="1">
      <alignment horizontal="center" vertical="center"/>
    </xf>
    <xf numFmtId="176" fontId="215" fillId="69" borderId="44" xfId="140" applyNumberFormat="1" applyFont="1" applyFill="1" applyBorder="1" applyAlignment="1">
      <alignment horizontal="right" vertical="center"/>
    </xf>
    <xf numFmtId="41" fontId="246" fillId="71" borderId="23" xfId="118" applyFont="1" applyFill="1" applyBorder="1" applyAlignment="1">
      <alignment horizontal="center" vertical="center"/>
    </xf>
    <xf numFmtId="41" fontId="246" fillId="71" borderId="31" xfId="118" applyFont="1" applyFill="1" applyBorder="1" applyAlignment="1">
      <alignment horizontal="center" vertical="center"/>
    </xf>
    <xf numFmtId="41" fontId="238" fillId="69" borderId="31" xfId="118" applyFont="1" applyFill="1" applyBorder="1" applyAlignment="1">
      <alignment horizontal="center" vertical="center"/>
    </xf>
    <xf numFmtId="0" fontId="198" fillId="95" borderId="47" xfId="136" applyFont="1" applyFill="1" applyBorder="1" applyAlignment="1">
      <alignment vertical="center" textRotation="255"/>
    </xf>
    <xf numFmtId="41" fontId="189" fillId="69" borderId="54" xfId="128" applyNumberFormat="1" applyFont="1" applyFill="1" applyBorder="1">
      <alignment vertical="center"/>
    </xf>
    <xf numFmtId="0" fontId="276" fillId="0" borderId="3" xfId="136" applyFont="1" applyBorder="1" applyAlignment="1">
      <alignment horizontal="center" vertical="center"/>
    </xf>
    <xf numFmtId="0" fontId="276" fillId="0" borderId="3" xfId="128" applyFont="1" applyBorder="1" applyAlignment="1">
      <alignment horizontal="center" vertical="center"/>
    </xf>
    <xf numFmtId="0" fontId="258" fillId="0" borderId="3" xfId="136" applyFont="1" applyBorder="1" applyAlignment="1">
      <alignment horizontal="center" vertical="center"/>
    </xf>
    <xf numFmtId="0" fontId="276" fillId="69" borderId="3" xfId="136" applyFont="1" applyFill="1" applyBorder="1" applyAlignment="1">
      <alignment horizontal="center" vertical="center"/>
    </xf>
    <xf numFmtId="0" fontId="258" fillId="0" borderId="27" xfId="136" applyFont="1" applyBorder="1" applyAlignment="1">
      <alignment horizontal="center" vertical="center"/>
    </xf>
    <xf numFmtId="41" fontId="194" fillId="0" borderId="19" xfId="116" applyFont="1" applyBorder="1">
      <alignment vertical="center"/>
    </xf>
    <xf numFmtId="0" fontId="198" fillId="95" borderId="22" xfId="136" applyFont="1" applyFill="1" applyBorder="1" applyAlignment="1">
      <alignment vertical="center" textRotation="255"/>
    </xf>
    <xf numFmtId="0" fontId="193" fillId="0" borderId="38" xfId="136" applyFont="1" applyBorder="1" applyAlignment="1">
      <alignment horizontal="center" vertical="center"/>
    </xf>
    <xf numFmtId="0" fontId="193" fillId="89" borderId="51" xfId="136" applyFont="1" applyFill="1" applyBorder="1" applyAlignment="1">
      <alignment horizontal="center" vertical="center"/>
    </xf>
    <xf numFmtId="0" fontId="195" fillId="0" borderId="3" xfId="136" applyFont="1" applyBorder="1" applyAlignment="1">
      <alignment horizontal="center" vertical="center"/>
    </xf>
    <xf numFmtId="41" fontId="197" fillId="69" borderId="47" xfId="0" applyNumberFormat="1" applyFont="1" applyFill="1" applyBorder="1">
      <alignment vertical="center"/>
    </xf>
    <xf numFmtId="41" fontId="245" fillId="69" borderId="25" xfId="3706" applyFont="1" applyFill="1" applyBorder="1" applyAlignment="1">
      <alignment horizontal="center" vertical="center"/>
    </xf>
    <xf numFmtId="0" fontId="222" fillId="95" borderId="23" xfId="140" applyFont="1" applyFill="1" applyBorder="1" applyAlignment="1">
      <alignment horizontal="left" vertical="center"/>
    </xf>
    <xf numFmtId="0" fontId="222" fillId="95" borderId="23" xfId="140" applyFont="1" applyFill="1" applyBorder="1" applyAlignment="1">
      <alignment horizontal="center" vertical="center"/>
    </xf>
    <xf numFmtId="41" fontId="197" fillId="69" borderId="81" xfId="0" applyNumberFormat="1" applyFont="1" applyFill="1" applyBorder="1">
      <alignment vertical="center"/>
    </xf>
    <xf numFmtId="0" fontId="222" fillId="95" borderId="27" xfId="140" applyFont="1" applyFill="1" applyBorder="1" applyAlignment="1">
      <alignment horizontal="left" vertical="center"/>
    </xf>
    <xf numFmtId="0" fontId="222" fillId="95" borderId="27" xfId="140" applyFont="1" applyFill="1" applyBorder="1" applyAlignment="1">
      <alignment horizontal="center" vertical="center"/>
    </xf>
    <xf numFmtId="41" fontId="226" fillId="35" borderId="45" xfId="159" applyFont="1" applyFill="1" applyBorder="1" applyAlignment="1">
      <alignment horizontal="center"/>
    </xf>
    <xf numFmtId="41" fontId="226" fillId="35" borderId="117" xfId="159" applyFont="1" applyFill="1" applyBorder="1" applyAlignment="1">
      <alignment horizontal="center"/>
    </xf>
    <xf numFmtId="0" fontId="189" fillId="69" borderId="46" xfId="0" applyFont="1" applyFill="1" applyBorder="1">
      <alignment vertical="center"/>
    </xf>
    <xf numFmtId="41" fontId="226" fillId="35" borderId="108" xfId="159" applyFont="1" applyFill="1" applyBorder="1" applyAlignment="1">
      <alignment horizontal="center"/>
    </xf>
    <xf numFmtId="0" fontId="189" fillId="69" borderId="47" xfId="0" applyFont="1" applyFill="1" applyBorder="1">
      <alignment vertical="center"/>
    </xf>
    <xf numFmtId="0" fontId="189" fillId="69" borderId="48" xfId="0" applyFont="1" applyFill="1" applyBorder="1">
      <alignment vertical="center"/>
    </xf>
    <xf numFmtId="41" fontId="226" fillId="35" borderId="21" xfId="159" applyFont="1" applyFill="1" applyBorder="1" applyAlignment="1">
      <alignment horizontal="center"/>
    </xf>
    <xf numFmtId="176" fontId="215" fillId="69" borderId="55" xfId="140" applyNumberFormat="1" applyFont="1" applyFill="1" applyBorder="1" applyAlignment="1">
      <alignment horizontal="right" vertical="center"/>
    </xf>
    <xf numFmtId="0" fontId="238" fillId="69" borderId="24" xfId="0" applyFont="1" applyFill="1" applyBorder="1">
      <alignment vertical="center"/>
    </xf>
    <xf numFmtId="176" fontId="256" fillId="69" borderId="64" xfId="140" applyNumberFormat="1" applyFont="1" applyFill="1" applyBorder="1" applyAlignment="1">
      <alignment horizontal="right" vertical="center"/>
    </xf>
    <xf numFmtId="0" fontId="238" fillId="69" borderId="27" xfId="140" applyFont="1" applyFill="1" applyBorder="1" applyAlignment="1">
      <alignment horizontal="left" vertical="center"/>
    </xf>
    <xf numFmtId="0" fontId="194" fillId="0" borderId="3" xfId="128" applyFont="1" applyBorder="1" applyAlignment="1">
      <alignment horizontal="center" vertical="center"/>
    </xf>
    <xf numFmtId="0" fontId="193" fillId="0" borderId="21" xfId="136" applyFont="1" applyBorder="1" applyAlignment="1">
      <alignment horizontal="center" vertical="center"/>
    </xf>
    <xf numFmtId="0" fontId="193" fillId="0" borderId="25" xfId="136" applyFont="1" applyBorder="1" applyAlignment="1">
      <alignment horizontal="center" vertical="center"/>
    </xf>
    <xf numFmtId="0" fontId="193" fillId="0" borderId="14" xfId="136" applyFont="1" applyBorder="1" applyAlignment="1">
      <alignment horizontal="center" vertical="center"/>
    </xf>
    <xf numFmtId="0" fontId="193" fillId="0" borderId="29" xfId="136" applyFont="1" applyBorder="1" applyAlignment="1">
      <alignment horizontal="center" vertical="center"/>
    </xf>
    <xf numFmtId="0" fontId="193" fillId="0" borderId="60" xfId="136" applyFont="1" applyBorder="1" applyAlignment="1">
      <alignment horizontal="center" vertical="center"/>
    </xf>
    <xf numFmtId="0" fontId="193" fillId="0" borderId="51" xfId="136" applyFont="1" applyBorder="1" applyAlignment="1">
      <alignment horizontal="center" vertical="center"/>
    </xf>
    <xf numFmtId="0" fontId="189" fillId="72" borderId="0" xfId="0" applyFont="1" applyFill="1">
      <alignment vertical="center"/>
    </xf>
    <xf numFmtId="41" fontId="197" fillId="33" borderId="50" xfId="128" applyNumberFormat="1" applyFont="1" applyFill="1" applyBorder="1" applyAlignment="1">
      <alignment horizontal="center" vertical="center"/>
    </xf>
    <xf numFmtId="0" fontId="222" fillId="99" borderId="15" xfId="140" applyFont="1" applyFill="1" applyBorder="1" applyAlignment="1">
      <alignment horizontal="center" vertical="center"/>
    </xf>
    <xf numFmtId="0" fontId="222" fillId="99" borderId="3" xfId="140" applyFont="1" applyFill="1" applyBorder="1" applyAlignment="1">
      <alignment vertical="center"/>
    </xf>
    <xf numFmtId="0" fontId="222" fillId="99" borderId="3" xfId="140" applyFont="1" applyFill="1" applyBorder="1" applyAlignment="1">
      <alignment horizontal="center" vertical="center"/>
    </xf>
    <xf numFmtId="0" fontId="222" fillId="99" borderId="27" xfId="140" applyFont="1" applyFill="1" applyBorder="1" applyAlignment="1">
      <alignment vertical="center"/>
    </xf>
    <xf numFmtId="0" fontId="222" fillId="99" borderId="27" xfId="140" applyFont="1" applyFill="1" applyBorder="1" applyAlignment="1">
      <alignment horizontal="center" vertical="center"/>
    </xf>
    <xf numFmtId="41" fontId="238" fillId="69" borderId="27" xfId="118" applyFont="1" applyFill="1" applyBorder="1" applyAlignment="1">
      <alignment vertical="center"/>
    </xf>
    <xf numFmtId="0" fontId="222" fillId="99" borderId="19" xfId="140" applyFont="1" applyFill="1" applyBorder="1" applyAlignment="1">
      <alignment horizontal="center" vertical="center"/>
    </xf>
    <xf numFmtId="41" fontId="238" fillId="99" borderId="3" xfId="118" applyFont="1" applyFill="1" applyBorder="1" applyAlignment="1">
      <alignment horizontal="center" vertical="center"/>
    </xf>
    <xf numFmtId="0" fontId="222" fillId="99" borderId="19" xfId="140" applyFont="1" applyFill="1" applyBorder="1" applyAlignment="1">
      <alignment vertical="center"/>
    </xf>
    <xf numFmtId="0" fontId="193" fillId="90" borderId="25" xfId="136" applyFont="1" applyFill="1" applyBorder="1" applyAlignment="1">
      <alignment horizontal="center" vertical="center"/>
    </xf>
    <xf numFmtId="0" fontId="193" fillId="89" borderId="36" xfId="136" applyFont="1" applyFill="1" applyBorder="1" applyAlignment="1">
      <alignment horizontal="center" vertical="center"/>
    </xf>
    <xf numFmtId="41" fontId="197" fillId="92" borderId="70" xfId="111" applyFont="1" applyFill="1" applyBorder="1" applyAlignment="1">
      <alignment horizontal="center" vertical="center"/>
    </xf>
    <xf numFmtId="0" fontId="276" fillId="0" borderId="19" xfId="136" applyFont="1" applyBorder="1" applyAlignment="1">
      <alignment horizontal="center" vertical="center"/>
    </xf>
    <xf numFmtId="0" fontId="276" fillId="0" borderId="15" xfId="136" applyFont="1" applyBorder="1" applyAlignment="1">
      <alignment horizontal="center" vertical="center"/>
    </xf>
    <xf numFmtId="41" fontId="259" fillId="103" borderId="41" xfId="118" applyFont="1" applyFill="1" applyBorder="1" applyAlignment="1">
      <alignment horizontal="center" vertical="center"/>
    </xf>
    <xf numFmtId="41" fontId="194" fillId="92" borderId="24" xfId="116" applyFont="1" applyFill="1" applyBorder="1" applyAlignment="1">
      <alignment horizontal="center" vertical="center"/>
    </xf>
    <xf numFmtId="41" fontId="194" fillId="92" borderId="31" xfId="116" applyFont="1" applyFill="1" applyBorder="1" applyAlignment="1">
      <alignment horizontal="center" vertical="center"/>
    </xf>
    <xf numFmtId="0" fontId="194" fillId="0" borderId="14" xfId="136" applyFont="1" applyBorder="1" applyAlignment="1">
      <alignment horizontal="center" vertical="center"/>
    </xf>
    <xf numFmtId="176" fontId="246" fillId="70" borderId="19" xfId="136" applyNumberFormat="1" applyFont="1" applyFill="1" applyBorder="1" applyAlignment="1">
      <alignment vertical="center"/>
    </xf>
    <xf numFmtId="176" fontId="246" fillId="70" borderId="3" xfId="136" applyNumberFormat="1" applyFont="1" applyFill="1" applyBorder="1" applyAlignment="1">
      <alignment vertical="center"/>
    </xf>
    <xf numFmtId="176" fontId="246" fillId="70" borderId="27" xfId="136" applyNumberFormat="1" applyFont="1" applyFill="1" applyBorder="1" applyAlignment="1">
      <alignment vertical="center"/>
    </xf>
    <xf numFmtId="0" fontId="238" fillId="102" borderId="37" xfId="140" applyFont="1" applyFill="1" applyBorder="1" applyAlignment="1">
      <alignment vertical="center"/>
    </xf>
    <xf numFmtId="0" fontId="254" fillId="95" borderId="48" xfId="140" applyFont="1" applyFill="1" applyBorder="1" applyAlignment="1">
      <alignment horizontal="center" vertical="center" textRotation="255"/>
    </xf>
    <xf numFmtId="41" fontId="207" fillId="69" borderId="35" xfId="3706" applyFont="1" applyFill="1" applyBorder="1" applyAlignment="1">
      <alignment horizontal="center" vertical="center"/>
    </xf>
    <xf numFmtId="0" fontId="0" fillId="0" borderId="75" xfId="0" applyBorder="1">
      <alignment vertical="center"/>
    </xf>
    <xf numFmtId="41" fontId="226" fillId="35" borderId="35" xfId="159" applyFont="1" applyFill="1" applyBorder="1" applyAlignment="1">
      <alignment horizontal="center"/>
    </xf>
    <xf numFmtId="41" fontId="197" fillId="69" borderId="45" xfId="0" applyNumberFormat="1" applyFont="1" applyFill="1" applyBorder="1">
      <alignment vertical="center"/>
    </xf>
    <xf numFmtId="41" fontId="0" fillId="0" borderId="49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222" fillId="111" borderId="52" xfId="140" applyFont="1" applyFill="1" applyBorder="1" applyAlignment="1">
      <alignment horizontal="left" vertical="center"/>
    </xf>
    <xf numFmtId="41" fontId="197" fillId="69" borderId="3" xfId="0" applyNumberFormat="1" applyFont="1" applyFill="1" applyBorder="1">
      <alignment vertical="center"/>
    </xf>
    <xf numFmtId="41" fontId="197" fillId="69" borderId="19" xfId="0" applyNumberFormat="1" applyFont="1" applyFill="1" applyBorder="1">
      <alignment vertical="center"/>
    </xf>
    <xf numFmtId="41" fontId="197" fillId="69" borderId="27" xfId="0" applyNumberFormat="1" applyFont="1" applyFill="1" applyBorder="1">
      <alignment vertical="center"/>
    </xf>
    <xf numFmtId="0" fontId="0" fillId="0" borderId="45" xfId="0" applyBorder="1">
      <alignment vertical="center"/>
    </xf>
    <xf numFmtId="41" fontId="189" fillId="69" borderId="45" xfId="0" applyNumberFormat="1" applyFont="1" applyFill="1" applyBorder="1">
      <alignment vertical="center"/>
    </xf>
    <xf numFmtId="41" fontId="189" fillId="69" borderId="71" xfId="0" applyNumberFormat="1" applyFont="1" applyFill="1" applyBorder="1">
      <alignment vertical="center"/>
    </xf>
    <xf numFmtId="41" fontId="189" fillId="69" borderId="54" xfId="0" applyNumberFormat="1" applyFont="1" applyFill="1" applyBorder="1">
      <alignment vertical="center"/>
    </xf>
    <xf numFmtId="41" fontId="189" fillId="69" borderId="75" xfId="0" applyNumberFormat="1" applyFont="1" applyFill="1" applyBorder="1">
      <alignment vertical="center"/>
    </xf>
    <xf numFmtId="0" fontId="256" fillId="69" borderId="77" xfId="140" applyFont="1" applyFill="1" applyBorder="1" applyAlignment="1">
      <alignment horizontal="center" vertical="center" wrapText="1"/>
    </xf>
    <xf numFmtId="0" fontId="215" fillId="114" borderId="41" xfId="140" applyFont="1" applyFill="1" applyBorder="1" applyAlignment="1">
      <alignment horizontal="center" vertical="center"/>
    </xf>
    <xf numFmtId="176" fontId="215" fillId="69" borderId="55" xfId="140" applyNumberFormat="1" applyFont="1" applyFill="1" applyBorder="1" applyAlignment="1">
      <alignment horizontal="center" vertical="center"/>
    </xf>
    <xf numFmtId="0" fontId="256" fillId="71" borderId="41" xfId="140" applyFont="1" applyFill="1" applyBorder="1" applyAlignment="1">
      <alignment horizontal="center" vertical="center" wrapText="1"/>
    </xf>
    <xf numFmtId="41" fontId="197" fillId="69" borderId="34" xfId="3706" applyFont="1" applyFill="1" applyBorder="1" applyAlignment="1">
      <alignment horizontal="center" vertical="center"/>
    </xf>
    <xf numFmtId="0" fontId="287" fillId="0" borderId="0" xfId="0" applyFont="1" applyAlignment="1">
      <alignment vertical="center" textRotation="255" wrapText="1"/>
    </xf>
    <xf numFmtId="0" fontId="222" fillId="69" borderId="14" xfId="140" applyFont="1" applyFill="1" applyBorder="1" applyAlignment="1">
      <alignment horizontal="left" vertical="center"/>
    </xf>
    <xf numFmtId="0" fontId="222" fillId="69" borderId="18" xfId="140" applyFont="1" applyFill="1" applyBorder="1" applyAlignment="1">
      <alignment horizontal="left" vertical="center"/>
    </xf>
    <xf numFmtId="0" fontId="222" fillId="69" borderId="69" xfId="140" applyFont="1" applyFill="1" applyBorder="1" applyAlignment="1">
      <alignment horizontal="left" vertical="center"/>
    </xf>
    <xf numFmtId="0" fontId="222" fillId="69" borderId="51" xfId="140" applyFont="1" applyFill="1" applyBorder="1" applyAlignment="1">
      <alignment horizontal="left" vertical="center"/>
    </xf>
    <xf numFmtId="0" fontId="222" fillId="69" borderId="29" xfId="140" applyFont="1" applyFill="1" applyBorder="1" applyAlignment="1">
      <alignment horizontal="left" vertical="center"/>
    </xf>
    <xf numFmtId="204" fontId="222" fillId="69" borderId="24" xfId="140" applyNumberFormat="1" applyFont="1" applyFill="1" applyBorder="1" applyAlignment="1">
      <alignment horizontal="left" vertical="center"/>
    </xf>
    <xf numFmtId="0" fontId="239" fillId="69" borderId="3" xfId="140" applyFont="1" applyFill="1" applyBorder="1" applyAlignment="1">
      <alignment horizontal="left" vertical="center"/>
    </xf>
    <xf numFmtId="0" fontId="225" fillId="109" borderId="34" xfId="140" applyFont="1" applyFill="1" applyBorder="1" applyAlignment="1">
      <alignment horizontal="left" vertical="center"/>
    </xf>
    <xf numFmtId="0" fontId="222" fillId="109" borderId="19" xfId="140" applyFont="1" applyFill="1" applyBorder="1" applyAlignment="1">
      <alignment horizontal="left" vertical="center"/>
    </xf>
    <xf numFmtId="0" fontId="222" fillId="109" borderId="27" xfId="140" applyFont="1" applyFill="1" applyBorder="1" applyAlignment="1">
      <alignment horizontal="left" vertical="center"/>
    </xf>
    <xf numFmtId="0" fontId="222" fillId="109" borderId="69" xfId="140" applyFont="1" applyFill="1" applyBorder="1" applyAlignment="1">
      <alignment horizontal="left" vertical="center"/>
    </xf>
    <xf numFmtId="0" fontId="222" fillId="69" borderId="25" xfId="140" applyFont="1" applyFill="1" applyBorder="1" applyAlignment="1">
      <alignment horizontal="left" vertical="center"/>
    </xf>
    <xf numFmtId="0" fontId="222" fillId="69" borderId="19" xfId="140" applyFont="1" applyFill="1" applyBorder="1" applyAlignment="1">
      <alignment vertical="center"/>
    </xf>
    <xf numFmtId="0" fontId="222" fillId="101" borderId="52" xfId="140" applyFont="1" applyFill="1" applyBorder="1" applyAlignment="1">
      <alignment vertical="center"/>
    </xf>
    <xf numFmtId="0" fontId="222" fillId="111" borderId="52" xfId="140" applyFont="1" applyFill="1" applyBorder="1" applyAlignment="1">
      <alignment vertical="center"/>
    </xf>
    <xf numFmtId="0" fontId="222" fillId="69" borderId="24" xfId="140" applyFont="1" applyFill="1" applyBorder="1" applyAlignment="1">
      <alignment vertical="center"/>
    </xf>
    <xf numFmtId="0" fontId="222" fillId="69" borderId="23" xfId="140" applyFont="1" applyFill="1" applyBorder="1" applyAlignment="1">
      <alignment vertical="center"/>
    </xf>
    <xf numFmtId="0" fontId="222" fillId="69" borderId="34" xfId="140" applyFont="1" applyFill="1" applyBorder="1" applyAlignment="1">
      <alignment vertical="center"/>
    </xf>
    <xf numFmtId="0" fontId="241" fillId="69" borderId="52" xfId="140" applyFont="1" applyFill="1" applyBorder="1" applyAlignment="1">
      <alignment vertical="center"/>
    </xf>
    <xf numFmtId="0" fontId="222" fillId="69" borderId="37" xfId="140" applyFont="1" applyFill="1" applyBorder="1" applyAlignment="1">
      <alignment vertical="center"/>
    </xf>
    <xf numFmtId="0" fontId="222" fillId="0" borderId="31" xfId="140" applyFont="1" applyBorder="1" applyAlignment="1">
      <alignment vertical="center"/>
    </xf>
    <xf numFmtId="0" fontId="287" fillId="0" borderId="45" xfId="0" applyFont="1" applyBorder="1" applyAlignment="1">
      <alignment vertical="center" textRotation="255" wrapText="1"/>
    </xf>
    <xf numFmtId="0" fontId="238" fillId="107" borderId="27" xfId="140" applyFont="1" applyFill="1" applyBorder="1" applyAlignment="1">
      <alignment horizontal="center" vertical="center"/>
    </xf>
    <xf numFmtId="0" fontId="238" fillId="107" borderId="27" xfId="140" applyFont="1" applyFill="1" applyBorder="1" applyAlignment="1">
      <alignment horizontal="left" vertical="center"/>
    </xf>
    <xf numFmtId="181" fontId="238" fillId="107" borderId="27" xfId="122" applyNumberFormat="1" applyFont="1" applyFill="1" applyBorder="1" applyAlignment="1">
      <alignment horizontal="center" vertical="center"/>
    </xf>
    <xf numFmtId="202" fontId="238" fillId="107" borderId="27" xfId="122" applyNumberFormat="1" applyFont="1" applyFill="1" applyBorder="1" applyAlignment="1">
      <alignment horizontal="center" vertical="center"/>
    </xf>
    <xf numFmtId="0" fontId="249" fillId="107" borderId="27" xfId="140" applyFont="1" applyFill="1" applyBorder="1" applyAlignment="1">
      <alignment horizontal="center" vertical="center"/>
    </xf>
    <xf numFmtId="246" fontId="238" fillId="107" borderId="27" xfId="118" applyNumberFormat="1" applyFont="1" applyFill="1" applyBorder="1" applyAlignment="1">
      <alignment horizontal="right" vertical="center"/>
    </xf>
    <xf numFmtId="41" fontId="238" fillId="107" borderId="27" xfId="118" applyFont="1" applyFill="1" applyBorder="1" applyAlignment="1">
      <alignment horizontal="center" vertical="center"/>
    </xf>
    <xf numFmtId="41" fontId="238" fillId="69" borderId="27" xfId="3284" applyFont="1" applyFill="1" applyBorder="1" applyAlignment="1">
      <alignment vertical="center"/>
    </xf>
    <xf numFmtId="41" fontId="238" fillId="69" borderId="44" xfId="118" applyFont="1" applyFill="1" applyBorder="1" applyAlignment="1">
      <alignment vertical="center"/>
    </xf>
    <xf numFmtId="41" fontId="238" fillId="69" borderId="42" xfId="118" applyFont="1" applyFill="1" applyBorder="1" applyAlignment="1">
      <alignment horizontal="center" vertical="center"/>
    </xf>
    <xf numFmtId="41" fontId="238" fillId="69" borderId="43" xfId="118" applyFont="1" applyFill="1" applyBorder="1" applyAlignment="1">
      <alignment vertical="center"/>
    </xf>
    <xf numFmtId="0" fontId="276" fillId="0" borderId="52" xfId="136" applyFont="1" applyBorder="1" applyAlignment="1">
      <alignment horizontal="center" vertical="center"/>
    </xf>
    <xf numFmtId="41" fontId="194" fillId="0" borderId="52" xfId="116" applyFont="1" applyBorder="1">
      <alignment vertical="center"/>
    </xf>
    <xf numFmtId="41" fontId="216" fillId="0" borderId="110" xfId="140" applyNumberFormat="1" applyFont="1" applyBorder="1" applyAlignment="1">
      <alignment horizontal="center" vertical="center"/>
    </xf>
    <xf numFmtId="41" fontId="216" fillId="0" borderId="111" xfId="140" applyNumberFormat="1" applyFont="1" applyBorder="1" applyAlignment="1">
      <alignment horizontal="center" vertical="center"/>
    </xf>
    <xf numFmtId="176" fontId="215" fillId="95" borderId="70" xfId="140" applyNumberFormat="1" applyFont="1" applyFill="1" applyBorder="1" applyAlignment="1">
      <alignment horizontal="right" vertical="center"/>
    </xf>
    <xf numFmtId="176" fontId="215" fillId="95" borderId="63" xfId="140" applyNumberFormat="1" applyFont="1" applyFill="1" applyBorder="1" applyAlignment="1">
      <alignment horizontal="right" vertical="center"/>
    </xf>
    <xf numFmtId="176" fontId="215" fillId="95" borderId="43" xfId="140" applyNumberFormat="1" applyFont="1" applyFill="1" applyBorder="1" applyAlignment="1">
      <alignment horizontal="right" vertical="center"/>
    </xf>
    <xf numFmtId="176" fontId="215" fillId="95" borderId="44" xfId="140" applyNumberFormat="1" applyFont="1" applyFill="1" applyBorder="1" applyAlignment="1">
      <alignment horizontal="right" vertical="center"/>
    </xf>
    <xf numFmtId="176" fontId="215" fillId="0" borderId="64" xfId="140" applyNumberFormat="1" applyFont="1" applyBorder="1" applyAlignment="1">
      <alignment horizontal="right" vertical="center"/>
    </xf>
    <xf numFmtId="176" fontId="249" fillId="69" borderId="44" xfId="140" applyNumberFormat="1" applyFont="1" applyFill="1" applyBorder="1" applyAlignment="1">
      <alignment horizontal="right" vertical="center"/>
    </xf>
    <xf numFmtId="176" fontId="249" fillId="69" borderId="43" xfId="140" applyNumberFormat="1" applyFont="1" applyFill="1" applyBorder="1" applyAlignment="1">
      <alignment horizontal="right" vertical="center"/>
    </xf>
    <xf numFmtId="0" fontId="189" fillId="108" borderId="47" xfId="136" applyFont="1" applyFill="1" applyBorder="1" applyAlignment="1">
      <alignment horizontal="center" vertical="center" wrapText="1"/>
    </xf>
    <xf numFmtId="0" fontId="249" fillId="0" borderId="0" xfId="0" applyFont="1" applyAlignment="1">
      <alignment horizontal="center" vertical="center"/>
    </xf>
    <xf numFmtId="0" fontId="197" fillId="0" borderId="0" xfId="0" applyFont="1" applyAlignment="1">
      <alignment horizontal="center" vertical="center"/>
    </xf>
    <xf numFmtId="41" fontId="216" fillId="0" borderId="0" xfId="140" applyNumberFormat="1" applyFont="1" applyAlignment="1">
      <alignment horizontal="center" vertical="center"/>
    </xf>
    <xf numFmtId="41" fontId="215" fillId="0" borderId="0" xfId="140" applyNumberFormat="1" applyFont="1" applyAlignment="1">
      <alignment vertical="center"/>
    </xf>
    <xf numFmtId="10" fontId="245" fillId="0" borderId="0" xfId="3807" applyNumberFormat="1" applyFont="1" applyAlignment="1">
      <alignment vertical="center"/>
    </xf>
    <xf numFmtId="248" fontId="245" fillId="0" borderId="0" xfId="140" applyNumberFormat="1" applyFont="1" applyAlignment="1">
      <alignment vertical="center"/>
    </xf>
    <xf numFmtId="41" fontId="197" fillId="33" borderId="37" xfId="128" applyNumberFormat="1" applyFont="1" applyFill="1" applyBorder="1">
      <alignment vertical="center"/>
    </xf>
    <xf numFmtId="41" fontId="197" fillId="33" borderId="45" xfId="128" applyNumberFormat="1" applyFont="1" applyFill="1" applyBorder="1">
      <alignment vertical="center"/>
    </xf>
    <xf numFmtId="0" fontId="222" fillId="0" borderId="16" xfId="140" applyFont="1" applyBorder="1" applyAlignment="1">
      <alignment horizontal="center" vertical="center"/>
    </xf>
    <xf numFmtId="0" fontId="222" fillId="0" borderId="62" xfId="140" applyFont="1" applyBorder="1" applyAlignment="1">
      <alignment horizontal="center" vertical="center"/>
    </xf>
    <xf numFmtId="0" fontId="222" fillId="0" borderId="21" xfId="140" applyFont="1" applyBorder="1" applyAlignment="1">
      <alignment horizontal="center" vertical="center"/>
    </xf>
    <xf numFmtId="41" fontId="238" fillId="69" borderId="23" xfId="3708" applyFont="1" applyFill="1" applyBorder="1" applyAlignment="1">
      <alignment vertical="center" wrapText="1"/>
    </xf>
    <xf numFmtId="41" fontId="238" fillId="69" borderId="37" xfId="3708" applyFont="1" applyFill="1" applyBorder="1" applyAlignment="1">
      <alignment vertical="center" wrapText="1"/>
    </xf>
    <xf numFmtId="41" fontId="238" fillId="69" borderId="31" xfId="3708" applyFont="1" applyFill="1" applyBorder="1" applyAlignment="1">
      <alignment vertical="center" wrapText="1"/>
    </xf>
    <xf numFmtId="0" fontId="290" fillId="109" borderId="36" xfId="140" applyFont="1" applyFill="1" applyBorder="1" applyAlignment="1">
      <alignment horizontal="left" vertical="center"/>
    </xf>
    <xf numFmtId="0" fontId="222" fillId="69" borderId="36" xfId="140" applyFont="1" applyFill="1" applyBorder="1" applyAlignment="1">
      <alignment horizontal="left" vertical="center"/>
    </xf>
    <xf numFmtId="0" fontId="241" fillId="69" borderId="34" xfId="140" applyFont="1" applyFill="1" applyBorder="1" applyAlignment="1">
      <alignment vertical="center"/>
    </xf>
    <xf numFmtId="41" fontId="226" fillId="35" borderId="68" xfId="159" applyFont="1" applyFill="1" applyBorder="1" applyAlignment="1">
      <alignment horizontal="center"/>
    </xf>
    <xf numFmtId="0" fontId="291" fillId="0" borderId="19" xfId="0" applyFont="1" applyBorder="1" applyAlignment="1">
      <alignment horizontal="left" vertical="center"/>
    </xf>
    <xf numFmtId="0" fontId="291" fillId="0" borderId="19" xfId="0" applyFont="1" applyBorder="1">
      <alignment vertical="center"/>
    </xf>
    <xf numFmtId="0" fontId="291" fillId="0" borderId="27" xfId="0" applyFont="1" applyBorder="1" applyAlignment="1">
      <alignment horizontal="left" vertical="center"/>
    </xf>
    <xf numFmtId="0" fontId="291" fillId="0" borderId="27" xfId="0" applyFont="1" applyBorder="1">
      <alignment vertical="center"/>
    </xf>
    <xf numFmtId="41" fontId="197" fillId="33" borderId="50" xfId="128" applyNumberFormat="1" applyFont="1" applyFill="1" applyBorder="1">
      <alignment vertical="center"/>
    </xf>
    <xf numFmtId="0" fontId="192" fillId="0" borderId="66" xfId="136" applyFont="1" applyBorder="1" applyAlignment="1">
      <alignment horizontal="center" vertical="center"/>
    </xf>
    <xf numFmtId="0" fontId="192" fillId="0" borderId="26" xfId="136" applyFont="1" applyBorder="1" applyAlignment="1">
      <alignment horizontal="center" vertical="center"/>
    </xf>
    <xf numFmtId="0" fontId="192" fillId="72" borderId="16" xfId="136" applyFont="1" applyFill="1" applyBorder="1" applyAlignment="1">
      <alignment horizontal="center" vertical="center"/>
    </xf>
    <xf numFmtId="176" fontId="195" fillId="70" borderId="52" xfId="136" applyNumberFormat="1" applyFont="1" applyFill="1" applyBorder="1" applyAlignment="1">
      <alignment vertical="center"/>
    </xf>
    <xf numFmtId="176" fontId="246" fillId="41" borderId="118" xfId="136" applyNumberFormat="1" applyFont="1" applyFill="1" applyBorder="1" applyAlignment="1">
      <alignment vertical="center"/>
    </xf>
    <xf numFmtId="0" fontId="193" fillId="0" borderId="87" xfId="128" applyFont="1" applyBorder="1">
      <alignment vertical="center"/>
    </xf>
    <xf numFmtId="0" fontId="66" fillId="0" borderId="27" xfId="0" applyFont="1" applyBorder="1" applyAlignment="1">
      <alignment horizontal="center" vertical="center" wrapText="1"/>
    </xf>
    <xf numFmtId="0" fontId="192" fillId="0" borderId="33" xfId="136" applyFont="1" applyBorder="1" applyAlignment="1">
      <alignment vertical="center"/>
    </xf>
    <xf numFmtId="0" fontId="192" fillId="0" borderId="78" xfId="136" applyFont="1" applyBorder="1" applyAlignment="1">
      <alignment vertical="center"/>
    </xf>
    <xf numFmtId="0" fontId="192" fillId="0" borderId="36" xfId="136" applyFont="1" applyBorder="1" applyAlignment="1">
      <alignment vertical="center"/>
    </xf>
    <xf numFmtId="0" fontId="192" fillId="92" borderId="69" xfId="136" applyFont="1" applyFill="1" applyBorder="1" applyAlignment="1">
      <alignment vertical="center"/>
    </xf>
    <xf numFmtId="0" fontId="192" fillId="92" borderId="33" xfId="136" applyFont="1" applyFill="1" applyBorder="1" applyAlignment="1">
      <alignment vertical="center"/>
    </xf>
    <xf numFmtId="0" fontId="192" fillId="0" borderId="25" xfId="136" applyFont="1" applyBorder="1" applyAlignment="1">
      <alignment vertical="center"/>
    </xf>
    <xf numFmtId="0" fontId="192" fillId="72" borderId="14" xfId="136" applyFont="1" applyFill="1" applyBorder="1" applyAlignment="1">
      <alignment vertical="center"/>
    </xf>
    <xf numFmtId="176" fontId="192" fillId="72" borderId="0" xfId="128" applyNumberFormat="1" applyFont="1" applyFill="1" applyAlignment="1">
      <alignment vertical="center" wrapText="1"/>
    </xf>
    <xf numFmtId="41" fontId="249" fillId="69" borderId="52" xfId="3706" applyFont="1" applyFill="1" applyBorder="1" applyAlignment="1">
      <alignment horizontal="center" vertical="center"/>
    </xf>
    <xf numFmtId="41" fontId="245" fillId="94" borderId="78" xfId="3706" applyFont="1" applyFill="1" applyBorder="1" applyAlignment="1">
      <alignment horizontal="center" vertical="center"/>
    </xf>
    <xf numFmtId="41" fontId="238" fillId="99" borderId="27" xfId="118" applyFont="1" applyFill="1" applyBorder="1" applyAlignment="1">
      <alignment horizontal="center" vertical="center"/>
    </xf>
    <xf numFmtId="0" fontId="208" fillId="0" borderId="17" xfId="136" applyFont="1" applyBorder="1" applyAlignment="1">
      <alignment horizontal="right" vertical="center"/>
    </xf>
    <xf numFmtId="41" fontId="194" fillId="107" borderId="3" xfId="116" applyFont="1" applyFill="1" applyBorder="1" applyAlignment="1">
      <alignment horizontal="center" vertical="center"/>
    </xf>
    <xf numFmtId="41" fontId="194" fillId="72" borderId="37" xfId="116" applyFont="1" applyFill="1" applyBorder="1" applyAlignment="1">
      <alignment horizontal="center" vertical="center"/>
    </xf>
    <xf numFmtId="0" fontId="197" fillId="69" borderId="28" xfId="136" applyFont="1" applyFill="1" applyBorder="1" applyAlignment="1">
      <alignment horizontal="center" vertical="center" wrapText="1"/>
    </xf>
    <xf numFmtId="0" fontId="194" fillId="69" borderId="27" xfId="136" applyFont="1" applyFill="1" applyBorder="1" applyAlignment="1">
      <alignment horizontal="center" vertical="center"/>
    </xf>
    <xf numFmtId="0" fontId="197" fillId="0" borderId="57" xfId="136" applyFont="1" applyBorder="1" applyAlignment="1">
      <alignment horizontal="center" vertical="center" wrapText="1"/>
    </xf>
    <xf numFmtId="0" fontId="194" fillId="92" borderId="37" xfId="136" applyFont="1" applyFill="1" applyBorder="1" applyAlignment="1">
      <alignment horizontal="center" vertical="center"/>
    </xf>
    <xf numFmtId="176" fontId="246" fillId="92" borderId="24" xfId="136" applyNumberFormat="1" applyFont="1" applyFill="1" applyBorder="1" applyAlignment="1">
      <alignment vertical="center"/>
    </xf>
    <xf numFmtId="176" fontId="246" fillId="92" borderId="64" xfId="136" applyNumberFormat="1" applyFont="1" applyFill="1" applyBorder="1" applyAlignment="1">
      <alignment vertical="center"/>
    </xf>
    <xf numFmtId="176" fontId="246" fillId="69" borderId="27" xfId="136" applyNumberFormat="1" applyFont="1" applyFill="1" applyBorder="1" applyAlignment="1">
      <alignment vertical="center"/>
    </xf>
    <xf numFmtId="176" fontId="195" fillId="69" borderId="44" xfId="136" applyNumberFormat="1" applyFont="1" applyFill="1" applyBorder="1" applyAlignment="1">
      <alignment vertical="center"/>
    </xf>
    <xf numFmtId="0" fontId="222" fillId="99" borderId="24" xfId="140" applyFont="1" applyFill="1" applyBorder="1" applyAlignment="1">
      <alignment horizontal="center" vertical="center"/>
    </xf>
    <xf numFmtId="202" fontId="238" fillId="99" borderId="3" xfId="140" applyNumberFormat="1" applyFont="1" applyFill="1" applyBorder="1" applyAlignment="1">
      <alignment vertical="center"/>
    </xf>
    <xf numFmtId="202" fontId="238" fillId="99" borderId="27" xfId="140" applyNumberFormat="1" applyFont="1" applyFill="1" applyBorder="1" applyAlignment="1">
      <alignment vertical="center"/>
    </xf>
    <xf numFmtId="0" fontId="238" fillId="69" borderId="52" xfId="140" applyFont="1" applyFill="1" applyBorder="1" applyAlignment="1">
      <alignment vertical="center"/>
    </xf>
    <xf numFmtId="41" fontId="238" fillId="0" borderId="19" xfId="3284" applyFont="1" applyBorder="1" applyAlignment="1">
      <alignment horizontal="center" vertical="center"/>
    </xf>
    <xf numFmtId="41" fontId="76" fillId="69" borderId="19" xfId="3284" applyFont="1" applyFill="1" applyBorder="1">
      <alignment vertical="center"/>
    </xf>
    <xf numFmtId="41" fontId="238" fillId="0" borderId="52" xfId="3284" applyFont="1" applyBorder="1" applyAlignment="1">
      <alignment horizontal="center" vertical="center"/>
    </xf>
    <xf numFmtId="41" fontId="76" fillId="69" borderId="3" xfId="3284" applyFont="1" applyFill="1" applyBorder="1">
      <alignment vertical="center"/>
    </xf>
    <xf numFmtId="41" fontId="238" fillId="0" borderId="3" xfId="3284" applyFont="1" applyBorder="1" applyAlignment="1">
      <alignment horizontal="center" vertical="center"/>
    </xf>
    <xf numFmtId="41" fontId="76" fillId="69" borderId="27" xfId="3284" applyFont="1" applyFill="1" applyBorder="1">
      <alignment vertical="center"/>
    </xf>
    <xf numFmtId="41" fontId="259" fillId="69" borderId="3" xfId="3284" applyFont="1" applyFill="1" applyBorder="1" applyAlignment="1">
      <alignment vertical="center"/>
    </xf>
    <xf numFmtId="41" fontId="259" fillId="69" borderId="52" xfId="3284" applyFont="1" applyFill="1" applyBorder="1" applyAlignment="1">
      <alignment vertical="center"/>
    </xf>
    <xf numFmtId="41" fontId="259" fillId="69" borderId="19" xfId="3284" applyFont="1" applyFill="1" applyBorder="1" applyAlignment="1">
      <alignment vertical="center"/>
    </xf>
    <xf numFmtId="41" fontId="259" fillId="69" borderId="27" xfId="3284" applyFont="1" applyFill="1" applyBorder="1" applyAlignment="1">
      <alignment vertical="center"/>
    </xf>
    <xf numFmtId="41" fontId="259" fillId="69" borderId="34" xfId="3284" applyFont="1" applyFill="1" applyBorder="1" applyAlignment="1">
      <alignment vertical="center"/>
    </xf>
    <xf numFmtId="0" fontId="238" fillId="104" borderId="3" xfId="140" applyFont="1" applyFill="1" applyBorder="1" applyAlignment="1">
      <alignment horizontal="center" vertical="center"/>
    </xf>
    <xf numFmtId="0" fontId="238" fillId="104" borderId="19" xfId="140" applyFont="1" applyFill="1" applyBorder="1" applyAlignment="1">
      <alignment horizontal="center" vertical="center"/>
    </xf>
    <xf numFmtId="0" fontId="238" fillId="104" borderId="52" xfId="140" applyFont="1" applyFill="1" applyBorder="1" applyAlignment="1">
      <alignment horizontal="center" vertical="center"/>
    </xf>
    <xf numFmtId="0" fontId="238" fillId="104" borderId="3" xfId="140" applyFont="1" applyFill="1" applyBorder="1" applyAlignment="1">
      <alignment vertical="center"/>
    </xf>
    <xf numFmtId="0" fontId="238" fillId="104" borderId="52" xfId="140" applyFont="1" applyFill="1" applyBorder="1" applyAlignment="1">
      <alignment vertical="center"/>
    </xf>
    <xf numFmtId="0" fontId="238" fillId="0" borderId="15" xfId="140" quotePrefix="1" applyFont="1" applyBorder="1" applyAlignment="1">
      <alignment horizontal="center" vertical="center"/>
    </xf>
    <xf numFmtId="202" fontId="238" fillId="99" borderId="19" xfId="140" applyNumberFormat="1" applyFont="1" applyFill="1" applyBorder="1" applyAlignment="1">
      <alignment horizontal="center" vertical="center"/>
    </xf>
    <xf numFmtId="41" fontId="238" fillId="99" borderId="19" xfId="118" applyFont="1" applyFill="1" applyBorder="1" applyAlignment="1">
      <alignment horizontal="center" vertical="center"/>
    </xf>
    <xf numFmtId="41" fontId="238" fillId="69" borderId="44" xfId="118" applyFont="1" applyFill="1" applyBorder="1" applyAlignment="1">
      <alignment horizontal="center" vertical="center"/>
    </xf>
    <xf numFmtId="41" fontId="292" fillId="69" borderId="19" xfId="3284" applyFont="1" applyFill="1" applyBorder="1">
      <alignment vertical="center"/>
    </xf>
    <xf numFmtId="41" fontId="292" fillId="69" borderId="3" xfId="3284" applyFont="1" applyFill="1" applyBorder="1">
      <alignment vertical="center"/>
    </xf>
    <xf numFmtId="41" fontId="249" fillId="69" borderId="3" xfId="3284" applyFont="1" applyFill="1" applyBorder="1" applyAlignment="1">
      <alignment vertical="center"/>
    </xf>
    <xf numFmtId="41" fontId="249" fillId="69" borderId="52" xfId="3284" applyFont="1" applyFill="1" applyBorder="1" applyAlignment="1">
      <alignment vertical="center"/>
    </xf>
    <xf numFmtId="41" fontId="292" fillId="69" borderId="52" xfId="3284" applyFont="1" applyFill="1" applyBorder="1">
      <alignment vertical="center"/>
    </xf>
    <xf numFmtId="41" fontId="249" fillId="69" borderId="19" xfId="3284" applyFont="1" applyFill="1" applyBorder="1" applyAlignment="1">
      <alignment vertical="center"/>
    </xf>
    <xf numFmtId="0" fontId="238" fillId="0" borderId="35" xfId="140" applyFont="1" applyBorder="1" applyAlignment="1">
      <alignment horizontal="center" vertical="center"/>
    </xf>
    <xf numFmtId="41" fontId="76" fillId="69" borderId="37" xfId="3284" applyFont="1" applyFill="1" applyBorder="1">
      <alignment vertical="center"/>
    </xf>
    <xf numFmtId="41" fontId="76" fillId="69" borderId="45" xfId="3284" applyFont="1" applyFill="1" applyBorder="1">
      <alignment vertical="center"/>
    </xf>
    <xf numFmtId="0" fontId="194" fillId="104" borderId="3" xfId="136" applyFont="1" applyFill="1" applyBorder="1" applyAlignment="1">
      <alignment horizontal="center" vertical="center"/>
    </xf>
    <xf numFmtId="0" fontId="215" fillId="69" borderId="22" xfId="140" applyFont="1" applyFill="1" applyBorder="1" applyAlignment="1">
      <alignment horizontal="center" vertical="center" wrapText="1"/>
    </xf>
    <xf numFmtId="0" fontId="215" fillId="69" borderId="77" xfId="140" applyFont="1" applyFill="1" applyBorder="1" applyAlignment="1">
      <alignment horizontal="center" vertical="center" wrapText="1"/>
    </xf>
    <xf numFmtId="0" fontId="215" fillId="69" borderId="41" xfId="140" applyFont="1" applyFill="1" applyBorder="1" applyAlignment="1">
      <alignment horizontal="center" vertical="center" wrapText="1"/>
    </xf>
    <xf numFmtId="0" fontId="215" fillId="69" borderId="28" xfId="140" applyFont="1" applyFill="1" applyBorder="1" applyAlignment="1">
      <alignment horizontal="center" vertical="center"/>
    </xf>
    <xf numFmtId="0" fontId="215" fillId="69" borderId="20" xfId="140" applyFont="1" applyFill="1" applyBorder="1" applyAlignment="1">
      <alignment horizontal="center" vertical="center"/>
    </xf>
    <xf numFmtId="0" fontId="256" fillId="114" borderId="66" xfId="140" applyFont="1" applyFill="1" applyBorder="1" applyAlignment="1">
      <alignment horizontal="center" vertical="center"/>
    </xf>
    <xf numFmtId="0" fontId="215" fillId="109" borderId="41" xfId="140" applyFont="1" applyFill="1" applyBorder="1" applyAlignment="1">
      <alignment horizontal="center" vertical="center" wrapText="1"/>
    </xf>
    <xf numFmtId="0" fontId="215" fillId="109" borderId="45" xfId="140" applyFont="1" applyFill="1" applyBorder="1" applyAlignment="1">
      <alignment horizontal="center" vertical="center"/>
    </xf>
    <xf numFmtId="0" fontId="215" fillId="109" borderId="46" xfId="140" applyFont="1" applyFill="1" applyBorder="1" applyAlignment="1">
      <alignment horizontal="center" vertical="center"/>
    </xf>
    <xf numFmtId="0" fontId="215" fillId="109" borderId="41" xfId="140" applyFont="1" applyFill="1" applyBorder="1" applyAlignment="1">
      <alignment horizontal="center" vertical="center"/>
    </xf>
    <xf numFmtId="0" fontId="215" fillId="102" borderId="45" xfId="140" applyFont="1" applyFill="1" applyBorder="1" applyAlignment="1">
      <alignment horizontal="center" vertical="center"/>
    </xf>
    <xf numFmtId="0" fontId="215" fillId="69" borderId="66" xfId="140" applyFont="1" applyFill="1" applyBorder="1" applyAlignment="1">
      <alignment horizontal="center" vertical="center"/>
    </xf>
    <xf numFmtId="0" fontId="215" fillId="69" borderId="77" xfId="140" applyFont="1" applyFill="1" applyBorder="1" applyAlignment="1">
      <alignment horizontal="center" vertical="center"/>
    </xf>
    <xf numFmtId="0" fontId="256" fillId="114" borderId="41" xfId="140" applyFont="1" applyFill="1" applyBorder="1" applyAlignment="1">
      <alignment horizontal="center" vertical="center"/>
    </xf>
    <xf numFmtId="0" fontId="215" fillId="70" borderId="41" xfId="140" applyFont="1" applyFill="1" applyBorder="1" applyAlignment="1">
      <alignment horizontal="center" vertical="center"/>
    </xf>
    <xf numFmtId="0" fontId="249" fillId="69" borderId="77" xfId="140" applyFont="1" applyFill="1" applyBorder="1" applyAlignment="1">
      <alignment horizontal="center" vertical="center"/>
    </xf>
    <xf numFmtId="0" fontId="216" fillId="69" borderId="0" xfId="140" applyFont="1" applyFill="1" applyAlignment="1">
      <alignment horizontal="center"/>
    </xf>
    <xf numFmtId="0" fontId="278" fillId="0" borderId="52" xfId="136" applyFont="1" applyBorder="1" applyAlignment="1">
      <alignment horizontal="center" vertical="center"/>
    </xf>
    <xf numFmtId="0" fontId="193" fillId="89" borderId="3" xfId="136" applyFont="1" applyFill="1" applyBorder="1" applyAlignment="1" applyProtection="1">
      <alignment vertical="center"/>
      <protection locked="0"/>
    </xf>
    <xf numFmtId="0" fontId="193" fillId="72" borderId="37" xfId="136" applyFont="1" applyFill="1" applyBorder="1" applyAlignment="1">
      <alignment horizontal="center" vertical="center"/>
    </xf>
    <xf numFmtId="0" fontId="193" fillId="72" borderId="37" xfId="136" applyFont="1" applyFill="1" applyBorder="1" applyAlignment="1" applyProtection="1">
      <alignment vertical="center"/>
      <protection locked="0"/>
    </xf>
    <xf numFmtId="0" fontId="194" fillId="72" borderId="37" xfId="136" applyFont="1" applyFill="1" applyBorder="1" applyAlignment="1" applyProtection="1">
      <alignment vertical="center"/>
      <protection locked="0"/>
    </xf>
    <xf numFmtId="0" fontId="258" fillId="69" borderId="3" xfId="136" applyFont="1" applyFill="1" applyBorder="1" applyAlignment="1">
      <alignment horizontal="center" vertical="center"/>
    </xf>
    <xf numFmtId="0" fontId="249" fillId="36" borderId="35" xfId="140" applyFont="1" applyFill="1" applyBorder="1" applyAlignment="1">
      <alignment horizontal="center" vertical="center"/>
    </xf>
    <xf numFmtId="41" fontId="197" fillId="69" borderId="30" xfId="3720" applyFont="1" applyFill="1" applyBorder="1" applyAlignment="1">
      <alignment horizontal="center" vertical="center"/>
    </xf>
    <xf numFmtId="41" fontId="245" fillId="69" borderId="16" xfId="3720" applyFont="1" applyFill="1" applyBorder="1" applyAlignment="1">
      <alignment horizontal="center" vertical="center"/>
    </xf>
    <xf numFmtId="41" fontId="224" fillId="81" borderId="51" xfId="3284" applyFont="1" applyFill="1" applyBorder="1" applyAlignment="1">
      <alignment horizontal="center" vertical="center"/>
    </xf>
    <xf numFmtId="41" fontId="224" fillId="95" borderId="72" xfId="3284" applyFont="1" applyFill="1" applyBorder="1" applyAlignment="1">
      <alignment vertical="center"/>
    </xf>
    <xf numFmtId="41" fontId="224" fillId="95" borderId="73" xfId="3284" applyFont="1" applyFill="1" applyBorder="1" applyAlignment="1">
      <alignment vertical="center"/>
    </xf>
    <xf numFmtId="41" fontId="224" fillId="95" borderId="74" xfId="3284" applyFont="1" applyFill="1" applyBorder="1" applyAlignment="1">
      <alignment vertical="center"/>
    </xf>
    <xf numFmtId="41" fontId="224" fillId="95" borderId="49" xfId="3284" applyFont="1" applyFill="1" applyBorder="1" applyAlignment="1">
      <alignment vertical="center"/>
    </xf>
    <xf numFmtId="41" fontId="224" fillId="95" borderId="118" xfId="3284" applyFont="1" applyFill="1" applyBorder="1" applyAlignment="1">
      <alignment vertical="center"/>
    </xf>
    <xf numFmtId="41" fontId="76" fillId="95" borderId="72" xfId="3284" applyFont="1" applyFill="1" applyBorder="1">
      <alignment vertical="center"/>
    </xf>
    <xf numFmtId="41" fontId="76" fillId="95" borderId="73" xfId="3284" applyFont="1" applyFill="1" applyBorder="1">
      <alignment vertical="center"/>
    </xf>
    <xf numFmtId="41" fontId="259" fillId="95" borderId="73" xfId="3284" applyFont="1" applyFill="1" applyBorder="1" applyAlignment="1">
      <alignment vertical="center"/>
    </xf>
    <xf numFmtId="41" fontId="259" fillId="95" borderId="74" xfId="3284" applyFont="1" applyFill="1" applyBorder="1" applyAlignment="1">
      <alignment vertical="center"/>
    </xf>
    <xf numFmtId="41" fontId="259" fillId="95" borderId="72" xfId="3284" applyFont="1" applyFill="1" applyBorder="1" applyAlignment="1">
      <alignment vertical="center"/>
    </xf>
    <xf numFmtId="41" fontId="265" fillId="95" borderId="73" xfId="3284" applyFont="1" applyFill="1" applyBorder="1" applyAlignment="1">
      <alignment vertical="center"/>
    </xf>
    <xf numFmtId="41" fontId="76" fillId="95" borderId="74" xfId="3284" applyFont="1" applyFill="1" applyBorder="1">
      <alignment vertical="center"/>
    </xf>
    <xf numFmtId="41" fontId="76" fillId="95" borderId="118" xfId="3284" applyFont="1" applyFill="1" applyBorder="1">
      <alignment vertical="center"/>
    </xf>
    <xf numFmtId="41" fontId="76" fillId="95" borderId="60" xfId="3284" applyFont="1" applyFill="1" applyBorder="1">
      <alignment vertical="center"/>
    </xf>
    <xf numFmtId="41" fontId="76" fillId="95" borderId="2" xfId="3284" applyFont="1" applyFill="1" applyBorder="1">
      <alignment vertical="center"/>
    </xf>
    <xf numFmtId="41" fontId="76" fillId="95" borderId="79" xfId="3284" applyFont="1" applyFill="1" applyBorder="1">
      <alignment vertical="center"/>
    </xf>
    <xf numFmtId="41" fontId="249" fillId="118" borderId="81" xfId="158" applyFont="1" applyFill="1" applyBorder="1" applyAlignment="1">
      <alignment horizontal="center" vertical="center"/>
    </xf>
    <xf numFmtId="41" fontId="249" fillId="118" borderId="83" xfId="158" applyFont="1" applyFill="1" applyBorder="1" applyAlignment="1">
      <alignment horizontal="center" vertical="center"/>
    </xf>
    <xf numFmtId="41" fontId="249" fillId="118" borderId="48" xfId="158" applyFont="1" applyFill="1" applyBorder="1" applyAlignment="1">
      <alignment horizontal="center" vertical="center"/>
    </xf>
    <xf numFmtId="41" fontId="249" fillId="118" borderId="84" xfId="158" applyFont="1" applyFill="1" applyBorder="1" applyAlignment="1">
      <alignment horizontal="center" vertical="center"/>
    </xf>
    <xf numFmtId="41" fontId="249" fillId="118" borderId="46" xfId="158" applyFont="1" applyFill="1" applyBorder="1" applyAlignment="1">
      <alignment horizontal="center" vertical="center"/>
    </xf>
    <xf numFmtId="41" fontId="249" fillId="118" borderId="82" xfId="158" applyFont="1" applyFill="1" applyBorder="1" applyAlignment="1">
      <alignment horizontal="center" vertical="center"/>
    </xf>
    <xf numFmtId="41" fontId="249" fillId="118" borderId="85" xfId="158" applyFont="1" applyFill="1" applyBorder="1" applyAlignment="1">
      <alignment horizontal="center" vertical="center"/>
    </xf>
    <xf numFmtId="41" fontId="249" fillId="118" borderId="45" xfId="158" applyFont="1" applyFill="1" applyBorder="1" applyAlignment="1">
      <alignment horizontal="center" vertical="center"/>
    </xf>
    <xf numFmtId="41" fontId="189" fillId="118" borderId="81" xfId="158" applyFont="1" applyFill="1" applyBorder="1" applyAlignment="1">
      <alignment horizontal="center" vertical="center"/>
    </xf>
    <xf numFmtId="41" fontId="189" fillId="118" borderId="82" xfId="158" applyFont="1" applyFill="1" applyBorder="1" applyAlignment="1">
      <alignment horizontal="center" vertical="center"/>
    </xf>
    <xf numFmtId="41" fontId="189" fillId="118" borderId="85" xfId="158" applyFont="1" applyFill="1" applyBorder="1" applyAlignment="1">
      <alignment horizontal="center" vertical="center"/>
    </xf>
    <xf numFmtId="41" fontId="249" fillId="83" borderId="45" xfId="117" applyFont="1" applyFill="1" applyBorder="1" applyAlignment="1">
      <alignment horizontal="center" vertical="center"/>
    </xf>
    <xf numFmtId="0" fontId="207" fillId="69" borderId="34" xfId="3706" applyNumberFormat="1" applyFont="1" applyFill="1" applyBorder="1" applyAlignment="1">
      <alignment horizontal="center" vertical="center"/>
    </xf>
    <xf numFmtId="0" fontId="258" fillId="69" borderId="56" xfId="136" applyFont="1" applyFill="1" applyBorder="1" applyAlignment="1">
      <alignment horizontal="center" vertical="center"/>
    </xf>
    <xf numFmtId="0" fontId="258" fillId="69" borderId="66" xfId="136" applyFont="1" applyFill="1" applyBorder="1" applyAlignment="1">
      <alignment horizontal="center" vertical="center"/>
    </xf>
    <xf numFmtId="41" fontId="197" fillId="33" borderId="63" xfId="128" applyNumberFormat="1" applyFont="1" applyFill="1" applyBorder="1" applyAlignment="1">
      <alignment horizontal="center" vertical="center"/>
    </xf>
    <xf numFmtId="41" fontId="197" fillId="33" borderId="64" xfId="128" applyNumberFormat="1" applyFont="1" applyFill="1" applyBorder="1" applyAlignment="1">
      <alignment horizontal="center" vertical="center"/>
    </xf>
    <xf numFmtId="0" fontId="276" fillId="100" borderId="23" xfId="136" applyFont="1" applyFill="1" applyBorder="1" applyAlignment="1">
      <alignment horizontal="center" vertical="center"/>
    </xf>
    <xf numFmtId="41" fontId="197" fillId="33" borderId="53" xfId="128" applyNumberFormat="1" applyFont="1" applyFill="1" applyBorder="1" applyAlignment="1">
      <alignment horizontal="center" vertical="center"/>
    </xf>
    <xf numFmtId="0" fontId="192" fillId="0" borderId="17" xfId="136" applyFont="1" applyBorder="1" applyAlignment="1">
      <alignment horizontal="center" vertical="center"/>
    </xf>
    <xf numFmtId="0" fontId="276" fillId="0" borderId="24" xfId="136" applyFont="1" applyBorder="1" applyAlignment="1">
      <alignment horizontal="center" vertical="center"/>
    </xf>
    <xf numFmtId="41" fontId="194" fillId="0" borderId="24" xfId="116" applyFont="1" applyBorder="1">
      <alignment vertical="center"/>
    </xf>
    <xf numFmtId="41" fontId="197" fillId="33" borderId="64" xfId="128" applyNumberFormat="1" applyFont="1" applyFill="1" applyBorder="1">
      <alignment vertical="center"/>
    </xf>
    <xf numFmtId="0" fontId="193" fillId="27" borderId="38" xfId="136" applyFont="1" applyFill="1" applyBorder="1" applyAlignment="1">
      <alignment horizontal="center" vertical="center"/>
    </xf>
    <xf numFmtId="0" fontId="193" fillId="27" borderId="38" xfId="136" applyFont="1" applyFill="1" applyBorder="1" applyAlignment="1" applyProtection="1">
      <alignment vertical="center"/>
      <protection locked="0"/>
    </xf>
    <xf numFmtId="0" fontId="193" fillId="27" borderId="37" xfId="136" applyFont="1" applyFill="1" applyBorder="1" applyAlignment="1" applyProtection="1">
      <alignment vertical="center"/>
      <protection locked="0"/>
    </xf>
    <xf numFmtId="0" fontId="193" fillId="27" borderId="39" xfId="136" applyFont="1" applyFill="1" applyBorder="1" applyAlignment="1" applyProtection="1">
      <alignment vertical="center"/>
      <protection locked="0"/>
    </xf>
    <xf numFmtId="0" fontId="193" fillId="43" borderId="23" xfId="136" applyFont="1" applyFill="1" applyBorder="1" applyAlignment="1">
      <alignment horizontal="center" vertical="center"/>
    </xf>
    <xf numFmtId="41" fontId="200" fillId="43" borderId="19" xfId="116" applyFont="1" applyFill="1" applyBorder="1" applyAlignment="1">
      <alignment horizontal="center" vertical="center"/>
    </xf>
    <xf numFmtId="0" fontId="193" fillId="43" borderId="69" xfId="136" applyFont="1" applyFill="1" applyBorder="1" applyAlignment="1" applyProtection="1">
      <alignment vertical="center"/>
      <protection locked="0"/>
    </xf>
    <xf numFmtId="0" fontId="193" fillId="43" borderId="23" xfId="136" applyFont="1" applyFill="1" applyBorder="1" applyAlignment="1" applyProtection="1">
      <alignment vertical="center"/>
      <protection locked="0"/>
    </xf>
    <xf numFmtId="0" fontId="193" fillId="43" borderId="68" xfId="136" applyFont="1" applyFill="1" applyBorder="1" applyAlignment="1" applyProtection="1">
      <alignment vertical="center"/>
      <protection locked="0"/>
    </xf>
    <xf numFmtId="0" fontId="192" fillId="0" borderId="46" xfId="136" applyFont="1" applyBorder="1" applyAlignment="1">
      <alignment horizontal="center" vertical="center" wrapText="1"/>
    </xf>
    <xf numFmtId="0" fontId="192" fillId="0" borderId="47" xfId="136" applyFont="1" applyBorder="1" applyAlignment="1">
      <alignment horizontal="center" vertical="center" wrapText="1"/>
    </xf>
    <xf numFmtId="0" fontId="283" fillId="0" borderId="0" xfId="0" applyFont="1" applyAlignment="1">
      <alignment horizontal="center" vertical="center"/>
    </xf>
    <xf numFmtId="0" fontId="192" fillId="0" borderId="38" xfId="136" applyFont="1" applyBorder="1" applyAlignment="1">
      <alignment horizontal="center" vertical="center" wrapText="1"/>
    </xf>
    <xf numFmtId="0" fontId="192" fillId="0" borderId="33" xfId="136" applyFont="1" applyBorder="1" applyAlignment="1">
      <alignment horizontal="center" vertical="center" wrapText="1"/>
    </xf>
    <xf numFmtId="0" fontId="192" fillId="0" borderId="63" xfId="136" applyFont="1" applyBorder="1" applyAlignment="1">
      <alignment horizontal="center" vertical="center" wrapText="1"/>
    </xf>
    <xf numFmtId="0" fontId="192" fillId="0" borderId="50" xfId="136" applyFont="1" applyBorder="1" applyAlignment="1">
      <alignment horizontal="center" vertical="center" wrapText="1"/>
    </xf>
    <xf numFmtId="41" fontId="197" fillId="33" borderId="118" xfId="128" applyNumberFormat="1" applyFont="1" applyFill="1" applyBorder="1">
      <alignment vertical="center"/>
    </xf>
    <xf numFmtId="41" fontId="197" fillId="33" borderId="54" xfId="128" applyNumberFormat="1" applyFont="1" applyFill="1" applyBorder="1">
      <alignment vertical="center"/>
    </xf>
    <xf numFmtId="41" fontId="197" fillId="33" borderId="76" xfId="128" applyNumberFormat="1" applyFont="1" applyFill="1" applyBorder="1">
      <alignment vertical="center"/>
    </xf>
    <xf numFmtId="41" fontId="197" fillId="33" borderId="118" xfId="128" applyNumberFormat="1" applyFont="1" applyFill="1" applyBorder="1" applyAlignment="1">
      <alignment horizontal="center" vertical="center"/>
    </xf>
    <xf numFmtId="41" fontId="197" fillId="33" borderId="54" xfId="128" applyNumberFormat="1" applyFont="1" applyFill="1" applyBorder="1" applyAlignment="1">
      <alignment horizontal="center" vertical="center"/>
    </xf>
    <xf numFmtId="41" fontId="197" fillId="33" borderId="76" xfId="128" applyNumberFormat="1" applyFont="1" applyFill="1" applyBorder="1" applyAlignment="1">
      <alignment horizontal="center" vertical="center"/>
    </xf>
    <xf numFmtId="41" fontId="197" fillId="33" borderId="73" xfId="128" applyNumberFormat="1" applyFont="1" applyFill="1" applyBorder="1">
      <alignment vertical="center"/>
    </xf>
    <xf numFmtId="41" fontId="194" fillId="0" borderId="42" xfId="116" applyFont="1" applyBorder="1">
      <alignment vertical="center"/>
    </xf>
    <xf numFmtId="41" fontId="194" fillId="0" borderId="43" xfId="116" applyFont="1" applyBorder="1">
      <alignment vertical="center"/>
    </xf>
    <xf numFmtId="41" fontId="193" fillId="0" borderId="43" xfId="116" applyFont="1" applyBorder="1">
      <alignment vertical="center"/>
    </xf>
    <xf numFmtId="41" fontId="194" fillId="0" borderId="63" xfId="116" applyFont="1" applyBorder="1">
      <alignment vertical="center"/>
    </xf>
    <xf numFmtId="41" fontId="245" fillId="69" borderId="52" xfId="3706" applyFont="1" applyFill="1" applyBorder="1" applyAlignment="1">
      <alignment horizontal="center" vertical="center"/>
    </xf>
    <xf numFmtId="0" fontId="240" fillId="69" borderId="24" xfId="140" applyFont="1" applyFill="1" applyBorder="1" applyAlignment="1">
      <alignment vertical="center"/>
    </xf>
    <xf numFmtId="0" fontId="192" fillId="0" borderId="86" xfId="136" applyFont="1" applyBorder="1" applyAlignment="1">
      <alignment horizontal="center" vertical="center"/>
    </xf>
    <xf numFmtId="0" fontId="192" fillId="0" borderId="68" xfId="136" applyFont="1" applyBorder="1" applyAlignment="1">
      <alignment horizontal="center" vertical="center"/>
    </xf>
    <xf numFmtId="0" fontId="192" fillId="0" borderId="39" xfId="136" applyFont="1" applyBorder="1" applyAlignment="1">
      <alignment vertical="center"/>
    </xf>
    <xf numFmtId="0" fontId="238" fillId="69" borderId="24" xfId="140" applyFont="1" applyFill="1" applyBorder="1" applyAlignment="1">
      <alignment vertical="center"/>
    </xf>
    <xf numFmtId="176" fontId="249" fillId="69" borderId="64" xfId="140" applyNumberFormat="1" applyFont="1" applyFill="1" applyBorder="1" applyAlignment="1">
      <alignment horizontal="right" vertical="center"/>
    </xf>
    <xf numFmtId="41" fontId="226" fillId="35" borderId="26" xfId="159" applyFont="1" applyFill="1" applyBorder="1" applyAlignment="1">
      <alignment horizontal="center"/>
    </xf>
    <xf numFmtId="41" fontId="197" fillId="69" borderId="21" xfId="0" applyNumberFormat="1" applyFont="1" applyFill="1" applyBorder="1">
      <alignment vertical="center"/>
    </xf>
    <xf numFmtId="41" fontId="197" fillId="69" borderId="16" xfId="0" applyNumberFormat="1" applyFont="1" applyFill="1" applyBorder="1">
      <alignment vertical="center"/>
    </xf>
    <xf numFmtId="41" fontId="197" fillId="69" borderId="30" xfId="0" applyNumberFormat="1" applyFont="1" applyFill="1" applyBorder="1">
      <alignment vertical="center"/>
    </xf>
    <xf numFmtId="0" fontId="256" fillId="102" borderId="66" xfId="140" applyFont="1" applyFill="1" applyBorder="1" applyAlignment="1">
      <alignment horizontal="center" vertical="center" wrapText="1"/>
    </xf>
    <xf numFmtId="41" fontId="189" fillId="69" borderId="50" xfId="0" applyNumberFormat="1" applyFont="1" applyFill="1" applyBorder="1">
      <alignment vertical="center"/>
    </xf>
    <xf numFmtId="0" fontId="222" fillId="0" borderId="37" xfId="140" applyFont="1" applyBorder="1" applyAlignment="1">
      <alignment horizontal="center" vertical="center"/>
    </xf>
    <xf numFmtId="41" fontId="245" fillId="69" borderId="19" xfId="3720" applyFont="1" applyFill="1" applyBorder="1" applyAlignment="1">
      <alignment horizontal="center" vertical="center"/>
    </xf>
    <xf numFmtId="41" fontId="245" fillId="69" borderId="27" xfId="3720" applyFont="1" applyFill="1" applyBorder="1" applyAlignment="1">
      <alignment horizontal="center" vertical="center"/>
    </xf>
    <xf numFmtId="41" fontId="238" fillId="83" borderId="37" xfId="118" applyFont="1" applyFill="1" applyBorder="1" applyAlignment="1">
      <alignment horizontal="center" vertical="center"/>
    </xf>
    <xf numFmtId="41" fontId="238" fillId="83" borderId="23" xfId="118" applyFont="1" applyFill="1" applyBorder="1" applyAlignment="1">
      <alignment horizontal="center" vertical="center"/>
    </xf>
    <xf numFmtId="0" fontId="222" fillId="69" borderId="56" xfId="140" applyFont="1" applyFill="1" applyBorder="1" applyAlignment="1">
      <alignment horizontal="center" vertical="center"/>
    </xf>
    <xf numFmtId="0" fontId="238" fillId="0" borderId="37" xfId="140" applyFont="1" applyBorder="1" applyAlignment="1">
      <alignment vertical="center" wrapText="1"/>
    </xf>
    <xf numFmtId="0" fontId="238" fillId="0" borderId="31" xfId="140" applyFont="1" applyBorder="1" applyAlignment="1">
      <alignment vertical="center" wrapText="1"/>
    </xf>
    <xf numFmtId="41" fontId="197" fillId="69" borderId="68" xfId="0" applyNumberFormat="1" applyFont="1" applyFill="1" applyBorder="1">
      <alignment vertical="center"/>
    </xf>
    <xf numFmtId="41" fontId="189" fillId="69" borderId="81" xfId="0" applyNumberFormat="1" applyFont="1" applyFill="1" applyBorder="1">
      <alignment vertical="center"/>
    </xf>
    <xf numFmtId="41" fontId="189" fillId="69" borderId="82" xfId="0" applyNumberFormat="1" applyFont="1" applyFill="1" applyBorder="1">
      <alignment vertical="center"/>
    </xf>
    <xf numFmtId="41" fontId="189" fillId="69" borderId="84" xfId="0" applyNumberFormat="1" applyFont="1" applyFill="1" applyBorder="1">
      <alignment vertical="center"/>
    </xf>
    <xf numFmtId="0" fontId="215" fillId="101" borderId="41" xfId="140" applyFont="1" applyFill="1" applyBorder="1" applyAlignment="1">
      <alignment horizontal="center" vertical="center"/>
    </xf>
    <xf numFmtId="41" fontId="259" fillId="91" borderId="46" xfId="3708" applyFont="1" applyFill="1" applyBorder="1" applyAlignment="1">
      <alignment vertical="center"/>
    </xf>
    <xf numFmtId="0" fontId="194" fillId="96" borderId="3" xfId="136" applyFont="1" applyFill="1" applyBorder="1" applyAlignment="1">
      <alignment horizontal="center" vertical="center"/>
    </xf>
    <xf numFmtId="0" fontId="238" fillId="71" borderId="15" xfId="140" applyFont="1" applyFill="1" applyBorder="1" applyAlignment="1">
      <alignment horizontal="center" vertical="center"/>
    </xf>
    <xf numFmtId="0" fontId="238" fillId="71" borderId="20" xfId="140" applyFont="1" applyFill="1" applyBorder="1" applyAlignment="1">
      <alignment horizontal="center" vertical="center"/>
    </xf>
    <xf numFmtId="0" fontId="238" fillId="71" borderId="56" xfId="140" applyFont="1" applyFill="1" applyBorder="1" applyAlignment="1">
      <alignment horizontal="center" vertical="center"/>
    </xf>
    <xf numFmtId="0" fontId="238" fillId="99" borderId="20" xfId="140" applyFont="1" applyFill="1" applyBorder="1" applyAlignment="1">
      <alignment horizontal="center" vertical="center"/>
    </xf>
    <xf numFmtId="0" fontId="238" fillId="99" borderId="15" xfId="140" applyFont="1" applyFill="1" applyBorder="1" applyAlignment="1">
      <alignment horizontal="center" vertical="center"/>
    </xf>
    <xf numFmtId="0" fontId="238" fillId="99" borderId="28" xfId="140" applyFont="1" applyFill="1" applyBorder="1" applyAlignment="1">
      <alignment horizontal="center" vertical="center"/>
    </xf>
    <xf numFmtId="0" fontId="222" fillId="99" borderId="57" xfId="140" applyFont="1" applyFill="1" applyBorder="1" applyAlignment="1">
      <alignment horizontal="center" vertical="center"/>
    </xf>
    <xf numFmtId="0" fontId="222" fillId="99" borderId="24" xfId="140" applyFont="1" applyFill="1" applyBorder="1" applyAlignment="1">
      <alignment vertical="center"/>
    </xf>
    <xf numFmtId="0" fontId="238" fillId="99" borderId="57" xfId="140" applyFont="1" applyFill="1" applyBorder="1" applyAlignment="1">
      <alignment horizontal="center" vertical="center"/>
    </xf>
    <xf numFmtId="41" fontId="238" fillId="69" borderId="64" xfId="118" applyFont="1" applyFill="1" applyBorder="1" applyAlignment="1">
      <alignment vertical="center"/>
    </xf>
    <xf numFmtId="41" fontId="238" fillId="106" borderId="44" xfId="118" applyFont="1" applyFill="1" applyBorder="1" applyAlignment="1">
      <alignment horizontal="center" vertical="center"/>
    </xf>
    <xf numFmtId="0" fontId="207" fillId="0" borderId="3" xfId="140" applyFont="1" applyBorder="1" applyAlignment="1">
      <alignment vertical="center"/>
    </xf>
    <xf numFmtId="0" fontId="245" fillId="69" borderId="3" xfId="140" applyFont="1" applyFill="1" applyBorder="1" applyAlignment="1">
      <alignment vertical="center"/>
    </xf>
    <xf numFmtId="41" fontId="250" fillId="72" borderId="3" xfId="116" applyFont="1" applyFill="1" applyBorder="1" applyAlignment="1">
      <alignment horizontal="center" vertical="center"/>
    </xf>
    <xf numFmtId="0" fontId="238" fillId="69" borderId="64" xfId="140" applyFont="1" applyFill="1" applyBorder="1" applyAlignment="1">
      <alignment vertical="center"/>
    </xf>
    <xf numFmtId="0" fontId="238" fillId="0" borderId="25" xfId="140" applyFont="1" applyBorder="1" applyAlignment="1">
      <alignment horizontal="center" vertical="center"/>
    </xf>
    <xf numFmtId="41" fontId="259" fillId="69" borderId="24" xfId="3284" applyFont="1" applyFill="1" applyBorder="1" applyAlignment="1">
      <alignment vertical="center"/>
    </xf>
    <xf numFmtId="41" fontId="197" fillId="69" borderId="24" xfId="116" applyFont="1" applyFill="1" applyBorder="1" applyAlignment="1">
      <alignment horizontal="center" vertical="center"/>
    </xf>
    <xf numFmtId="41" fontId="265" fillId="95" borderId="76" xfId="3284" applyFont="1" applyFill="1" applyBorder="1" applyAlignment="1">
      <alignment vertical="center"/>
    </xf>
    <xf numFmtId="3" fontId="270" fillId="0" borderId="3" xfId="166" applyFont="1"/>
    <xf numFmtId="0" fontId="250" fillId="69" borderId="3" xfId="136" applyFont="1" applyFill="1" applyBorder="1" applyAlignment="1" applyProtection="1">
      <alignment vertical="center"/>
      <protection locked="0"/>
    </xf>
    <xf numFmtId="0" fontId="250" fillId="69" borderId="27" xfId="136" applyFont="1" applyFill="1" applyBorder="1" applyAlignment="1" applyProtection="1">
      <alignment vertical="center"/>
      <protection locked="0"/>
    </xf>
    <xf numFmtId="41" fontId="215" fillId="72" borderId="23" xfId="140" applyNumberFormat="1" applyFont="1" applyFill="1" applyBorder="1" applyAlignment="1">
      <alignment vertical="center"/>
    </xf>
    <xf numFmtId="41" fontId="215" fillId="72" borderId="24" xfId="140" applyNumberFormat="1" applyFont="1" applyFill="1" applyBorder="1" applyAlignment="1">
      <alignment vertical="center"/>
    </xf>
    <xf numFmtId="0" fontId="293" fillId="95" borderId="47" xfId="140" applyFont="1" applyFill="1" applyBorder="1" applyAlignment="1">
      <alignment horizontal="center" vertical="center"/>
    </xf>
    <xf numFmtId="0" fontId="294" fillId="95" borderId="84" xfId="140" applyFont="1" applyFill="1" applyBorder="1" applyAlignment="1">
      <alignment horizontal="center" vertical="center"/>
    </xf>
    <xf numFmtId="41" fontId="245" fillId="69" borderId="44" xfId="140" applyNumberFormat="1" applyFont="1" applyFill="1" applyBorder="1" applyAlignment="1">
      <alignment horizontal="center" vertical="center"/>
    </xf>
    <xf numFmtId="41" fontId="222" fillId="72" borderId="46" xfId="140" applyNumberFormat="1" applyFont="1" applyFill="1" applyBorder="1" applyAlignment="1">
      <alignment vertical="center" wrapText="1"/>
    </xf>
    <xf numFmtId="41" fontId="222" fillId="72" borderId="47" xfId="140" applyNumberFormat="1" applyFont="1" applyFill="1" applyBorder="1" applyAlignment="1">
      <alignment vertical="center" wrapText="1"/>
    </xf>
    <xf numFmtId="0" fontId="76" fillId="0" borderId="41" xfId="0" applyFont="1" applyBorder="1" applyAlignment="1">
      <alignment horizontal="center" vertical="center"/>
    </xf>
    <xf numFmtId="0" fontId="76" fillId="0" borderId="55" xfId="0" applyFont="1" applyBorder="1" applyAlignment="1">
      <alignment horizontal="center" vertical="center"/>
    </xf>
    <xf numFmtId="41" fontId="222" fillId="72" borderId="52" xfId="118" applyFont="1" applyFill="1" applyBorder="1" applyAlignment="1">
      <alignment vertical="center"/>
    </xf>
    <xf numFmtId="41" fontId="222" fillId="72" borderId="37" xfId="118" applyFont="1" applyFill="1" applyBorder="1" applyAlignment="1">
      <alignment vertical="center"/>
    </xf>
    <xf numFmtId="41" fontId="222" fillId="72" borderId="31" xfId="118" applyFont="1" applyFill="1" applyBorder="1" applyAlignment="1">
      <alignment vertical="center"/>
    </xf>
    <xf numFmtId="41" fontId="222" fillId="72" borderId="23" xfId="118" applyFont="1" applyFill="1" applyBorder="1" applyAlignment="1">
      <alignment vertical="center"/>
    </xf>
    <xf numFmtId="41" fontId="222" fillId="72" borderId="24" xfId="118" applyFont="1" applyFill="1" applyBorder="1" applyAlignment="1">
      <alignment vertical="center"/>
    </xf>
    <xf numFmtId="41" fontId="238" fillId="69" borderId="46" xfId="3284" applyFont="1" applyFill="1" applyBorder="1" applyAlignment="1">
      <alignment vertical="center" wrapText="1"/>
    </xf>
    <xf numFmtId="41" fontId="238" fillId="69" borderId="47" xfId="3284" applyFont="1" applyFill="1" applyBorder="1" applyAlignment="1">
      <alignment vertical="center" wrapText="1"/>
    </xf>
    <xf numFmtId="41" fontId="238" fillId="69" borderId="48" xfId="3284" applyFont="1" applyFill="1" applyBorder="1" applyAlignment="1">
      <alignment vertical="center" wrapText="1"/>
    </xf>
    <xf numFmtId="41" fontId="197" fillId="33" borderId="47" xfId="128" applyNumberFormat="1" applyFont="1" applyFill="1" applyBorder="1">
      <alignment vertical="center"/>
    </xf>
    <xf numFmtId="0" fontId="276" fillId="0" borderId="37" xfId="136" applyFont="1" applyBorder="1" applyAlignment="1">
      <alignment horizontal="center" vertical="center"/>
    </xf>
    <xf numFmtId="0" fontId="194" fillId="0" borderId="37" xfId="136" applyFont="1" applyBorder="1" applyAlignment="1">
      <alignment horizontal="center" vertical="center"/>
    </xf>
    <xf numFmtId="41" fontId="194" fillId="0" borderId="37" xfId="116" applyFont="1" applyBorder="1">
      <alignment vertical="center"/>
    </xf>
    <xf numFmtId="245" fontId="193" fillId="89" borderId="19" xfId="136" applyNumberFormat="1" applyFont="1" applyFill="1" applyBorder="1" applyAlignment="1" applyProtection="1">
      <alignment vertical="center"/>
      <protection locked="0"/>
    </xf>
    <xf numFmtId="245" fontId="194" fillId="89" borderId="19" xfId="136" applyNumberFormat="1" applyFont="1" applyFill="1" applyBorder="1" applyAlignment="1" applyProtection="1">
      <alignment vertical="center"/>
      <protection locked="0"/>
    </xf>
    <xf numFmtId="0" fontId="193" fillId="90" borderId="27" xfId="136" applyFont="1" applyFill="1" applyBorder="1" applyAlignment="1">
      <alignment horizontal="center" vertical="center"/>
    </xf>
    <xf numFmtId="41" fontId="194" fillId="90" borderId="27" xfId="116" applyFont="1" applyFill="1" applyBorder="1" applyAlignment="1">
      <alignment horizontal="center" vertical="center"/>
    </xf>
    <xf numFmtId="245" fontId="193" fillId="90" borderId="27" xfId="136" applyNumberFormat="1" applyFont="1" applyFill="1" applyBorder="1" applyAlignment="1" applyProtection="1">
      <alignment vertical="center"/>
      <protection locked="0"/>
    </xf>
    <xf numFmtId="245" fontId="194" fillId="90" borderId="27" xfId="136" applyNumberFormat="1" applyFont="1" applyFill="1" applyBorder="1" applyAlignment="1" applyProtection="1">
      <alignment vertical="center"/>
      <protection locked="0"/>
    </xf>
    <xf numFmtId="41" fontId="194" fillId="0" borderId="50" xfId="116" applyFont="1" applyBorder="1">
      <alignment vertical="center"/>
    </xf>
    <xf numFmtId="41" fontId="194" fillId="0" borderId="21" xfId="116" applyFont="1" applyBorder="1">
      <alignment vertical="center"/>
    </xf>
    <xf numFmtId="0" fontId="276" fillId="0" borderId="27" xfId="136" applyFont="1" applyBorder="1" applyAlignment="1">
      <alignment horizontal="center" vertical="center"/>
    </xf>
    <xf numFmtId="41" fontId="194" fillId="0" borderId="30" xfId="116" applyFont="1" applyBorder="1">
      <alignment vertical="center"/>
    </xf>
    <xf numFmtId="41" fontId="197" fillId="92" borderId="47" xfId="128" applyNumberFormat="1" applyFont="1" applyFill="1" applyBorder="1">
      <alignment vertical="center"/>
    </xf>
    <xf numFmtId="41" fontId="197" fillId="92" borderId="83" xfId="128" applyNumberFormat="1" applyFont="1" applyFill="1" applyBorder="1">
      <alignment vertical="center"/>
    </xf>
    <xf numFmtId="176" fontId="196" fillId="0" borderId="3" xfId="128" applyNumberFormat="1" applyFont="1" applyBorder="1" applyAlignment="1">
      <alignment vertical="center" wrapText="1"/>
    </xf>
    <xf numFmtId="0" fontId="224" fillId="69" borderId="24" xfId="140" applyFont="1" applyFill="1" applyBorder="1" applyAlignment="1">
      <alignment horizontal="center" vertical="center"/>
    </xf>
    <xf numFmtId="0" fontId="252" fillId="69" borderId="24" xfId="140" applyFont="1" applyFill="1" applyBorder="1" applyAlignment="1">
      <alignment horizontal="center" vertical="center"/>
    </xf>
    <xf numFmtId="41" fontId="245" fillId="69" borderId="24" xfId="3706" applyFont="1" applyFill="1" applyBorder="1" applyAlignment="1">
      <alignment horizontal="center" vertical="center"/>
    </xf>
    <xf numFmtId="41" fontId="226" fillId="35" borderId="64" xfId="159" applyFont="1" applyFill="1" applyBorder="1" applyAlignment="1">
      <alignment horizontal="center"/>
    </xf>
    <xf numFmtId="41" fontId="245" fillId="69" borderId="27" xfId="3706" applyFont="1" applyFill="1" applyBorder="1" applyAlignment="1">
      <alignment horizontal="center" vertical="center"/>
    </xf>
    <xf numFmtId="41" fontId="197" fillId="72" borderId="44" xfId="0" applyNumberFormat="1" applyFont="1" applyFill="1" applyBorder="1">
      <alignment vertical="center"/>
    </xf>
    <xf numFmtId="0" fontId="222" fillId="83" borderId="23" xfId="140" applyFont="1" applyFill="1" applyBorder="1" applyAlignment="1">
      <alignment vertical="center" wrapText="1"/>
    </xf>
    <xf numFmtId="0" fontId="222" fillId="83" borderId="37" xfId="140" applyFont="1" applyFill="1" applyBorder="1" applyAlignment="1">
      <alignment vertical="center" wrapText="1"/>
    </xf>
    <xf numFmtId="0" fontId="254" fillId="95" borderId="47" xfId="140" applyFont="1" applyFill="1" applyBorder="1" applyAlignment="1">
      <alignment vertical="center" textRotation="255"/>
    </xf>
    <xf numFmtId="0" fontId="254" fillId="95" borderId="48" xfId="140" applyFont="1" applyFill="1" applyBorder="1" applyAlignment="1">
      <alignment vertical="center" textRotation="255"/>
    </xf>
    <xf numFmtId="41" fontId="222" fillId="72" borderId="46" xfId="118" applyFont="1" applyFill="1" applyBorder="1" applyAlignment="1">
      <alignment vertical="center"/>
    </xf>
    <xf numFmtId="41" fontId="222" fillId="72" borderId="47" xfId="118" applyFont="1" applyFill="1" applyBorder="1" applyAlignment="1">
      <alignment vertical="center"/>
    </xf>
    <xf numFmtId="41" fontId="215" fillId="72" borderId="52" xfId="140" applyNumberFormat="1" applyFont="1" applyFill="1" applyBorder="1" applyAlignment="1">
      <alignment vertical="center"/>
    </xf>
    <xf numFmtId="41" fontId="215" fillId="72" borderId="37" xfId="140" applyNumberFormat="1" applyFont="1" applyFill="1" applyBorder="1" applyAlignment="1">
      <alignment vertical="center"/>
    </xf>
    <xf numFmtId="41" fontId="215" fillId="72" borderId="31" xfId="140" applyNumberFormat="1" applyFont="1" applyFill="1" applyBorder="1" applyAlignment="1">
      <alignment vertical="center"/>
    </xf>
    <xf numFmtId="41" fontId="222" fillId="72" borderId="37" xfId="140" applyNumberFormat="1" applyFont="1" applyFill="1" applyBorder="1" applyAlignment="1">
      <alignment vertical="center" wrapText="1"/>
    </xf>
    <xf numFmtId="41" fontId="222" fillId="72" borderId="31" xfId="140" applyNumberFormat="1" applyFont="1" applyFill="1" applyBorder="1" applyAlignment="1">
      <alignment vertical="center" wrapText="1"/>
    </xf>
    <xf numFmtId="41" fontId="222" fillId="72" borderId="23" xfId="140" applyNumberFormat="1" applyFont="1" applyFill="1" applyBorder="1" applyAlignment="1">
      <alignment vertical="center" wrapText="1"/>
    </xf>
    <xf numFmtId="0" fontId="246" fillId="0" borderId="36" xfId="128" applyFont="1" applyBorder="1" applyAlignment="1">
      <alignment horizontal="center" vertical="center"/>
    </xf>
    <xf numFmtId="0" fontId="299" fillId="0" borderId="34" xfId="128" applyFont="1" applyBorder="1" applyAlignment="1">
      <alignment horizontal="center" vertical="center"/>
    </xf>
    <xf numFmtId="0" fontId="299" fillId="0" borderId="34" xfId="128" applyFont="1" applyBorder="1">
      <alignment vertical="center"/>
    </xf>
    <xf numFmtId="0" fontId="189" fillId="0" borderId="77" xfId="128" applyFont="1" applyBorder="1" applyAlignment="1">
      <alignment horizontal="center" vertical="center"/>
    </xf>
    <xf numFmtId="0" fontId="196" fillId="0" borderId="33" xfId="128" applyFont="1" applyBorder="1" applyAlignment="1">
      <alignment horizontal="center" vertical="center"/>
    </xf>
    <xf numFmtId="0" fontId="278" fillId="0" borderId="31" xfId="128" applyFont="1" applyBorder="1" applyAlignment="1">
      <alignment horizontal="center" vertical="center"/>
    </xf>
    <xf numFmtId="0" fontId="300" fillId="0" borderId="77" xfId="136" applyFont="1" applyBorder="1" applyAlignment="1">
      <alignment horizontal="center" vertical="center"/>
    </xf>
    <xf numFmtId="0" fontId="301" fillId="0" borderId="33" xfId="136" applyFont="1" applyBorder="1" applyAlignment="1">
      <alignment horizontal="center" vertical="center"/>
    </xf>
    <xf numFmtId="0" fontId="278" fillId="0" borderId="31" xfId="136" applyFont="1" applyBorder="1" applyAlignment="1">
      <alignment horizontal="center" vertical="center"/>
    </xf>
    <xf numFmtId="0" fontId="189" fillId="0" borderId="23" xfId="136" applyFont="1" applyBorder="1" applyAlignment="1">
      <alignment horizontal="center" vertical="center"/>
    </xf>
    <xf numFmtId="0" fontId="196" fillId="0" borderId="23" xfId="136" applyFont="1" applyBorder="1" applyAlignment="1">
      <alignment horizontal="center" vertical="center"/>
    </xf>
    <xf numFmtId="41" fontId="194" fillId="17" borderId="19" xfId="116" applyFont="1" applyFill="1" applyBorder="1" applyAlignment="1">
      <alignment horizontal="center" vertical="center"/>
    </xf>
    <xf numFmtId="0" fontId="189" fillId="0" borderId="37" xfId="136" applyFont="1" applyBorder="1" applyAlignment="1">
      <alignment horizontal="center" vertical="center"/>
    </xf>
    <xf numFmtId="0" fontId="196" fillId="0" borderId="37" xfId="136" applyFont="1" applyBorder="1" applyAlignment="1">
      <alignment horizontal="center" vertical="center"/>
    </xf>
    <xf numFmtId="41" fontId="194" fillId="17" borderId="3" xfId="116" applyFont="1" applyFill="1" applyBorder="1" applyAlignment="1">
      <alignment horizontal="center" vertical="center"/>
    </xf>
    <xf numFmtId="0" fontId="189" fillId="0" borderId="31" xfId="136" applyFont="1" applyBorder="1" applyAlignment="1">
      <alignment horizontal="center" vertical="center"/>
    </xf>
    <xf numFmtId="0" fontId="196" fillId="0" borderId="31" xfId="136" applyFont="1" applyBorder="1" applyAlignment="1">
      <alignment horizontal="center" vertical="center"/>
    </xf>
    <xf numFmtId="0" fontId="194" fillId="0" borderId="27" xfId="128" applyFont="1" applyBorder="1" applyAlignment="1">
      <alignment horizontal="center" vertical="center"/>
    </xf>
    <xf numFmtId="0" fontId="246" fillId="0" borderId="27" xfId="136" applyFont="1" applyBorder="1" applyAlignment="1">
      <alignment horizontal="center" vertical="center"/>
    </xf>
    <xf numFmtId="41" fontId="222" fillId="72" borderId="69" xfId="118" applyFont="1" applyFill="1" applyBorder="1" applyAlignment="1">
      <alignment vertical="center"/>
    </xf>
    <xf numFmtId="41" fontId="222" fillId="72" borderId="38" xfId="118" applyFont="1" applyFill="1" applyBorder="1" applyAlignment="1">
      <alignment vertical="center"/>
    </xf>
    <xf numFmtId="0" fontId="194" fillId="0" borderId="19" xfId="136" applyFont="1" applyBorder="1" applyAlignment="1" applyProtection="1">
      <alignment vertical="center"/>
      <protection locked="0"/>
    </xf>
    <xf numFmtId="0" fontId="194" fillId="27" borderId="3" xfId="136" applyFont="1" applyFill="1" applyBorder="1" applyAlignment="1" applyProtection="1">
      <alignment vertical="center"/>
      <protection locked="0"/>
    </xf>
    <xf numFmtId="41" fontId="189" fillId="69" borderId="46" xfId="128" applyNumberFormat="1" applyFont="1" applyFill="1" applyBorder="1">
      <alignment vertical="center"/>
    </xf>
    <xf numFmtId="41" fontId="189" fillId="69" borderId="47" xfId="128" applyNumberFormat="1" applyFont="1" applyFill="1" applyBorder="1">
      <alignment vertical="center"/>
    </xf>
    <xf numFmtId="41" fontId="189" fillId="69" borderId="48" xfId="128" applyNumberFormat="1" applyFont="1" applyFill="1" applyBorder="1">
      <alignment vertical="center"/>
    </xf>
    <xf numFmtId="41" fontId="222" fillId="72" borderId="48" xfId="118" applyFont="1" applyFill="1" applyBorder="1" applyAlignment="1">
      <alignment vertical="center"/>
    </xf>
    <xf numFmtId="43" fontId="216" fillId="0" borderId="0" xfId="140" applyNumberFormat="1" applyFont="1" applyAlignment="1">
      <alignment vertical="center"/>
    </xf>
    <xf numFmtId="0" fontId="189" fillId="0" borderId="17" xfId="136" applyFont="1" applyBorder="1" applyAlignment="1">
      <alignment vertical="center"/>
    </xf>
    <xf numFmtId="0" fontId="197" fillId="114" borderId="15" xfId="136" applyFont="1" applyFill="1" applyBorder="1" applyAlignment="1">
      <alignment horizontal="center" vertical="center" wrapText="1"/>
    </xf>
    <xf numFmtId="176" fontId="246" fillId="114" borderId="43" xfId="136" applyNumberFormat="1" applyFont="1" applyFill="1" applyBorder="1" applyAlignment="1">
      <alignment vertical="center"/>
    </xf>
    <xf numFmtId="41" fontId="222" fillId="72" borderId="46" xfId="140" applyNumberFormat="1" applyFont="1" applyFill="1" applyBorder="1" applyAlignment="1">
      <alignment vertical="center"/>
    </xf>
    <xf numFmtId="41" fontId="222" fillId="72" borderId="47" xfId="140" applyNumberFormat="1" applyFont="1" applyFill="1" applyBorder="1" applyAlignment="1">
      <alignment vertical="center"/>
    </xf>
    <xf numFmtId="41" fontId="222" fillId="72" borderId="48" xfId="140" applyNumberFormat="1" applyFont="1" applyFill="1" applyBorder="1" applyAlignment="1">
      <alignment vertical="center"/>
    </xf>
    <xf numFmtId="41" fontId="302" fillId="35" borderId="82" xfId="159" applyFont="1" applyFill="1" applyBorder="1" applyAlignment="1">
      <alignment horizontal="center"/>
    </xf>
    <xf numFmtId="41" fontId="238" fillId="72" borderId="47" xfId="118" applyFont="1" applyFill="1" applyBorder="1" applyAlignment="1">
      <alignment vertical="center"/>
    </xf>
    <xf numFmtId="41" fontId="197" fillId="0" borderId="0" xfId="140" applyNumberFormat="1" applyFont="1" applyAlignment="1">
      <alignment vertical="center"/>
    </xf>
    <xf numFmtId="0" fontId="250" fillId="69" borderId="24" xfId="136" applyFont="1" applyFill="1" applyBorder="1" applyAlignment="1" applyProtection="1">
      <alignment vertical="center"/>
      <protection locked="0"/>
    </xf>
    <xf numFmtId="0" fontId="222" fillId="99" borderId="37" xfId="140" applyFont="1" applyFill="1" applyBorder="1" applyAlignment="1">
      <alignment vertical="center" wrapText="1"/>
    </xf>
    <xf numFmtId="176" fontId="232" fillId="72" borderId="0" xfId="128" applyNumberFormat="1" applyFont="1" applyFill="1">
      <alignment vertical="center"/>
    </xf>
    <xf numFmtId="41" fontId="303" fillId="0" borderId="0" xfId="128" applyNumberFormat="1" applyFont="1">
      <alignment vertical="center"/>
    </xf>
    <xf numFmtId="41" fontId="289" fillId="0" borderId="0" xfId="0" applyNumberFormat="1" applyFont="1">
      <alignment vertical="center"/>
    </xf>
    <xf numFmtId="41" fontId="250" fillId="27" borderId="3" xfId="116" applyFont="1" applyFill="1" applyBorder="1" applyAlignment="1">
      <alignment horizontal="center" vertical="center"/>
    </xf>
    <xf numFmtId="41" fontId="250" fillId="40" borderId="52" xfId="116" applyFont="1" applyFill="1" applyBorder="1" applyAlignment="1">
      <alignment horizontal="center" vertical="center"/>
    </xf>
    <xf numFmtId="0" fontId="189" fillId="0" borderId="54" xfId="136" applyFont="1" applyBorder="1" applyAlignment="1">
      <alignment vertical="center"/>
    </xf>
    <xf numFmtId="41" fontId="304" fillId="0" borderId="37" xfId="116" applyFont="1" applyBorder="1" applyAlignment="1">
      <alignment horizontal="center" vertical="center"/>
    </xf>
    <xf numFmtId="0" fontId="193" fillId="43" borderId="38" xfId="136" applyFont="1" applyFill="1" applyBorder="1" applyAlignment="1">
      <alignment horizontal="center" vertical="center"/>
    </xf>
    <xf numFmtId="41" fontId="194" fillId="43" borderId="37" xfId="116" applyFont="1" applyFill="1" applyBorder="1" applyAlignment="1">
      <alignment horizontal="center" vertical="center"/>
    </xf>
    <xf numFmtId="41" fontId="304" fillId="69" borderId="3" xfId="116" applyFont="1" applyFill="1" applyBorder="1" applyAlignment="1">
      <alignment horizontal="center" vertical="center"/>
    </xf>
    <xf numFmtId="0" fontId="194" fillId="0" borderId="3" xfId="136" applyFont="1" applyBorder="1" applyAlignment="1">
      <alignment horizontal="center" vertical="center" wrapText="1"/>
    </xf>
    <xf numFmtId="0" fontId="193" fillId="43" borderId="38" xfId="136" applyFont="1" applyFill="1" applyBorder="1" applyAlignment="1" applyProtection="1">
      <alignment vertical="center"/>
      <protection locked="0"/>
    </xf>
    <xf numFmtId="0" fontId="193" fillId="43" borderId="0" xfId="136" applyFont="1" applyFill="1" applyAlignment="1" applyProtection="1">
      <alignment vertical="center"/>
      <protection locked="0"/>
    </xf>
    <xf numFmtId="0" fontId="194" fillId="69" borderId="16" xfId="136" applyFont="1" applyFill="1" applyBorder="1" applyAlignment="1">
      <alignment horizontal="center" vertical="center"/>
    </xf>
    <xf numFmtId="0" fontId="193" fillId="0" borderId="16" xfId="136" applyFont="1" applyBorder="1" applyAlignment="1">
      <alignment horizontal="center" vertical="center"/>
    </xf>
    <xf numFmtId="0" fontId="194" fillId="69" borderId="20" xfId="136" applyFont="1" applyFill="1" applyBorder="1" applyAlignment="1">
      <alignment horizontal="center" vertical="center"/>
    </xf>
    <xf numFmtId="0" fontId="194" fillId="69" borderId="15" xfId="136" applyFont="1" applyFill="1" applyBorder="1" applyAlignment="1">
      <alignment horizontal="center" vertical="center"/>
    </xf>
    <xf numFmtId="0" fontId="271" fillId="0" borderId="28" xfId="136" applyFont="1" applyBorder="1" applyAlignment="1">
      <alignment horizontal="center" vertical="center"/>
    </xf>
    <xf numFmtId="176" fontId="192" fillId="69" borderId="0" xfId="128" applyNumberFormat="1" applyFont="1" applyFill="1">
      <alignment vertical="center"/>
    </xf>
    <xf numFmtId="0" fontId="194" fillId="69" borderId="52" xfId="136" applyFont="1" applyFill="1" applyBorder="1" applyAlignment="1" applyProtection="1">
      <alignment vertical="center"/>
      <protection locked="0"/>
    </xf>
    <xf numFmtId="41" fontId="249" fillId="72" borderId="52" xfId="140" applyNumberFormat="1" applyFont="1" applyFill="1" applyBorder="1" applyAlignment="1">
      <alignment vertical="center"/>
    </xf>
    <xf numFmtId="41" fontId="249" fillId="72" borderId="24" xfId="140" applyNumberFormat="1" applyFont="1" applyFill="1" applyBorder="1" applyAlignment="1">
      <alignment vertical="center"/>
    </xf>
    <xf numFmtId="0" fontId="284" fillId="0" borderId="0" xfId="0" applyFont="1" applyAlignment="1">
      <alignment horizontal="center" vertical="center"/>
    </xf>
    <xf numFmtId="41" fontId="238" fillId="71" borderId="37" xfId="118" applyFont="1" applyFill="1" applyBorder="1" applyAlignment="1">
      <alignment horizontal="center" vertical="center"/>
    </xf>
    <xf numFmtId="41" fontId="255" fillId="91" borderId="46" xfId="111" applyFont="1" applyFill="1" applyBorder="1" applyAlignment="1">
      <alignment vertical="center"/>
    </xf>
    <xf numFmtId="41" fontId="245" fillId="69" borderId="21" xfId="3720" applyFont="1" applyFill="1" applyBorder="1" applyAlignment="1">
      <alignment horizontal="center" vertical="center"/>
    </xf>
    <xf numFmtId="41" fontId="245" fillId="69" borderId="62" xfId="3720" applyFont="1" applyFill="1" applyBorder="1" applyAlignment="1">
      <alignment horizontal="center" vertical="center"/>
    </xf>
    <xf numFmtId="0" fontId="240" fillId="99" borderId="28" xfId="140" applyFont="1" applyFill="1" applyBorder="1" applyAlignment="1">
      <alignment horizontal="center" vertical="center"/>
    </xf>
    <xf numFmtId="0" fontId="240" fillId="99" borderId="27" xfId="140" applyFont="1" applyFill="1" applyBorder="1" applyAlignment="1">
      <alignment vertical="center"/>
    </xf>
    <xf numFmtId="41" fontId="189" fillId="118" borderId="84" xfId="158" applyFont="1" applyFill="1" applyBorder="1" applyAlignment="1">
      <alignment horizontal="center" vertical="center"/>
    </xf>
    <xf numFmtId="41" fontId="76" fillId="95" borderId="81" xfId="3284" applyFont="1" applyFill="1" applyBorder="1">
      <alignment vertical="center"/>
    </xf>
    <xf numFmtId="41" fontId="76" fillId="95" borderId="82" xfId="3284" applyFont="1" applyFill="1" applyBorder="1">
      <alignment vertical="center"/>
    </xf>
    <xf numFmtId="41" fontId="76" fillId="95" borderId="85" xfId="3284" applyFont="1" applyFill="1" applyBorder="1">
      <alignment vertical="center"/>
    </xf>
    <xf numFmtId="41" fontId="76" fillId="95" borderId="84" xfId="3284" applyFont="1" applyFill="1" applyBorder="1" applyAlignment="1">
      <alignment horizontal="center" vertical="center"/>
    </xf>
    <xf numFmtId="0" fontId="190" fillId="71" borderId="28" xfId="140" applyFont="1" applyFill="1" applyBorder="1" applyAlignment="1">
      <alignment horizontal="center" vertical="center"/>
    </xf>
    <xf numFmtId="0" fontId="190" fillId="0" borderId="27" xfId="140" applyFont="1" applyBorder="1" applyAlignment="1">
      <alignment horizontal="center" vertical="center"/>
    </xf>
    <xf numFmtId="0" fontId="220" fillId="0" borderId="27" xfId="140" applyFont="1" applyBorder="1" applyAlignment="1">
      <alignment horizontal="center" vertical="center"/>
    </xf>
    <xf numFmtId="0" fontId="244" fillId="69" borderId="27" xfId="140" applyFont="1" applyFill="1" applyBorder="1" applyAlignment="1">
      <alignment horizontal="center" vertical="center"/>
    </xf>
    <xf numFmtId="0" fontId="244" fillId="0" borderId="27" xfId="140" applyFont="1" applyBorder="1" applyAlignment="1">
      <alignment horizontal="center" vertical="center"/>
    </xf>
    <xf numFmtId="0" fontId="190" fillId="0" borderId="30" xfId="140" applyFont="1" applyBorder="1" applyAlignment="1">
      <alignment horizontal="center" vertical="center"/>
    </xf>
    <xf numFmtId="0" fontId="197" fillId="0" borderId="27" xfId="140" applyFont="1" applyBorder="1" applyAlignment="1">
      <alignment horizontal="center" vertical="center"/>
    </xf>
    <xf numFmtId="202" fontId="238" fillId="99" borderId="16" xfId="140" applyNumberFormat="1" applyFont="1" applyFill="1" applyBorder="1" applyAlignment="1">
      <alignment vertical="center"/>
    </xf>
    <xf numFmtId="202" fontId="238" fillId="99" borderId="30" xfId="140" applyNumberFormat="1" applyFont="1" applyFill="1" applyBorder="1" applyAlignment="1">
      <alignment vertical="center"/>
    </xf>
    <xf numFmtId="202" fontId="238" fillId="99" borderId="26" xfId="140" applyNumberFormat="1" applyFont="1" applyFill="1" applyBorder="1" applyAlignment="1">
      <alignment vertical="center"/>
    </xf>
    <xf numFmtId="41" fontId="238" fillId="99" borderId="14" xfId="118" applyFont="1" applyFill="1" applyBorder="1" applyAlignment="1">
      <alignment horizontal="center" vertical="center"/>
    </xf>
    <xf numFmtId="41" fontId="238" fillId="99" borderId="29" xfId="118" applyFont="1" applyFill="1" applyBorder="1" applyAlignment="1">
      <alignment horizontal="center" vertical="center"/>
    </xf>
    <xf numFmtId="41" fontId="238" fillId="99" borderId="25" xfId="118" applyFont="1" applyFill="1" applyBorder="1" applyAlignment="1">
      <alignment horizontal="center" vertical="center"/>
    </xf>
    <xf numFmtId="202" fontId="238" fillId="99" borderId="16" xfId="140" applyNumberFormat="1" applyFont="1" applyFill="1" applyBorder="1" applyAlignment="1">
      <alignment vertical="center" wrapText="1"/>
    </xf>
    <xf numFmtId="0" fontId="222" fillId="99" borderId="52" xfId="140" applyFont="1" applyFill="1" applyBorder="1" applyAlignment="1">
      <alignment vertical="center" wrapText="1"/>
    </xf>
    <xf numFmtId="41" fontId="197" fillId="33" borderId="46" xfId="128" applyNumberFormat="1" applyFont="1" applyFill="1" applyBorder="1">
      <alignment vertical="center"/>
    </xf>
    <xf numFmtId="41" fontId="197" fillId="33" borderId="48" xfId="128" applyNumberFormat="1" applyFont="1" applyFill="1" applyBorder="1">
      <alignment vertical="center"/>
    </xf>
    <xf numFmtId="41" fontId="238" fillId="69" borderId="3" xfId="116" applyFont="1" applyFill="1" applyBorder="1" applyAlignment="1">
      <alignment horizontal="center" vertical="center"/>
    </xf>
    <xf numFmtId="0" fontId="246" fillId="92" borderId="19" xfId="136" applyFont="1" applyFill="1" applyBorder="1" applyAlignment="1">
      <alignment vertical="center"/>
    </xf>
    <xf numFmtId="0" fontId="246" fillId="92" borderId="42" xfId="136" applyFont="1" applyFill="1" applyBorder="1" applyAlignment="1">
      <alignment vertical="center"/>
    </xf>
    <xf numFmtId="0" fontId="246" fillId="92" borderId="3" xfId="136" applyFont="1" applyFill="1" applyBorder="1" applyAlignment="1">
      <alignment vertical="center"/>
    </xf>
    <xf numFmtId="0" fontId="246" fillId="92" borderId="43" xfId="136" applyFont="1" applyFill="1" applyBorder="1" applyAlignment="1">
      <alignment vertical="center"/>
    </xf>
    <xf numFmtId="0" fontId="246" fillId="92" borderId="27" xfId="136" applyFont="1" applyFill="1" applyBorder="1" applyAlignment="1">
      <alignment vertical="center"/>
    </xf>
    <xf numFmtId="0" fontId="246" fillId="92" borderId="44" xfId="136" applyFont="1" applyFill="1" applyBorder="1" applyAlignment="1">
      <alignment vertical="center"/>
    </xf>
    <xf numFmtId="0" fontId="246" fillId="33" borderId="24" xfId="136" applyFont="1" applyFill="1" applyBorder="1" applyAlignment="1">
      <alignment vertical="center"/>
    </xf>
    <xf numFmtId="0" fontId="246" fillId="33" borderId="64" xfId="136" applyFont="1" applyFill="1" applyBorder="1" applyAlignment="1">
      <alignment vertical="center"/>
    </xf>
    <xf numFmtId="0" fontId="246" fillId="33" borderId="3" xfId="136" applyFont="1" applyFill="1" applyBorder="1" applyAlignment="1">
      <alignment vertical="center"/>
    </xf>
    <xf numFmtId="0" fontId="246" fillId="33" borderId="43" xfId="136" applyFont="1" applyFill="1" applyBorder="1" applyAlignment="1">
      <alignment vertical="center"/>
    </xf>
    <xf numFmtId="0" fontId="246" fillId="33" borderId="27" xfId="136" applyFont="1" applyFill="1" applyBorder="1" applyAlignment="1">
      <alignment vertical="center"/>
    </xf>
    <xf numFmtId="0" fontId="246" fillId="33" borderId="44" xfId="136" applyFont="1" applyFill="1" applyBorder="1" applyAlignment="1">
      <alignment vertical="center"/>
    </xf>
    <xf numFmtId="0" fontId="246" fillId="33" borderId="26" xfId="136" applyFont="1" applyFill="1" applyBorder="1" applyAlignment="1">
      <alignment vertical="center"/>
    </xf>
    <xf numFmtId="0" fontId="246" fillId="33" borderId="16" xfId="136" applyFont="1" applyFill="1" applyBorder="1" applyAlignment="1">
      <alignment vertical="center"/>
    </xf>
    <xf numFmtId="0" fontId="246" fillId="33" borderId="53" xfId="136" applyFont="1" applyFill="1" applyBorder="1" applyAlignment="1">
      <alignment vertical="center"/>
    </xf>
    <xf numFmtId="0" fontId="246" fillId="33" borderId="42" xfId="136" applyFont="1" applyFill="1" applyBorder="1" applyAlignment="1">
      <alignment vertical="center"/>
    </xf>
    <xf numFmtId="0" fontId="246" fillId="33" borderId="50" xfId="136" applyFont="1" applyFill="1" applyBorder="1" applyAlignment="1">
      <alignment vertical="center"/>
    </xf>
    <xf numFmtId="0" fontId="246" fillId="33" borderId="34" xfId="136" applyFont="1" applyFill="1" applyBorder="1" applyAlignment="1">
      <alignment vertical="center"/>
    </xf>
    <xf numFmtId="0" fontId="246" fillId="33" borderId="55" xfId="136" applyFont="1" applyFill="1" applyBorder="1" applyAlignment="1">
      <alignment vertical="center"/>
    </xf>
    <xf numFmtId="0" fontId="246" fillId="33" borderId="23" xfId="136" applyFont="1" applyFill="1" applyBorder="1" applyAlignment="1">
      <alignment vertical="center"/>
    </xf>
    <xf numFmtId="0" fontId="246" fillId="33" borderId="70" xfId="136" applyFont="1" applyFill="1" applyBorder="1" applyAlignment="1">
      <alignment vertical="center"/>
    </xf>
    <xf numFmtId="0" fontId="195" fillId="33" borderId="21" xfId="136" applyFont="1" applyFill="1" applyBorder="1" applyAlignment="1">
      <alignment vertical="center"/>
    </xf>
    <xf numFmtId="0" fontId="195" fillId="33" borderId="42" xfId="136" applyFont="1" applyFill="1" applyBorder="1" applyAlignment="1">
      <alignment vertical="center"/>
    </xf>
    <xf numFmtId="0" fontId="195" fillId="33" borderId="30" xfId="136" applyFont="1" applyFill="1" applyBorder="1" applyAlignment="1">
      <alignment vertical="center"/>
    </xf>
    <xf numFmtId="0" fontId="195" fillId="33" borderId="53" xfId="136" applyFont="1" applyFill="1" applyBorder="1" applyAlignment="1">
      <alignment vertical="center"/>
    </xf>
    <xf numFmtId="0" fontId="195" fillId="33" borderId="26" xfId="136" applyFont="1" applyFill="1" applyBorder="1" applyAlignment="1">
      <alignment vertical="center"/>
    </xf>
    <xf numFmtId="0" fontId="195" fillId="33" borderId="64" xfId="136" applyFont="1" applyFill="1" applyBorder="1" applyAlignment="1">
      <alignment vertical="center"/>
    </xf>
    <xf numFmtId="0" fontId="195" fillId="33" borderId="16" xfId="136" applyFont="1" applyFill="1" applyBorder="1" applyAlignment="1">
      <alignment vertical="center"/>
    </xf>
    <xf numFmtId="41" fontId="197" fillId="33" borderId="24" xfId="128" applyNumberFormat="1" applyFont="1" applyFill="1" applyBorder="1" applyAlignment="1">
      <alignment horizontal="center" vertical="center"/>
    </xf>
    <xf numFmtId="41" fontId="189" fillId="69" borderId="47" xfId="128" applyNumberFormat="1" applyFont="1" applyFill="1" applyBorder="1" applyAlignment="1">
      <alignment horizontal="center" vertical="center"/>
    </xf>
    <xf numFmtId="41" fontId="189" fillId="69" borderId="48" xfId="128" applyNumberFormat="1" applyFont="1" applyFill="1" applyBorder="1" applyAlignment="1">
      <alignment horizontal="center" vertical="center"/>
    </xf>
    <xf numFmtId="41" fontId="250" fillId="0" borderId="19" xfId="116" applyFont="1" applyBorder="1" applyAlignment="1">
      <alignment horizontal="center" vertical="center"/>
    </xf>
    <xf numFmtId="41" fontId="200" fillId="69" borderId="3" xfId="116" applyFont="1" applyFill="1" applyBorder="1" applyAlignment="1">
      <alignment horizontal="center" vertical="center"/>
    </xf>
    <xf numFmtId="41" fontId="200" fillId="69" borderId="27" xfId="116" applyFont="1" applyFill="1" applyBorder="1" applyAlignment="1">
      <alignment horizontal="center" vertical="center"/>
    </xf>
    <xf numFmtId="41" fontId="250" fillId="69" borderId="3" xfId="116" applyFont="1" applyFill="1" applyBorder="1" applyAlignment="1">
      <alignment horizontal="center" vertical="center"/>
    </xf>
    <xf numFmtId="41" fontId="250" fillId="69" borderId="27" xfId="116" applyFont="1" applyFill="1" applyBorder="1" applyAlignment="1">
      <alignment horizontal="center" vertical="center"/>
    </xf>
    <xf numFmtId="41" fontId="250" fillId="27" borderId="27" xfId="116" applyFont="1" applyFill="1" applyBorder="1" applyAlignment="1">
      <alignment horizontal="center" vertical="center"/>
    </xf>
    <xf numFmtId="41" fontId="250" fillId="69" borderId="19" xfId="116" applyFont="1" applyFill="1" applyBorder="1" applyAlignment="1">
      <alignment horizontal="center" vertical="center"/>
    </xf>
    <xf numFmtId="41" fontId="250" fillId="27" borderId="37" xfId="116" applyFont="1" applyFill="1" applyBorder="1" applyAlignment="1">
      <alignment horizontal="center" vertical="center"/>
    </xf>
    <xf numFmtId="41" fontId="250" fillId="0" borderId="3" xfId="116" applyFont="1" applyBorder="1" applyAlignment="1">
      <alignment horizontal="center" vertical="center"/>
    </xf>
    <xf numFmtId="41" fontId="304" fillId="0" borderId="34" xfId="116" applyFont="1" applyBorder="1" applyAlignment="1">
      <alignment horizontal="center" vertical="center"/>
    </xf>
    <xf numFmtId="41" fontId="250" fillId="69" borderId="52" xfId="116" applyFont="1" applyFill="1" applyBorder="1" applyAlignment="1">
      <alignment horizontal="center" vertical="center"/>
    </xf>
    <xf numFmtId="41" fontId="250" fillId="69" borderId="37" xfId="116" applyFont="1" applyFill="1" applyBorder="1" applyAlignment="1">
      <alignment horizontal="center" vertical="center"/>
    </xf>
    <xf numFmtId="41" fontId="250" fillId="69" borderId="24" xfId="116" applyFont="1" applyFill="1" applyBorder="1" applyAlignment="1">
      <alignment horizontal="center" vertical="center"/>
    </xf>
    <xf numFmtId="41" fontId="250" fillId="71" borderId="3" xfId="116" applyFont="1" applyFill="1" applyBorder="1" applyAlignment="1">
      <alignment horizontal="center" vertical="center"/>
    </xf>
    <xf numFmtId="41" fontId="250" fillId="72" borderId="37" xfId="116" applyFont="1" applyFill="1" applyBorder="1" applyAlignment="1">
      <alignment horizontal="center" vertical="center"/>
    </xf>
    <xf numFmtId="41" fontId="250" fillId="104" borderId="3" xfId="116" applyFont="1" applyFill="1" applyBorder="1" applyAlignment="1">
      <alignment horizontal="center" vertical="center"/>
    </xf>
    <xf numFmtId="41" fontId="250" fillId="114" borderId="3" xfId="116" applyFont="1" applyFill="1" applyBorder="1" applyAlignment="1">
      <alignment horizontal="center" vertical="center"/>
    </xf>
    <xf numFmtId="41" fontId="250" fillId="92" borderId="37" xfId="116" applyFont="1" applyFill="1" applyBorder="1" applyAlignment="1">
      <alignment horizontal="center" vertical="center"/>
    </xf>
    <xf numFmtId="41" fontId="250" fillId="92" borderId="52" xfId="116" applyFont="1" applyFill="1" applyBorder="1" applyAlignment="1">
      <alignment horizontal="center" vertical="center"/>
    </xf>
    <xf numFmtId="41" fontId="250" fillId="92" borderId="3" xfId="116" applyFont="1" applyFill="1" applyBorder="1" applyAlignment="1">
      <alignment horizontal="center" vertical="center"/>
    </xf>
    <xf numFmtId="0" fontId="76" fillId="0" borderId="0" xfId="0" applyFont="1" applyAlignment="1">
      <alignment horizontal="center"/>
    </xf>
    <xf numFmtId="0" fontId="238" fillId="100" borderId="45" xfId="136" applyFont="1" applyFill="1" applyBorder="1" applyAlignment="1">
      <alignment horizontal="center" vertical="center"/>
    </xf>
    <xf numFmtId="41" fontId="197" fillId="92" borderId="46" xfId="128" applyNumberFormat="1" applyFont="1" applyFill="1" applyBorder="1">
      <alignment vertical="center"/>
    </xf>
    <xf numFmtId="41" fontId="197" fillId="92" borderId="23" xfId="128" applyNumberFormat="1" applyFont="1" applyFill="1" applyBorder="1">
      <alignment vertical="center"/>
    </xf>
    <xf numFmtId="41" fontId="197" fillId="92" borderId="37" xfId="128" applyNumberFormat="1" applyFont="1" applyFill="1" applyBorder="1">
      <alignment vertical="center"/>
    </xf>
    <xf numFmtId="41" fontId="197" fillId="92" borderId="24" xfId="128" applyNumberFormat="1" applyFont="1" applyFill="1" applyBorder="1">
      <alignment vertical="center"/>
    </xf>
    <xf numFmtId="41" fontId="197" fillId="33" borderId="70" xfId="128" applyNumberFormat="1" applyFont="1" applyFill="1" applyBorder="1">
      <alignment vertical="center"/>
    </xf>
    <xf numFmtId="41" fontId="0" fillId="72" borderId="0" xfId="0" applyNumberFormat="1" applyFill="1">
      <alignment vertical="center"/>
    </xf>
    <xf numFmtId="0" fontId="193" fillId="0" borderId="56" xfId="136" applyFont="1" applyBorder="1" applyAlignment="1">
      <alignment horizontal="center" vertical="center"/>
    </xf>
    <xf numFmtId="0" fontId="194" fillId="0" borderId="52" xfId="136" applyFont="1" applyBorder="1" applyAlignment="1" applyProtection="1">
      <alignment vertical="center"/>
      <protection locked="0"/>
    </xf>
    <xf numFmtId="0" fontId="209" fillId="0" borderId="52" xfId="136" applyFont="1" applyBorder="1" applyAlignment="1" applyProtection="1">
      <alignment vertical="center"/>
      <protection locked="0"/>
    </xf>
    <xf numFmtId="0" fontId="209" fillId="69" borderId="52" xfId="136" applyFont="1" applyFill="1" applyBorder="1" applyAlignment="1" applyProtection="1">
      <alignment vertical="center"/>
      <protection locked="0"/>
    </xf>
    <xf numFmtId="0" fontId="246" fillId="33" borderId="52" xfId="136" applyFont="1" applyFill="1" applyBorder="1" applyAlignment="1">
      <alignment vertical="center"/>
    </xf>
    <xf numFmtId="0" fontId="246" fillId="33" borderId="63" xfId="136" applyFont="1" applyFill="1" applyBorder="1" applyAlignment="1">
      <alignment vertical="center"/>
    </xf>
    <xf numFmtId="0" fontId="208" fillId="0" borderId="19" xfId="128" applyFont="1" applyBorder="1" applyAlignment="1">
      <alignment horizontal="center"/>
    </xf>
    <xf numFmtId="0" fontId="202" fillId="0" borderId="19" xfId="136" applyFont="1" applyBorder="1" applyAlignment="1" applyProtection="1">
      <alignment vertical="center"/>
      <protection locked="0"/>
    </xf>
    <xf numFmtId="0" fontId="209" fillId="0" borderId="19" xfId="136" applyFont="1" applyBorder="1" applyAlignment="1" applyProtection="1">
      <alignment vertical="center"/>
      <protection locked="0"/>
    </xf>
    <xf numFmtId="0" fontId="209" fillId="69" borderId="19" xfId="136" applyFont="1" applyFill="1" applyBorder="1" applyAlignment="1" applyProtection="1">
      <alignment vertical="center"/>
      <protection locked="0"/>
    </xf>
    <xf numFmtId="0" fontId="246" fillId="33" borderId="21" xfId="136" applyFont="1" applyFill="1" applyBorder="1" applyAlignment="1">
      <alignment vertical="center"/>
    </xf>
    <xf numFmtId="41" fontId="67" fillId="0" borderId="0" xfId="0" applyNumberFormat="1" applyFont="1">
      <alignment vertical="center"/>
    </xf>
    <xf numFmtId="41" fontId="247" fillId="69" borderId="45" xfId="128" applyNumberFormat="1" applyFont="1" applyFill="1" applyBorder="1">
      <alignment vertical="center"/>
    </xf>
    <xf numFmtId="0" fontId="215" fillId="0" borderId="63" xfId="140" applyFont="1" applyBorder="1" applyAlignment="1">
      <alignment horizontal="right" vertical="center"/>
    </xf>
    <xf numFmtId="0" fontId="222" fillId="99" borderId="52" xfId="140" applyFont="1" applyFill="1" applyBorder="1" applyAlignment="1">
      <alignment horizontal="center" vertical="center" wrapText="1"/>
    </xf>
    <xf numFmtId="0" fontId="222" fillId="99" borderId="37" xfId="140" applyFont="1" applyFill="1" applyBorder="1" applyAlignment="1">
      <alignment horizontal="center" vertical="center" wrapText="1"/>
    </xf>
    <xf numFmtId="0" fontId="222" fillId="99" borderId="24" xfId="140" applyFont="1" applyFill="1" applyBorder="1" applyAlignment="1">
      <alignment horizontal="center" vertical="center" wrapText="1"/>
    </xf>
    <xf numFmtId="0" fontId="222" fillId="83" borderId="15" xfId="140" applyFont="1" applyFill="1" applyBorder="1" applyAlignment="1">
      <alignment horizontal="center" vertical="center"/>
    </xf>
    <xf numFmtId="0" fontId="238" fillId="102" borderId="37" xfId="140" applyFont="1" applyFill="1" applyBorder="1" applyAlignment="1">
      <alignment horizontal="center" vertical="center"/>
    </xf>
    <xf numFmtId="0" fontId="254" fillId="95" borderId="46" xfId="140" applyFont="1" applyFill="1" applyBorder="1" applyAlignment="1">
      <alignment horizontal="center" vertical="center" textRotation="255" wrapText="1"/>
    </xf>
    <xf numFmtId="0" fontId="254" fillId="95" borderId="47" xfId="140" applyFont="1" applyFill="1" applyBorder="1" applyAlignment="1">
      <alignment horizontal="center" vertical="center" textRotation="255" wrapText="1"/>
    </xf>
    <xf numFmtId="0" fontId="254" fillId="95" borderId="48" xfId="140" applyFont="1" applyFill="1" applyBorder="1" applyAlignment="1">
      <alignment horizontal="center" vertical="center" textRotation="255" wrapText="1"/>
    </xf>
    <xf numFmtId="0" fontId="238" fillId="83" borderId="24" xfId="140" applyFont="1" applyFill="1" applyBorder="1" applyAlignment="1">
      <alignment horizontal="center" vertical="center"/>
    </xf>
    <xf numFmtId="0" fontId="238" fillId="83" borderId="3" xfId="140" applyFont="1" applyFill="1" applyBorder="1" applyAlignment="1">
      <alignment horizontal="center" vertical="center"/>
    </xf>
    <xf numFmtId="0" fontId="238" fillId="102" borderId="52" xfId="140" applyFont="1" applyFill="1" applyBorder="1" applyAlignment="1">
      <alignment horizontal="center" vertical="center"/>
    </xf>
    <xf numFmtId="0" fontId="238" fillId="102" borderId="24" xfId="140" applyFont="1" applyFill="1" applyBorder="1" applyAlignment="1">
      <alignment horizontal="center" vertical="center"/>
    </xf>
    <xf numFmtId="0" fontId="254" fillId="95" borderId="46" xfId="140" applyFont="1" applyFill="1" applyBorder="1" applyAlignment="1">
      <alignment horizontal="center" vertical="center" textRotation="255"/>
    </xf>
    <xf numFmtId="0" fontId="254" fillId="95" borderId="47" xfId="140" applyFont="1" applyFill="1" applyBorder="1" applyAlignment="1">
      <alignment horizontal="center" vertical="center" textRotation="255"/>
    </xf>
    <xf numFmtId="202" fontId="238" fillId="102" borderId="37" xfId="122" applyNumberFormat="1" applyFont="1" applyFill="1" applyBorder="1" applyAlignment="1">
      <alignment horizontal="center" vertical="center"/>
    </xf>
    <xf numFmtId="202" fontId="238" fillId="102" borderId="24" xfId="122" applyNumberFormat="1" applyFont="1" applyFill="1" applyBorder="1" applyAlignment="1">
      <alignment horizontal="center" vertical="center"/>
    </xf>
    <xf numFmtId="202" fontId="238" fillId="102" borderId="52" xfId="122" applyNumberFormat="1" applyFont="1" applyFill="1" applyBorder="1" applyAlignment="1">
      <alignment horizontal="center" vertical="center" wrapText="1"/>
    </xf>
    <xf numFmtId="0" fontId="254" fillId="116" borderId="22" xfId="140" applyFont="1" applyFill="1" applyBorder="1" applyAlignment="1">
      <alignment horizontal="center" vertical="center" textRotation="255"/>
    </xf>
    <xf numFmtId="0" fontId="254" fillId="116" borderId="66" xfId="140" applyFont="1" applyFill="1" applyBorder="1" applyAlignment="1">
      <alignment horizontal="center" vertical="center" textRotation="255"/>
    </xf>
    <xf numFmtId="0" fontId="254" fillId="116" borderId="77" xfId="140" applyFont="1" applyFill="1" applyBorder="1" applyAlignment="1">
      <alignment horizontal="center" vertical="center" textRotation="255"/>
    </xf>
    <xf numFmtId="0" fontId="222" fillId="69" borderId="23" xfId="140" applyFont="1" applyFill="1" applyBorder="1" applyAlignment="1">
      <alignment horizontal="center" vertical="center" wrapText="1"/>
    </xf>
    <xf numFmtId="0" fontId="222" fillId="69" borderId="37" xfId="140" applyFont="1" applyFill="1" applyBorder="1" applyAlignment="1">
      <alignment horizontal="center" vertical="center" wrapText="1"/>
    </xf>
    <xf numFmtId="0" fontId="222" fillId="69" borderId="31" xfId="140" applyFont="1" applyFill="1" applyBorder="1" applyAlignment="1">
      <alignment horizontal="center" vertical="center" wrapText="1"/>
    </xf>
    <xf numFmtId="0" fontId="254" fillId="71" borderId="81" xfId="140" applyFont="1" applyFill="1" applyBorder="1" applyAlignment="1">
      <alignment horizontal="center" vertical="center" textRotation="255"/>
    </xf>
    <xf numFmtId="0" fontId="254" fillId="71" borderId="82" xfId="140" applyFont="1" applyFill="1" applyBorder="1" applyAlignment="1">
      <alignment horizontal="center" vertical="center" textRotation="255"/>
    </xf>
    <xf numFmtId="0" fontId="254" fillId="71" borderId="84" xfId="140" applyFont="1" applyFill="1" applyBorder="1" applyAlignment="1">
      <alignment horizontal="center" vertical="center" textRotation="255"/>
    </xf>
    <xf numFmtId="0" fontId="254" fillId="95" borderId="46" xfId="140" applyFont="1" applyFill="1" applyBorder="1" applyAlignment="1">
      <alignment horizontal="center" vertical="center" wrapText="1"/>
    </xf>
    <xf numFmtId="0" fontId="254" fillId="95" borderId="47" xfId="140" applyFont="1" applyFill="1" applyBorder="1" applyAlignment="1">
      <alignment horizontal="center" vertical="center" wrapText="1"/>
    </xf>
    <xf numFmtId="0" fontId="254" fillId="95" borderId="48" xfId="140" applyFont="1" applyFill="1" applyBorder="1" applyAlignment="1">
      <alignment horizontal="center" vertical="center" wrapText="1"/>
    </xf>
    <xf numFmtId="0" fontId="254" fillId="95" borderId="86" xfId="140" applyFont="1" applyFill="1" applyBorder="1" applyAlignment="1">
      <alignment horizontal="center" vertical="center"/>
    </xf>
    <xf numFmtId="0" fontId="254" fillId="95" borderId="80" xfId="140" applyFont="1" applyFill="1" applyBorder="1" applyAlignment="1">
      <alignment horizontal="center" vertical="center"/>
    </xf>
    <xf numFmtId="0" fontId="254" fillId="95" borderId="47" xfId="140" applyFont="1" applyFill="1" applyBorder="1" applyAlignment="1">
      <alignment horizontal="center" vertical="center"/>
    </xf>
    <xf numFmtId="0" fontId="254" fillId="95" borderId="48" xfId="140" applyFont="1" applyFill="1" applyBorder="1" applyAlignment="1">
      <alignment horizontal="center" vertical="center"/>
    </xf>
    <xf numFmtId="0" fontId="238" fillId="69" borderId="3" xfId="140" applyFont="1" applyFill="1" applyBorder="1" applyAlignment="1">
      <alignment horizontal="center" vertical="center"/>
    </xf>
    <xf numFmtId="0" fontId="238" fillId="69" borderId="27" xfId="140" applyFont="1" applyFill="1" applyBorder="1" applyAlignment="1">
      <alignment horizontal="center" vertical="center"/>
    </xf>
    <xf numFmtId="0" fontId="238" fillId="83" borderId="23" xfId="140" applyFont="1" applyFill="1" applyBorder="1" applyAlignment="1">
      <alignment horizontal="center" vertical="center"/>
    </xf>
    <xf numFmtId="0" fontId="238" fillId="83" borderId="37" xfId="140" applyFont="1" applyFill="1" applyBorder="1" applyAlignment="1">
      <alignment horizontal="center" vertical="center"/>
    </xf>
    <xf numFmtId="0" fontId="238" fillId="83" borderId="31" xfId="140" applyFont="1" applyFill="1" applyBorder="1" applyAlignment="1">
      <alignment horizontal="center" vertical="center"/>
    </xf>
    <xf numFmtId="0" fontId="254" fillId="95" borderId="22" xfId="140" applyFont="1" applyFill="1" applyBorder="1" applyAlignment="1">
      <alignment horizontal="center" vertical="center" textRotation="255"/>
    </xf>
    <xf numFmtId="0" fontId="254" fillId="95" borderId="66" xfId="140" applyFont="1" applyFill="1" applyBorder="1" applyAlignment="1">
      <alignment horizontal="center" vertical="center" textRotation="255"/>
    </xf>
    <xf numFmtId="0" fontId="254" fillId="95" borderId="77" xfId="140" applyFont="1" applyFill="1" applyBorder="1" applyAlignment="1">
      <alignment horizontal="center" vertical="center" textRotation="255"/>
    </xf>
    <xf numFmtId="0" fontId="254" fillId="95" borderId="48" xfId="140" applyFont="1" applyFill="1" applyBorder="1" applyAlignment="1">
      <alignment horizontal="center" vertical="center" textRotation="255"/>
    </xf>
    <xf numFmtId="0" fontId="238" fillId="83" borderId="52" xfId="140" applyFont="1" applyFill="1" applyBorder="1" applyAlignment="1">
      <alignment horizontal="center" vertical="center"/>
    </xf>
    <xf numFmtId="0" fontId="238" fillId="69" borderId="19" xfId="140" applyFont="1" applyFill="1" applyBorder="1" applyAlignment="1">
      <alignment horizontal="center" vertical="center"/>
    </xf>
    <xf numFmtId="0" fontId="219" fillId="0" borderId="0" xfId="140" applyFont="1" applyAlignment="1">
      <alignment horizontal="center" vertical="center"/>
    </xf>
    <xf numFmtId="0" fontId="293" fillId="95" borderId="46" xfId="140" applyFont="1" applyFill="1" applyBorder="1" applyAlignment="1">
      <alignment horizontal="center" vertical="center"/>
    </xf>
    <xf numFmtId="0" fontId="293" fillId="95" borderId="47" xfId="140" applyFont="1" applyFill="1" applyBorder="1" applyAlignment="1">
      <alignment horizontal="center" vertical="center"/>
    </xf>
    <xf numFmtId="0" fontId="293" fillId="95" borderId="83" xfId="140" applyFont="1" applyFill="1" applyBorder="1" applyAlignment="1">
      <alignment horizontal="center" vertical="center"/>
    </xf>
    <xf numFmtId="0" fontId="249" fillId="102" borderId="23" xfId="140" applyFont="1" applyFill="1" applyBorder="1" applyAlignment="1">
      <alignment horizontal="center" vertical="center"/>
    </xf>
    <xf numFmtId="0" fontId="249" fillId="102" borderId="24" xfId="140" applyFont="1" applyFill="1" applyBorder="1" applyAlignment="1">
      <alignment horizontal="center" vertical="center"/>
    </xf>
    <xf numFmtId="202" fontId="238" fillId="102" borderId="23" xfId="122" applyNumberFormat="1" applyFont="1" applyFill="1" applyBorder="1" applyAlignment="1">
      <alignment horizontal="center" vertical="center"/>
    </xf>
    <xf numFmtId="202" fontId="238" fillId="102" borderId="31" xfId="122" applyNumberFormat="1" applyFont="1" applyFill="1" applyBorder="1" applyAlignment="1">
      <alignment horizontal="center" vertical="center"/>
    </xf>
    <xf numFmtId="0" fontId="203" fillId="69" borderId="37" xfId="140" applyFont="1" applyFill="1" applyBorder="1" applyAlignment="1">
      <alignment horizontal="center" vertical="center" wrapText="1"/>
    </xf>
    <xf numFmtId="0" fontId="203" fillId="69" borderId="31" xfId="140" applyFont="1" applyFill="1" applyBorder="1" applyAlignment="1">
      <alignment horizontal="center" vertical="center" wrapText="1"/>
    </xf>
    <xf numFmtId="0" fontId="254" fillId="95" borderId="22" xfId="140" applyFont="1" applyFill="1" applyBorder="1" applyAlignment="1">
      <alignment horizontal="center" vertical="center" wrapText="1"/>
    </xf>
    <xf numFmtId="0" fontId="254" fillId="95" borderId="66" xfId="140" applyFont="1" applyFill="1" applyBorder="1" applyAlignment="1">
      <alignment horizontal="center" vertical="center" wrapText="1"/>
    </xf>
    <xf numFmtId="0" fontId="254" fillId="95" borderId="77" xfId="140" applyFont="1" applyFill="1" applyBorder="1" applyAlignment="1">
      <alignment horizontal="center" vertical="center" wrapText="1"/>
    </xf>
    <xf numFmtId="0" fontId="238" fillId="106" borderId="23" xfId="140" applyFont="1" applyFill="1" applyBorder="1" applyAlignment="1">
      <alignment horizontal="center" vertical="center" wrapText="1"/>
    </xf>
    <xf numFmtId="0" fontId="238" fillId="106" borderId="37" xfId="140" applyFont="1" applyFill="1" applyBorder="1" applyAlignment="1">
      <alignment horizontal="center" vertical="center" wrapText="1"/>
    </xf>
    <xf numFmtId="0" fontId="238" fillId="107" borderId="52" xfId="140" applyFont="1" applyFill="1" applyBorder="1" applyAlignment="1">
      <alignment horizontal="center" vertical="center"/>
    </xf>
    <xf numFmtId="0" fontId="238" fillId="107" borderId="37" xfId="140" applyFont="1" applyFill="1" applyBorder="1" applyAlignment="1">
      <alignment horizontal="center" vertical="center"/>
    </xf>
    <xf numFmtId="0" fontId="238" fillId="107" borderId="24" xfId="140" applyFont="1" applyFill="1" applyBorder="1" applyAlignment="1">
      <alignment horizontal="center" vertical="center"/>
    </xf>
    <xf numFmtId="0" fontId="222" fillId="71" borderId="23" xfId="140" applyFont="1" applyFill="1" applyBorder="1" applyAlignment="1">
      <alignment horizontal="center" vertical="center" wrapText="1"/>
    </xf>
    <xf numFmtId="0" fontId="222" fillId="71" borderId="37" xfId="140" applyFont="1" applyFill="1" applyBorder="1" applyAlignment="1">
      <alignment horizontal="center" vertical="center" wrapText="1"/>
    </xf>
    <xf numFmtId="0" fontId="249" fillId="102" borderId="3" xfId="140" applyFont="1" applyFill="1" applyBorder="1" applyAlignment="1">
      <alignment horizontal="center" vertical="center" wrapText="1"/>
    </xf>
    <xf numFmtId="0" fontId="249" fillId="102" borderId="52" xfId="140" applyFont="1" applyFill="1" applyBorder="1" applyAlignment="1">
      <alignment horizontal="center" vertical="center"/>
    </xf>
    <xf numFmtId="0" fontId="249" fillId="102" borderId="37" xfId="140" applyFont="1" applyFill="1" applyBorder="1" applyAlignment="1">
      <alignment horizontal="center" vertical="center"/>
    </xf>
    <xf numFmtId="0" fontId="249" fillId="102" borderId="31" xfId="140" applyFont="1" applyFill="1" applyBorder="1" applyAlignment="1">
      <alignment horizontal="center" vertical="center"/>
    </xf>
    <xf numFmtId="0" fontId="254" fillId="95" borderId="17" xfId="140" applyFont="1" applyFill="1" applyBorder="1" applyAlignment="1">
      <alignment horizontal="center" vertical="center" textRotation="255"/>
    </xf>
    <xf numFmtId="41" fontId="236" fillId="0" borderId="0" xfId="111" applyFont="1" applyAlignment="1">
      <alignment horizontal="center" vertical="center"/>
    </xf>
    <xf numFmtId="0" fontId="220" fillId="0" borderId="0" xfId="140" applyFont="1" applyAlignment="1">
      <alignment horizontal="center"/>
    </xf>
    <xf numFmtId="0" fontId="272" fillId="102" borderId="37" xfId="140" applyFont="1" applyFill="1" applyBorder="1" applyAlignment="1">
      <alignment horizontal="center" vertical="center" textRotation="255"/>
    </xf>
    <xf numFmtId="0" fontId="272" fillId="72" borderId="37" xfId="140" applyFont="1" applyFill="1" applyBorder="1" applyAlignment="1">
      <alignment horizontal="center" vertical="center" textRotation="255"/>
    </xf>
    <xf numFmtId="0" fontId="272" fillId="102" borderId="31" xfId="140" applyFont="1" applyFill="1" applyBorder="1" applyAlignment="1">
      <alignment horizontal="center" vertical="center" textRotation="255"/>
    </xf>
    <xf numFmtId="202" fontId="238" fillId="83" borderId="3" xfId="140" applyNumberFormat="1" applyFont="1" applyFill="1" applyBorder="1" applyAlignment="1">
      <alignment horizontal="center" vertical="center"/>
    </xf>
    <xf numFmtId="0" fontId="203" fillId="106" borderId="3" xfId="140" applyFont="1" applyFill="1" applyBorder="1" applyAlignment="1">
      <alignment horizontal="center" vertical="center" wrapText="1"/>
    </xf>
    <xf numFmtId="0" fontId="203" fillId="106" borderId="27" xfId="140" applyFont="1" applyFill="1" applyBorder="1" applyAlignment="1">
      <alignment horizontal="center" vertical="center" wrapText="1"/>
    </xf>
    <xf numFmtId="202" fontId="238" fillId="102" borderId="52" xfId="140" applyNumberFormat="1" applyFont="1" applyFill="1" applyBorder="1" applyAlignment="1">
      <alignment horizontal="center" vertical="center" wrapText="1"/>
    </xf>
    <xf numFmtId="202" fontId="238" fillId="102" borderId="24" xfId="140" applyNumberFormat="1" applyFont="1" applyFill="1" applyBorder="1" applyAlignment="1">
      <alignment horizontal="center" vertical="center"/>
    </xf>
    <xf numFmtId="202" fontId="238" fillId="102" borderId="52" xfId="122" applyNumberFormat="1" applyFont="1" applyFill="1" applyBorder="1" applyAlignment="1">
      <alignment horizontal="center" vertical="center"/>
    </xf>
    <xf numFmtId="0" fontId="238" fillId="72" borderId="37" xfId="140" applyFont="1" applyFill="1" applyBorder="1" applyAlignment="1">
      <alignment horizontal="center" vertical="center"/>
    </xf>
    <xf numFmtId="0" fontId="222" fillId="99" borderId="23" xfId="140" applyFont="1" applyFill="1" applyBorder="1" applyAlignment="1">
      <alignment horizontal="center" vertical="center" wrapText="1"/>
    </xf>
    <xf numFmtId="41" fontId="222" fillId="69" borderId="70" xfId="140" applyNumberFormat="1" applyFont="1" applyFill="1" applyBorder="1" applyAlignment="1">
      <alignment horizontal="center" vertical="center" wrapText="1"/>
    </xf>
    <xf numFmtId="41" fontId="222" fillId="69" borderId="50" xfId="140" applyNumberFormat="1" applyFont="1" applyFill="1" applyBorder="1" applyAlignment="1">
      <alignment horizontal="center" vertical="center" wrapText="1"/>
    </xf>
    <xf numFmtId="41" fontId="222" fillId="69" borderId="53" xfId="140" applyNumberFormat="1" applyFont="1" applyFill="1" applyBorder="1" applyAlignment="1">
      <alignment horizontal="center" vertical="center" wrapText="1"/>
    </xf>
    <xf numFmtId="41" fontId="222" fillId="69" borderId="72" xfId="118" applyFont="1" applyFill="1" applyBorder="1" applyAlignment="1">
      <alignment horizontal="center" vertical="center"/>
    </xf>
    <xf numFmtId="41" fontId="222" fillId="69" borderId="74" xfId="118" applyFont="1" applyFill="1" applyBorder="1" applyAlignment="1">
      <alignment horizontal="center" vertical="center"/>
    </xf>
    <xf numFmtId="0" fontId="222" fillId="69" borderId="24" xfId="140" applyFont="1" applyFill="1" applyBorder="1" applyAlignment="1">
      <alignment horizontal="center" vertical="center" wrapText="1"/>
    </xf>
    <xf numFmtId="0" fontId="222" fillId="69" borderId="3" xfId="140" applyFont="1" applyFill="1" applyBorder="1" applyAlignment="1">
      <alignment horizontal="center" vertical="center" wrapText="1"/>
    </xf>
    <xf numFmtId="0" fontId="222" fillId="69" borderId="27" xfId="140" applyFont="1" applyFill="1" applyBorder="1" applyAlignment="1">
      <alignment horizontal="center" vertical="center" wrapText="1"/>
    </xf>
    <xf numFmtId="0" fontId="222" fillId="83" borderId="23" xfId="140" applyFont="1" applyFill="1" applyBorder="1" applyAlignment="1">
      <alignment horizontal="center" vertical="center" wrapText="1"/>
    </xf>
    <xf numFmtId="0" fontId="222" fillId="83" borderId="37" xfId="140" applyFont="1" applyFill="1" applyBorder="1" applyAlignment="1">
      <alignment horizontal="center" vertical="center" wrapText="1"/>
    </xf>
    <xf numFmtId="0" fontId="222" fillId="83" borderId="31" xfId="140" applyFont="1" applyFill="1" applyBorder="1" applyAlignment="1">
      <alignment horizontal="center" vertical="center" wrapText="1"/>
    </xf>
    <xf numFmtId="0" fontId="222" fillId="83" borderId="23" xfId="140" applyFont="1" applyFill="1" applyBorder="1" applyAlignment="1">
      <alignment horizontal="center" vertical="center"/>
    </xf>
    <xf numFmtId="0" fontId="222" fillId="83" borderId="37" xfId="140" applyFont="1" applyFill="1" applyBorder="1" applyAlignment="1">
      <alignment horizontal="center" vertical="center"/>
    </xf>
    <xf numFmtId="0" fontId="222" fillId="83" borderId="31" xfId="140" applyFont="1" applyFill="1" applyBorder="1" applyAlignment="1">
      <alignment horizontal="center" vertical="center"/>
    </xf>
    <xf numFmtId="0" fontId="252" fillId="83" borderId="37" xfId="140" applyFont="1" applyFill="1" applyBorder="1" applyAlignment="1">
      <alignment horizontal="center" vertical="center"/>
    </xf>
    <xf numFmtId="41" fontId="222" fillId="69" borderId="23" xfId="140" applyNumberFormat="1" applyFont="1" applyFill="1" applyBorder="1" applyAlignment="1">
      <alignment horizontal="center" vertical="center" wrapText="1"/>
    </xf>
    <xf numFmtId="41" fontId="222" fillId="69" borderId="37" xfId="140" applyNumberFormat="1" applyFont="1" applyFill="1" applyBorder="1" applyAlignment="1">
      <alignment horizontal="center" vertical="center" wrapText="1"/>
    </xf>
    <xf numFmtId="41" fontId="222" fillId="69" borderId="31" xfId="140" applyNumberFormat="1" applyFont="1" applyFill="1" applyBorder="1" applyAlignment="1">
      <alignment horizontal="center" vertical="center" wrapText="1"/>
    </xf>
    <xf numFmtId="41" fontId="238" fillId="69" borderId="23" xfId="3708" applyFont="1" applyFill="1" applyBorder="1" applyAlignment="1">
      <alignment horizontal="center" vertical="center" wrapText="1"/>
    </xf>
    <xf numFmtId="41" fontId="238" fillId="69" borderId="37" xfId="3708" applyFont="1" applyFill="1" applyBorder="1" applyAlignment="1">
      <alignment horizontal="center" vertical="center" wrapText="1"/>
    </xf>
    <xf numFmtId="41" fontId="238" fillId="69" borderId="31" xfId="3708" applyFont="1" applyFill="1" applyBorder="1" applyAlignment="1">
      <alignment horizontal="center" vertical="center" wrapText="1"/>
    </xf>
    <xf numFmtId="0" fontId="215" fillId="71" borderId="23" xfId="140" applyFont="1" applyFill="1" applyBorder="1" applyAlignment="1">
      <alignment horizontal="center" vertical="center" wrapText="1"/>
    </xf>
    <xf numFmtId="0" fontId="215" fillId="71" borderId="37" xfId="140" applyFont="1" applyFill="1" applyBorder="1" applyAlignment="1">
      <alignment horizontal="center" vertical="center" wrapText="1"/>
    </xf>
    <xf numFmtId="0" fontId="215" fillId="71" borderId="31" xfId="140" applyFont="1" applyFill="1" applyBorder="1" applyAlignment="1">
      <alignment horizontal="center" vertical="center" wrapText="1"/>
    </xf>
    <xf numFmtId="0" fontId="222" fillId="69" borderId="19" xfId="140" applyFont="1" applyFill="1" applyBorder="1" applyAlignment="1">
      <alignment horizontal="center" vertical="center"/>
    </xf>
    <xf numFmtId="0" fontId="222" fillId="69" borderId="27" xfId="140" applyFont="1" applyFill="1" applyBorder="1" applyAlignment="1">
      <alignment horizontal="center" vertical="center"/>
    </xf>
    <xf numFmtId="0" fontId="192" fillId="0" borderId="22" xfId="136" applyFont="1" applyBorder="1" applyAlignment="1">
      <alignment horizontal="center" vertical="center"/>
    </xf>
    <xf numFmtId="0" fontId="192" fillId="0" borderId="66" xfId="136" applyFont="1" applyBorder="1" applyAlignment="1">
      <alignment horizontal="center" vertical="center"/>
    </xf>
    <xf numFmtId="0" fontId="192" fillId="0" borderId="77" xfId="136" applyFont="1" applyBorder="1" applyAlignment="1">
      <alignment horizontal="center" vertical="center"/>
    </xf>
    <xf numFmtId="0" fontId="204" fillId="0" borderId="87" xfId="136" applyFont="1" applyBorder="1" applyAlignment="1">
      <alignment horizontal="center" vertical="center"/>
    </xf>
    <xf numFmtId="0" fontId="204" fillId="0" borderId="71" xfId="136" applyFont="1" applyBorder="1" applyAlignment="1">
      <alignment horizontal="center" vertical="center"/>
    </xf>
    <xf numFmtId="176" fontId="199" fillId="35" borderId="86" xfId="136" applyNumberFormat="1" applyFont="1" applyFill="1" applyBorder="1" applyAlignment="1">
      <alignment horizontal="center" vertical="center"/>
    </xf>
    <xf numFmtId="176" fontId="199" fillId="35" borderId="87" xfId="136" applyNumberFormat="1" applyFont="1" applyFill="1" applyBorder="1" applyAlignment="1">
      <alignment horizontal="center" vertical="center"/>
    </xf>
    <xf numFmtId="176" fontId="199" fillId="35" borderId="71" xfId="136" applyNumberFormat="1" applyFont="1" applyFill="1" applyBorder="1" applyAlignment="1">
      <alignment horizontal="center" vertical="center"/>
    </xf>
    <xf numFmtId="176" fontId="199" fillId="35" borderId="80" xfId="136" applyNumberFormat="1" applyFont="1" applyFill="1" applyBorder="1" applyAlignment="1">
      <alignment horizontal="center" vertical="center"/>
    </xf>
    <xf numFmtId="176" fontId="199" fillId="35" borderId="4" xfId="136" applyNumberFormat="1" applyFont="1" applyFill="1" applyBorder="1" applyAlignment="1">
      <alignment horizontal="center" vertical="center"/>
    </xf>
    <xf numFmtId="176" fontId="199" fillId="35" borderId="75" xfId="136" applyNumberFormat="1" applyFont="1" applyFill="1" applyBorder="1" applyAlignment="1">
      <alignment horizontal="center" vertical="center"/>
    </xf>
    <xf numFmtId="0" fontId="205" fillId="35" borderId="80" xfId="136" applyFont="1" applyFill="1" applyBorder="1" applyAlignment="1">
      <alignment horizontal="center" vertical="center"/>
    </xf>
    <xf numFmtId="0" fontId="205" fillId="35" borderId="4" xfId="136" applyFont="1" applyFill="1" applyBorder="1" applyAlignment="1">
      <alignment horizontal="center" vertical="center"/>
    </xf>
    <xf numFmtId="0" fontId="205" fillId="35" borderId="33" xfId="136" applyFont="1" applyFill="1" applyBorder="1" applyAlignment="1">
      <alignment horizontal="center" vertical="center"/>
    </xf>
    <xf numFmtId="0" fontId="192" fillId="99" borderId="81" xfId="136" applyFont="1" applyFill="1" applyBorder="1" applyAlignment="1">
      <alignment horizontal="center" vertical="center"/>
    </xf>
    <xf numFmtId="0" fontId="192" fillId="99" borderId="82" xfId="136" applyFont="1" applyFill="1" applyBorder="1" applyAlignment="1">
      <alignment horizontal="center" vertical="center"/>
    </xf>
    <xf numFmtId="0" fontId="192" fillId="99" borderId="84" xfId="136" applyFont="1" applyFill="1" applyBorder="1" applyAlignment="1">
      <alignment horizontal="center" vertical="center"/>
    </xf>
    <xf numFmtId="0" fontId="192" fillId="0" borderId="46" xfId="136" applyFont="1" applyBorder="1" applyAlignment="1">
      <alignment horizontal="center" vertical="center"/>
    </xf>
    <xf numFmtId="0" fontId="192" fillId="0" borderId="47" xfId="136" applyFont="1" applyBorder="1" applyAlignment="1">
      <alignment horizontal="center" vertical="center"/>
    </xf>
    <xf numFmtId="0" fontId="192" fillId="0" borderId="48" xfId="136" applyFont="1" applyBorder="1" applyAlignment="1">
      <alignment horizontal="center" vertical="center"/>
    </xf>
    <xf numFmtId="0" fontId="192" fillId="0" borderId="86" xfId="136" applyFont="1" applyBorder="1" applyAlignment="1">
      <alignment horizontal="center" vertical="center"/>
    </xf>
    <xf numFmtId="0" fontId="192" fillId="0" borderId="17" xfId="136" applyFont="1" applyBorder="1" applyAlignment="1">
      <alignment horizontal="center" vertical="center"/>
    </xf>
    <xf numFmtId="0" fontId="192" fillId="0" borderId="80" xfId="136" applyFont="1" applyBorder="1" applyAlignment="1">
      <alignment horizontal="center" vertical="center"/>
    </xf>
    <xf numFmtId="0" fontId="197" fillId="0" borderId="46" xfId="136" applyFont="1" applyBorder="1" applyAlignment="1">
      <alignment horizontal="center" vertical="center" wrapText="1"/>
    </xf>
    <xf numFmtId="0" fontId="197" fillId="0" borderId="47" xfId="136" applyFont="1" applyBorder="1" applyAlignment="1">
      <alignment horizontal="center" vertical="center" wrapText="1"/>
    </xf>
    <xf numFmtId="0" fontId="189" fillId="72" borderId="86" xfId="136" applyFont="1" applyFill="1" applyBorder="1" applyAlignment="1">
      <alignment horizontal="center" vertical="center" wrapText="1"/>
    </xf>
    <xf numFmtId="0" fontId="189" fillId="72" borderId="17" xfId="136" applyFont="1" applyFill="1" applyBorder="1" applyAlignment="1">
      <alignment horizontal="center" vertical="center" wrapText="1"/>
    </xf>
    <xf numFmtId="0" fontId="189" fillId="72" borderId="80" xfId="136" applyFont="1" applyFill="1" applyBorder="1" applyAlignment="1">
      <alignment horizontal="center" vertical="center" wrapText="1"/>
    </xf>
    <xf numFmtId="0" fontId="197" fillId="99" borderId="47" xfId="136" applyFont="1" applyFill="1" applyBorder="1" applyAlignment="1">
      <alignment horizontal="center" vertical="center" wrapText="1"/>
    </xf>
    <xf numFmtId="0" fontId="197" fillId="101" borderId="19" xfId="136" applyFont="1" applyFill="1" applyBorder="1" applyAlignment="1">
      <alignment horizontal="center" vertical="center" wrapText="1"/>
    </xf>
    <xf numFmtId="0" fontId="197" fillId="101" borderId="27" xfId="136" applyFont="1" applyFill="1" applyBorder="1" applyAlignment="1">
      <alignment horizontal="center" vertical="center" wrapText="1"/>
    </xf>
    <xf numFmtId="0" fontId="197" fillId="101" borderId="24" xfId="136" applyFont="1" applyFill="1" applyBorder="1" applyAlignment="1">
      <alignment horizontal="center" vertical="center" wrapText="1"/>
    </xf>
    <xf numFmtId="0" fontId="197" fillId="96" borderId="22" xfId="136" applyFont="1" applyFill="1" applyBorder="1" applyAlignment="1">
      <alignment horizontal="center" vertical="center" wrapText="1"/>
    </xf>
    <xf numFmtId="0" fontId="197" fillId="96" borderId="66" xfId="136" applyFont="1" applyFill="1" applyBorder="1" applyAlignment="1">
      <alignment horizontal="center" vertical="center" wrapText="1"/>
    </xf>
    <xf numFmtId="0" fontId="197" fillId="71" borderId="86" xfId="136" applyFont="1" applyFill="1" applyBorder="1" applyAlignment="1">
      <alignment horizontal="center" vertical="center" wrapText="1"/>
    </xf>
    <xf numFmtId="0" fontId="197" fillId="71" borderId="80" xfId="136" applyFont="1" applyFill="1" applyBorder="1" applyAlignment="1">
      <alignment horizontal="center" vertical="center" wrapText="1"/>
    </xf>
    <xf numFmtId="41" fontId="303" fillId="0" borderId="0" xfId="128" applyNumberFormat="1" applyFont="1" applyAlignment="1">
      <alignment horizontal="center" vertical="center"/>
    </xf>
    <xf numFmtId="0" fontId="189" fillId="108" borderId="46" xfId="136" applyFont="1" applyFill="1" applyBorder="1" applyAlignment="1">
      <alignment horizontal="center" vertical="center" wrapText="1"/>
    </xf>
    <xf numFmtId="0" fontId="189" fillId="108" borderId="47" xfId="136" applyFont="1" applyFill="1" applyBorder="1" applyAlignment="1">
      <alignment horizontal="center" vertical="center" wrapText="1"/>
    </xf>
    <xf numFmtId="0" fontId="205" fillId="35" borderId="75" xfId="136" applyFont="1" applyFill="1" applyBorder="1" applyAlignment="1">
      <alignment horizontal="center" vertical="center"/>
    </xf>
    <xf numFmtId="0" fontId="189" fillId="108" borderId="86" xfId="136" applyFont="1" applyFill="1" applyBorder="1" applyAlignment="1">
      <alignment horizontal="center" vertical="center" wrapText="1"/>
    </xf>
    <xf numFmtId="0" fontId="189" fillId="108" borderId="17" xfId="136" applyFont="1" applyFill="1" applyBorder="1" applyAlignment="1">
      <alignment horizontal="center" vertical="center" wrapText="1"/>
    </xf>
    <xf numFmtId="0" fontId="189" fillId="108" borderId="48" xfId="136" applyFont="1" applyFill="1" applyBorder="1" applyAlignment="1">
      <alignment horizontal="center" vertical="center" wrapText="1"/>
    </xf>
    <xf numFmtId="0" fontId="232" fillId="108" borderId="22" xfId="136" applyFont="1" applyFill="1" applyBorder="1" applyAlignment="1">
      <alignment horizontal="center" vertical="center" wrapText="1"/>
    </xf>
    <xf numFmtId="0" fontId="232" fillId="108" borderId="77" xfId="136" applyFont="1" applyFill="1" applyBorder="1" applyAlignment="1">
      <alignment horizontal="center" vertical="center" wrapText="1"/>
    </xf>
    <xf numFmtId="0" fontId="197" fillId="101" borderId="22" xfId="136" applyFont="1" applyFill="1" applyBorder="1" applyAlignment="1">
      <alignment horizontal="center" vertical="center" wrapText="1"/>
    </xf>
    <xf numFmtId="0" fontId="197" fillId="101" borderId="66" xfId="136" applyFont="1" applyFill="1" applyBorder="1" applyAlignment="1">
      <alignment horizontal="center" vertical="center" wrapText="1"/>
    </xf>
    <xf numFmtId="0" fontId="197" fillId="101" borderId="77" xfId="136" applyFont="1" applyFill="1" applyBorder="1" applyAlignment="1">
      <alignment horizontal="center" vertical="center" wrapText="1"/>
    </xf>
    <xf numFmtId="0" fontId="197" fillId="71" borderId="22" xfId="136" applyFont="1" applyFill="1" applyBorder="1" applyAlignment="1">
      <alignment horizontal="center" vertical="center" wrapText="1"/>
    </xf>
    <xf numFmtId="0" fontId="197" fillId="71" borderId="66" xfId="136" applyFont="1" applyFill="1" applyBorder="1" applyAlignment="1">
      <alignment horizontal="center" vertical="center" wrapText="1"/>
    </xf>
    <xf numFmtId="0" fontId="197" fillId="71" borderId="77" xfId="136" applyFont="1" applyFill="1" applyBorder="1" applyAlignment="1">
      <alignment horizontal="center" vertical="center" wrapText="1"/>
    </xf>
    <xf numFmtId="0" fontId="192" fillId="0" borderId="18" xfId="136" applyFont="1" applyBorder="1" applyAlignment="1">
      <alignment horizontal="center" vertical="center"/>
    </xf>
    <xf numFmtId="0" fontId="192" fillId="0" borderId="14" xfId="136" applyFont="1" applyBorder="1" applyAlignment="1">
      <alignment horizontal="center" vertical="center"/>
    </xf>
    <xf numFmtId="0" fontId="192" fillId="0" borderId="29" xfId="136" applyFont="1" applyBorder="1" applyAlignment="1">
      <alignment horizontal="center" vertical="center"/>
    </xf>
    <xf numFmtId="0" fontId="192" fillId="0" borderId="23" xfId="136" applyFont="1" applyBorder="1" applyAlignment="1">
      <alignment horizontal="center" vertical="center" wrapText="1"/>
    </xf>
    <xf numFmtId="0" fontId="192" fillId="0" borderId="37" xfId="136" applyFont="1" applyBorder="1" applyAlignment="1">
      <alignment horizontal="center" vertical="center" wrapText="1"/>
    </xf>
    <xf numFmtId="0" fontId="192" fillId="0" borderId="31" xfId="136" applyFont="1" applyBorder="1" applyAlignment="1">
      <alignment horizontal="center" vertical="center" wrapText="1"/>
    </xf>
    <xf numFmtId="0" fontId="192" fillId="0" borderId="37" xfId="136" applyFont="1" applyBorder="1" applyAlignment="1">
      <alignment horizontal="center" vertical="center"/>
    </xf>
    <xf numFmtId="0" fontId="192" fillId="0" borderId="31" xfId="136" applyFont="1" applyBorder="1" applyAlignment="1">
      <alignment horizontal="center" vertical="center"/>
    </xf>
    <xf numFmtId="0" fontId="192" fillId="0" borderId="22" xfId="136" applyFont="1" applyBorder="1" applyAlignment="1">
      <alignment horizontal="center" vertical="center" wrapText="1"/>
    </xf>
    <xf numFmtId="0" fontId="192" fillId="0" borderId="66" xfId="136" applyFont="1" applyBorder="1" applyAlignment="1">
      <alignment horizontal="center" vertical="center" wrapText="1"/>
    </xf>
    <xf numFmtId="0" fontId="192" fillId="0" borderId="77" xfId="136" applyFont="1" applyBorder="1" applyAlignment="1">
      <alignment horizontal="center" vertical="center" wrapText="1"/>
    </xf>
    <xf numFmtId="0" fontId="207" fillId="38" borderId="16" xfId="128" applyFont="1" applyFill="1" applyBorder="1" applyAlignment="1">
      <alignment horizontal="center" vertical="center"/>
    </xf>
    <xf numFmtId="0" fontId="207" fillId="38" borderId="2" xfId="128" applyFont="1" applyFill="1" applyBorder="1" applyAlignment="1">
      <alignment horizontal="center" vertical="center"/>
    </xf>
    <xf numFmtId="0" fontId="207" fillId="38" borderId="25" xfId="128" applyFont="1" applyFill="1" applyBorder="1" applyAlignment="1">
      <alignment horizontal="center" vertical="center"/>
    </xf>
    <xf numFmtId="0" fontId="192" fillId="0" borderId="69" xfId="136" applyFont="1" applyBorder="1" applyAlignment="1">
      <alignment horizontal="center" vertical="center"/>
    </xf>
    <xf numFmtId="0" fontId="192" fillId="0" borderId="38" xfId="136" applyFont="1" applyBorder="1" applyAlignment="1">
      <alignment horizontal="center" vertical="center"/>
    </xf>
    <xf numFmtId="0" fontId="192" fillId="0" borderId="33" xfId="136" applyFont="1" applyBorder="1" applyAlignment="1">
      <alignment horizontal="center" vertical="center"/>
    </xf>
    <xf numFmtId="41" fontId="204" fillId="45" borderId="16" xfId="111" applyFont="1" applyFill="1" applyBorder="1" applyAlignment="1">
      <alignment horizontal="center" vertical="center"/>
    </xf>
    <xf numFmtId="41" fontId="204" fillId="45" borderId="14" xfId="111" applyFont="1" applyFill="1" applyBorder="1" applyAlignment="1">
      <alignment horizontal="center" vertical="center"/>
    </xf>
    <xf numFmtId="0" fontId="192" fillId="0" borderId="23" xfId="136" applyFont="1" applyBorder="1" applyAlignment="1">
      <alignment horizontal="center" vertical="center"/>
    </xf>
    <xf numFmtId="0" fontId="192" fillId="0" borderId="25" xfId="136" applyFont="1" applyBorder="1" applyAlignment="1">
      <alignment horizontal="center" vertical="center"/>
    </xf>
    <xf numFmtId="0" fontId="204" fillId="45" borderId="3" xfId="128" applyFont="1" applyFill="1" applyBorder="1" applyAlignment="1">
      <alignment horizontal="center" vertical="center"/>
    </xf>
    <xf numFmtId="41" fontId="212" fillId="69" borderId="0" xfId="128" applyNumberFormat="1" applyFont="1" applyFill="1" applyAlignment="1">
      <alignment horizontal="center" vertical="center"/>
    </xf>
    <xf numFmtId="0" fontId="212" fillId="69" borderId="0" xfId="128" applyFont="1" applyFill="1" applyAlignment="1">
      <alignment horizontal="center" vertical="center"/>
    </xf>
    <xf numFmtId="41" fontId="192" fillId="69" borderId="0" xfId="116" applyFont="1" applyFill="1" applyBorder="1" applyAlignment="1">
      <alignment horizontal="center" vertical="center"/>
    </xf>
    <xf numFmtId="41" fontId="207" fillId="69" borderId="0" xfId="128" applyNumberFormat="1" applyFont="1" applyFill="1" applyAlignment="1">
      <alignment horizontal="center" vertical="center"/>
    </xf>
    <xf numFmtId="0" fontId="207" fillId="69" borderId="0" xfId="128" applyFont="1" applyFill="1" applyAlignment="1">
      <alignment horizontal="center" vertical="center"/>
    </xf>
    <xf numFmtId="0" fontId="192" fillId="69" borderId="0" xfId="136" applyFont="1" applyFill="1" applyAlignment="1">
      <alignment horizontal="center" vertical="center"/>
    </xf>
    <xf numFmtId="176" fontId="199" fillId="36" borderId="87" xfId="136" applyNumberFormat="1" applyFont="1" applyFill="1" applyBorder="1" applyAlignment="1">
      <alignment horizontal="center" vertical="center"/>
    </xf>
    <xf numFmtId="176" fontId="199" fillId="36" borderId="71" xfId="136" applyNumberFormat="1" applyFont="1" applyFill="1" applyBorder="1" applyAlignment="1">
      <alignment horizontal="center" vertical="center"/>
    </xf>
    <xf numFmtId="176" fontId="199" fillId="36" borderId="4" xfId="136" applyNumberFormat="1" applyFont="1" applyFill="1" applyBorder="1" applyAlignment="1">
      <alignment horizontal="center" vertical="center"/>
    </xf>
    <xf numFmtId="176" fontId="199" fillId="36" borderId="75" xfId="136" applyNumberFormat="1" applyFont="1" applyFill="1" applyBorder="1" applyAlignment="1">
      <alignment horizontal="center" vertical="center"/>
    </xf>
    <xf numFmtId="176" fontId="192" fillId="0" borderId="36" xfId="128" applyNumberFormat="1" applyFont="1" applyBorder="1" applyAlignment="1">
      <alignment horizontal="center" vertical="center" wrapText="1"/>
    </xf>
    <xf numFmtId="176" fontId="192" fillId="0" borderId="18" xfId="128" applyNumberFormat="1" applyFont="1" applyBorder="1" applyAlignment="1">
      <alignment horizontal="center" vertical="center"/>
    </xf>
    <xf numFmtId="0" fontId="205" fillId="42" borderId="78" xfId="128" applyFont="1" applyFill="1" applyBorder="1" applyAlignment="1">
      <alignment horizontal="center" vertical="center"/>
    </xf>
    <xf numFmtId="0" fontId="205" fillId="42" borderId="1" xfId="128" applyFont="1" applyFill="1" applyBorder="1" applyAlignment="1">
      <alignment horizontal="center" vertical="center"/>
    </xf>
    <xf numFmtId="0" fontId="205" fillId="42" borderId="36" xfId="128" applyFont="1" applyFill="1" applyBorder="1" applyAlignment="1">
      <alignment horizontal="center" vertical="center"/>
    </xf>
    <xf numFmtId="0" fontId="192" fillId="100" borderId="0" xfId="136" applyFont="1" applyFill="1" applyAlignment="1">
      <alignment horizontal="center" vertical="center"/>
    </xf>
    <xf numFmtId="0" fontId="192" fillId="72" borderId="22" xfId="136" applyFont="1" applyFill="1" applyBorder="1" applyAlignment="1">
      <alignment horizontal="center" vertical="center"/>
    </xf>
    <xf numFmtId="0" fontId="192" fillId="72" borderId="66" xfId="136" applyFont="1" applyFill="1" applyBorder="1" applyAlignment="1">
      <alignment horizontal="center" vertical="center"/>
    </xf>
    <xf numFmtId="0" fontId="192" fillId="72" borderId="77" xfId="136" applyFont="1" applyFill="1" applyBorder="1" applyAlignment="1">
      <alignment horizontal="center" vertical="center"/>
    </xf>
    <xf numFmtId="0" fontId="192" fillId="92" borderId="86" xfId="136" applyFont="1" applyFill="1" applyBorder="1" applyAlignment="1">
      <alignment horizontal="center" vertical="center"/>
    </xf>
    <xf numFmtId="0" fontId="192" fillId="92" borderId="80" xfId="136" applyFont="1" applyFill="1" applyBorder="1" applyAlignment="1">
      <alignment horizontal="center" vertical="center"/>
    </xf>
    <xf numFmtId="176" fontId="192" fillId="0" borderId="49" xfId="128" applyNumberFormat="1" applyFont="1" applyBorder="1" applyAlignment="1">
      <alignment horizontal="center" vertical="center" wrapText="1"/>
    </xf>
    <xf numFmtId="176" fontId="192" fillId="0" borderId="72" xfId="128" applyNumberFormat="1" applyFont="1" applyBorder="1" applyAlignment="1">
      <alignment horizontal="center" vertical="center"/>
    </xf>
    <xf numFmtId="0" fontId="208" fillId="0" borderId="0" xfId="128" applyFont="1" applyAlignment="1">
      <alignment horizontal="center" vertical="center"/>
    </xf>
    <xf numFmtId="0" fontId="192" fillId="0" borderId="117" xfId="136" applyFont="1" applyBorder="1" applyAlignment="1">
      <alignment horizontal="center" vertical="center"/>
    </xf>
    <xf numFmtId="0" fontId="192" fillId="0" borderId="108" xfId="136" applyFont="1" applyBorder="1" applyAlignment="1">
      <alignment horizontal="center" vertical="center"/>
    </xf>
    <xf numFmtId="0" fontId="192" fillId="0" borderId="88" xfId="136" applyFont="1" applyBorder="1" applyAlignment="1">
      <alignment horizontal="center" vertical="center"/>
    </xf>
    <xf numFmtId="0" fontId="207" fillId="102" borderId="20" xfId="136" applyFont="1" applyFill="1" applyBorder="1" applyAlignment="1">
      <alignment horizontal="center" vertical="center" wrapText="1"/>
    </xf>
    <xf numFmtId="0" fontId="207" fillId="102" borderId="15" xfId="136" applyFont="1" applyFill="1" applyBorder="1" applyAlignment="1">
      <alignment horizontal="center" vertical="center" wrapText="1"/>
    </xf>
    <xf numFmtId="0" fontId="207" fillId="102" borderId="108" xfId="136" applyFont="1" applyFill="1" applyBorder="1" applyAlignment="1">
      <alignment horizontal="center" vertical="center" wrapText="1"/>
    </xf>
    <xf numFmtId="0" fontId="207" fillId="102" borderId="114" xfId="136" applyFont="1" applyFill="1" applyBorder="1" applyAlignment="1">
      <alignment horizontal="center" vertical="center" wrapText="1"/>
    </xf>
    <xf numFmtId="0" fontId="207" fillId="102" borderId="66" xfId="136" applyFont="1" applyFill="1" applyBorder="1" applyAlignment="1">
      <alignment horizontal="center" vertical="center" wrapText="1"/>
    </xf>
    <xf numFmtId="0" fontId="207" fillId="102" borderId="77" xfId="136" applyFont="1" applyFill="1" applyBorder="1" applyAlignment="1">
      <alignment horizontal="center" vertical="center" wrapText="1"/>
    </xf>
    <xf numFmtId="0" fontId="257" fillId="17" borderId="78" xfId="128" applyFont="1" applyFill="1" applyBorder="1" applyAlignment="1">
      <alignment horizontal="center" vertical="center"/>
    </xf>
    <xf numFmtId="0" fontId="257" fillId="17" borderId="1" xfId="128" applyFont="1" applyFill="1" applyBorder="1" applyAlignment="1">
      <alignment horizontal="center" vertical="center"/>
    </xf>
    <xf numFmtId="0" fontId="257" fillId="17" borderId="49" xfId="128" applyFont="1" applyFill="1" applyBorder="1" applyAlignment="1">
      <alignment horizontal="center" vertical="center"/>
    </xf>
    <xf numFmtId="0" fontId="234" fillId="69" borderId="78" xfId="128" applyFont="1" applyFill="1" applyBorder="1" applyAlignment="1">
      <alignment horizontal="center" vertical="center"/>
    </xf>
    <xf numFmtId="0" fontId="234" fillId="69" borderId="1" xfId="128" applyFont="1" applyFill="1" applyBorder="1" applyAlignment="1">
      <alignment horizontal="center" vertical="center"/>
    </xf>
    <xf numFmtId="0" fontId="276" fillId="0" borderId="56" xfId="136" applyFont="1" applyBorder="1" applyAlignment="1">
      <alignment horizontal="center" vertical="center"/>
    </xf>
    <xf numFmtId="0" fontId="276" fillId="0" borderId="57" xfId="136" applyFont="1" applyBorder="1" applyAlignment="1">
      <alignment horizontal="center" vertical="center"/>
    </xf>
    <xf numFmtId="0" fontId="276" fillId="0" borderId="66" xfId="136" applyFont="1" applyBorder="1" applyAlignment="1">
      <alignment horizontal="center" vertical="center"/>
    </xf>
    <xf numFmtId="0" fontId="258" fillId="0" borderId="56" xfId="136" applyFont="1" applyBorder="1" applyAlignment="1">
      <alignment horizontal="center" vertical="center"/>
    </xf>
    <xf numFmtId="0" fontId="258" fillId="0" borderId="66" xfId="136" applyFont="1" applyBorder="1" applyAlignment="1">
      <alignment horizontal="center" vertical="center"/>
    </xf>
    <xf numFmtId="0" fontId="258" fillId="0" borderId="57" xfId="136" applyFont="1" applyBorder="1" applyAlignment="1">
      <alignment horizontal="center" vertical="center"/>
    </xf>
    <xf numFmtId="41" fontId="197" fillId="33" borderId="52" xfId="128" applyNumberFormat="1" applyFont="1" applyFill="1" applyBorder="1" applyAlignment="1">
      <alignment horizontal="center" vertical="center"/>
    </xf>
    <xf numFmtId="41" fontId="197" fillId="33" borderId="24" xfId="128" applyNumberFormat="1" applyFont="1" applyFill="1" applyBorder="1" applyAlignment="1">
      <alignment horizontal="center" vertical="center"/>
    </xf>
    <xf numFmtId="41" fontId="197" fillId="33" borderId="37" xfId="128" applyNumberFormat="1" applyFont="1" applyFill="1" applyBorder="1" applyAlignment="1">
      <alignment horizontal="center" vertical="center"/>
    </xf>
    <xf numFmtId="0" fontId="258" fillId="0" borderId="25" xfId="136" applyFont="1" applyBorder="1" applyAlignment="1">
      <alignment horizontal="center" vertical="center"/>
    </xf>
    <xf numFmtId="0" fontId="258" fillId="0" borderId="14" xfId="136" applyFont="1" applyBorder="1" applyAlignment="1">
      <alignment horizontal="center" vertical="center"/>
    </xf>
    <xf numFmtId="0" fontId="195" fillId="32" borderId="47" xfId="136" applyFont="1" applyFill="1" applyBorder="1" applyAlignment="1">
      <alignment horizontal="center" vertical="center"/>
    </xf>
    <xf numFmtId="0" fontId="195" fillId="32" borderId="48" xfId="136" applyFont="1" applyFill="1" applyBorder="1" applyAlignment="1">
      <alignment horizontal="center" vertical="center"/>
    </xf>
    <xf numFmtId="0" fontId="193" fillId="0" borderId="25" xfId="136" applyFont="1" applyBorder="1" applyAlignment="1">
      <alignment horizontal="center" vertical="center"/>
    </xf>
    <xf numFmtId="0" fontId="193" fillId="0" borderId="14" xfId="136" applyFont="1" applyBorder="1" applyAlignment="1">
      <alignment horizontal="center" vertical="center"/>
    </xf>
    <xf numFmtId="0" fontId="193" fillId="0" borderId="29" xfId="136" applyFont="1" applyBorder="1" applyAlignment="1">
      <alignment horizontal="center" vertical="center"/>
    </xf>
    <xf numFmtId="0" fontId="258" fillId="0" borderId="77" xfId="136" applyFont="1" applyBorder="1" applyAlignment="1">
      <alignment horizontal="center" vertical="center"/>
    </xf>
    <xf numFmtId="41" fontId="189" fillId="107" borderId="71" xfId="128" applyNumberFormat="1" applyFont="1" applyFill="1" applyBorder="1" applyAlignment="1">
      <alignment horizontal="center" vertical="center"/>
    </xf>
    <xf numFmtId="41" fontId="189" fillId="107" borderId="47" xfId="128" applyNumberFormat="1" applyFont="1" applyFill="1" applyBorder="1" applyAlignment="1">
      <alignment horizontal="center" vertical="center"/>
    </xf>
    <xf numFmtId="41" fontId="189" fillId="107" borderId="48" xfId="128" applyNumberFormat="1" applyFont="1" applyFill="1" applyBorder="1" applyAlignment="1">
      <alignment horizontal="center" vertical="center"/>
    </xf>
    <xf numFmtId="0" fontId="207" fillId="31" borderId="78" xfId="128" applyFont="1" applyFill="1" applyBorder="1" applyAlignment="1">
      <alignment horizontal="center" vertical="center"/>
    </xf>
    <xf numFmtId="0" fontId="207" fillId="31" borderId="1" xfId="128" applyFont="1" applyFill="1" applyBorder="1" applyAlignment="1">
      <alignment horizontal="center" vertical="center"/>
    </xf>
    <xf numFmtId="0" fontId="207" fillId="31" borderId="49" xfId="128" applyFont="1" applyFill="1" applyBorder="1" applyAlignment="1">
      <alignment horizontal="center" vertical="center"/>
    </xf>
    <xf numFmtId="0" fontId="207" fillId="33" borderId="80" xfId="128" applyFont="1" applyFill="1" applyBorder="1" applyAlignment="1">
      <alignment horizontal="center" vertical="center"/>
    </xf>
    <xf numFmtId="0" fontId="207" fillId="33" borderId="4" xfId="128" applyFont="1" applyFill="1" applyBorder="1" applyAlignment="1">
      <alignment horizontal="center" vertical="center"/>
    </xf>
    <xf numFmtId="0" fontId="204" fillId="35" borderId="78" xfId="128" applyFont="1" applyFill="1" applyBorder="1" applyAlignment="1">
      <alignment horizontal="center" vertical="center"/>
    </xf>
    <xf numFmtId="0" fontId="204" fillId="35" borderId="1" xfId="128" applyFont="1" applyFill="1" applyBorder="1" applyAlignment="1">
      <alignment horizontal="center" vertical="center"/>
    </xf>
    <xf numFmtId="0" fontId="204" fillId="35" borderId="49" xfId="128" applyFont="1" applyFill="1" applyBorder="1" applyAlignment="1">
      <alignment horizontal="center" vertical="center"/>
    </xf>
    <xf numFmtId="41" fontId="197" fillId="33" borderId="63" xfId="128" applyNumberFormat="1" applyFont="1" applyFill="1" applyBorder="1" applyAlignment="1">
      <alignment horizontal="center" vertical="center"/>
    </xf>
    <xf numFmtId="41" fontId="197" fillId="33" borderId="50" xfId="128" applyNumberFormat="1" applyFont="1" applyFill="1" applyBorder="1" applyAlignment="1">
      <alignment horizontal="center" vertical="center"/>
    </xf>
    <xf numFmtId="41" fontId="197" fillId="33" borderId="53" xfId="128" applyNumberFormat="1" applyFont="1" applyFill="1" applyBorder="1" applyAlignment="1">
      <alignment horizontal="center" vertical="center"/>
    </xf>
    <xf numFmtId="0" fontId="195" fillId="32" borderId="46" xfId="136" applyFont="1" applyFill="1" applyBorder="1" applyAlignment="1">
      <alignment horizontal="center" vertical="center"/>
    </xf>
    <xf numFmtId="0" fontId="193" fillId="0" borderId="18" xfId="136" applyFont="1" applyBorder="1" applyAlignment="1">
      <alignment horizontal="center" vertical="center"/>
    </xf>
    <xf numFmtId="0" fontId="193" fillId="0" borderId="51" xfId="136" applyFont="1" applyBorder="1" applyAlignment="1">
      <alignment horizontal="center" vertical="center"/>
    </xf>
    <xf numFmtId="41" fontId="197" fillId="33" borderId="31" xfId="128" applyNumberFormat="1" applyFont="1" applyFill="1" applyBorder="1" applyAlignment="1">
      <alignment horizontal="center" vertical="center"/>
    </xf>
    <xf numFmtId="41" fontId="197" fillId="33" borderId="118" xfId="128" applyNumberFormat="1" applyFont="1" applyFill="1" applyBorder="1" applyAlignment="1">
      <alignment horizontal="center" vertical="center"/>
    </xf>
    <xf numFmtId="41" fontId="197" fillId="33" borderId="76" xfId="128" applyNumberFormat="1" applyFont="1" applyFill="1" applyBorder="1" applyAlignment="1">
      <alignment horizontal="center" vertical="center"/>
    </xf>
    <xf numFmtId="0" fontId="258" fillId="0" borderId="56" xfId="136" applyFont="1" applyBorder="1" applyAlignment="1">
      <alignment horizontal="center" vertical="center" wrapText="1"/>
    </xf>
    <xf numFmtId="0" fontId="258" fillId="0" borderId="66" xfId="136" applyFont="1" applyBorder="1" applyAlignment="1">
      <alignment horizontal="center" vertical="center" wrapText="1"/>
    </xf>
    <xf numFmtId="0" fontId="258" fillId="0" borderId="57" xfId="136" applyFont="1" applyBorder="1" applyAlignment="1">
      <alignment horizontal="center" vertical="center" wrapText="1"/>
    </xf>
    <xf numFmtId="41" fontId="197" fillId="33" borderId="54" xfId="128" applyNumberFormat="1" applyFont="1" applyFill="1" applyBorder="1" applyAlignment="1">
      <alignment horizontal="center" vertical="center"/>
    </xf>
    <xf numFmtId="0" fontId="258" fillId="0" borderId="77" xfId="136" applyFont="1" applyBorder="1" applyAlignment="1">
      <alignment horizontal="center" vertical="center" wrapText="1"/>
    </xf>
    <xf numFmtId="41" fontId="76" fillId="0" borderId="70" xfId="0" applyNumberFormat="1" applyFont="1" applyBorder="1" applyAlignment="1">
      <alignment horizontal="center" vertical="center"/>
    </xf>
    <xf numFmtId="0" fontId="76" fillId="0" borderId="50" xfId="0" applyFont="1" applyBorder="1" applyAlignment="1">
      <alignment horizontal="center" vertical="center"/>
    </xf>
    <xf numFmtId="0" fontId="76" fillId="0" borderId="64" xfId="0" applyFont="1" applyBorder="1" applyAlignment="1">
      <alignment horizontal="center" vertical="center"/>
    </xf>
    <xf numFmtId="41" fontId="76" fillId="0" borderId="63" xfId="0" applyNumberFormat="1" applyFont="1" applyBorder="1" applyAlignment="1">
      <alignment horizontal="center" vertical="center"/>
    </xf>
    <xf numFmtId="0" fontId="76" fillId="0" borderId="53" xfId="0" applyFont="1" applyBorder="1" applyAlignment="1">
      <alignment horizontal="center" vertical="center"/>
    </xf>
    <xf numFmtId="0" fontId="276" fillId="0" borderId="22" xfId="136" applyFont="1" applyBorder="1" applyAlignment="1">
      <alignment horizontal="center" vertical="center"/>
    </xf>
    <xf numFmtId="41" fontId="197" fillId="33" borderId="85" xfId="128" applyNumberFormat="1" applyFont="1" applyFill="1" applyBorder="1" applyAlignment="1">
      <alignment horizontal="center" vertical="center"/>
    </xf>
    <xf numFmtId="41" fontId="197" fillId="33" borderId="47" xfId="128" applyNumberFormat="1" applyFont="1" applyFill="1" applyBorder="1" applyAlignment="1">
      <alignment horizontal="center" vertical="center"/>
    </xf>
    <xf numFmtId="41" fontId="197" fillId="33" borderId="83" xfId="128" applyNumberFormat="1" applyFont="1" applyFill="1" applyBorder="1" applyAlignment="1">
      <alignment horizontal="center" vertical="center"/>
    </xf>
    <xf numFmtId="41" fontId="76" fillId="0" borderId="22" xfId="111" applyFont="1" applyBorder="1" applyAlignment="1">
      <alignment horizontal="center" vertical="center"/>
    </xf>
    <xf numFmtId="41" fontId="76" fillId="0" borderId="66" xfId="111" applyFont="1" applyBorder="1" applyAlignment="1">
      <alignment horizontal="center" vertical="center"/>
    </xf>
    <xf numFmtId="41" fontId="76" fillId="0" borderId="57" xfId="111" applyFont="1" applyBorder="1" applyAlignment="1">
      <alignment horizontal="center" vertical="center"/>
    </xf>
    <xf numFmtId="41" fontId="76" fillId="0" borderId="56" xfId="111" applyFont="1" applyBorder="1" applyAlignment="1">
      <alignment horizontal="center" vertical="center"/>
    </xf>
    <xf numFmtId="41" fontId="76" fillId="0" borderId="77" xfId="111" applyFont="1" applyBorder="1" applyAlignment="1">
      <alignment horizontal="center" vertical="center"/>
    </xf>
    <xf numFmtId="0" fontId="192" fillId="71" borderId="47" xfId="128" applyFont="1" applyFill="1" applyBorder="1" applyAlignment="1">
      <alignment horizontal="center" vertical="center" wrapText="1"/>
    </xf>
    <xf numFmtId="0" fontId="192" fillId="71" borderId="48" xfId="128" applyFont="1" applyFill="1" applyBorder="1" applyAlignment="1">
      <alignment horizontal="center" vertical="center" wrapText="1"/>
    </xf>
    <xf numFmtId="0" fontId="198" fillId="95" borderId="47" xfId="136" applyFont="1" applyFill="1" applyBorder="1" applyAlignment="1">
      <alignment horizontal="center" vertical="center" textRotation="255"/>
    </xf>
    <xf numFmtId="0" fontId="198" fillId="95" borderId="48" xfId="136" applyFont="1" applyFill="1" applyBorder="1" applyAlignment="1">
      <alignment horizontal="center" vertical="center" textRotation="255"/>
    </xf>
    <xf numFmtId="41" fontId="228" fillId="41" borderId="68" xfId="128" applyNumberFormat="1" applyFont="1" applyFill="1" applyBorder="1" applyAlignment="1">
      <alignment horizontal="center" vertical="center"/>
    </xf>
    <xf numFmtId="41" fontId="228" fillId="41" borderId="39" xfId="128" applyNumberFormat="1" applyFont="1" applyFill="1" applyBorder="1" applyAlignment="1">
      <alignment horizontal="center" vertical="center"/>
    </xf>
    <xf numFmtId="41" fontId="228" fillId="41" borderId="26" xfId="128" applyNumberFormat="1" applyFont="1" applyFill="1" applyBorder="1" applyAlignment="1">
      <alignment horizontal="center" vertical="center"/>
    </xf>
    <xf numFmtId="41" fontId="228" fillId="41" borderId="62" xfId="128" applyNumberFormat="1" applyFont="1" applyFill="1" applyBorder="1" applyAlignment="1">
      <alignment horizontal="center" vertical="center"/>
    </xf>
    <xf numFmtId="41" fontId="228" fillId="41" borderId="32" xfId="128" applyNumberFormat="1" applyFont="1" applyFill="1" applyBorder="1" applyAlignment="1">
      <alignment horizontal="center" vertical="center"/>
    </xf>
    <xf numFmtId="41" fontId="228" fillId="39" borderId="22" xfId="128" applyNumberFormat="1" applyFont="1" applyFill="1" applyBorder="1" applyAlignment="1">
      <alignment horizontal="center" vertical="center"/>
    </xf>
    <xf numFmtId="41" fontId="228" fillId="39" borderId="66" xfId="128" applyNumberFormat="1" applyFont="1" applyFill="1" applyBorder="1" applyAlignment="1">
      <alignment horizontal="center" vertical="center"/>
    </xf>
    <xf numFmtId="41" fontId="228" fillId="39" borderId="57" xfId="128" applyNumberFormat="1" applyFont="1" applyFill="1" applyBorder="1" applyAlignment="1">
      <alignment horizontal="center" vertical="center"/>
    </xf>
    <xf numFmtId="41" fontId="228" fillId="39" borderId="56" xfId="128" applyNumberFormat="1" applyFont="1" applyFill="1" applyBorder="1" applyAlignment="1">
      <alignment horizontal="center" vertical="center"/>
    </xf>
    <xf numFmtId="41" fontId="228" fillId="39" borderId="77" xfId="128" applyNumberFormat="1" applyFont="1" applyFill="1" applyBorder="1" applyAlignment="1">
      <alignment horizontal="center" vertical="center"/>
    </xf>
    <xf numFmtId="0" fontId="192" fillId="71" borderId="71" xfId="128" applyFont="1" applyFill="1" applyBorder="1" applyAlignment="1">
      <alignment horizontal="center" vertical="center" wrapText="1"/>
    </xf>
    <xf numFmtId="0" fontId="192" fillId="71" borderId="54" xfId="128" applyFont="1" applyFill="1" applyBorder="1" applyAlignment="1">
      <alignment horizontal="center" vertical="center" wrapText="1"/>
    </xf>
    <xf numFmtId="0" fontId="192" fillId="71" borderId="75" xfId="128" applyFont="1" applyFill="1" applyBorder="1" applyAlignment="1">
      <alignment horizontal="center" vertical="center" wrapText="1"/>
    </xf>
    <xf numFmtId="0" fontId="198" fillId="95" borderId="46" xfId="136" applyFont="1" applyFill="1" applyBorder="1" applyAlignment="1">
      <alignment horizontal="center" vertical="center" textRotation="255"/>
    </xf>
    <xf numFmtId="41" fontId="189" fillId="69" borderId="46" xfId="128" applyNumberFormat="1" applyFont="1" applyFill="1" applyBorder="1" applyAlignment="1">
      <alignment horizontal="center" vertical="center"/>
    </xf>
    <xf numFmtId="41" fontId="189" fillId="69" borderId="47" xfId="128" applyNumberFormat="1" applyFont="1" applyFill="1" applyBorder="1" applyAlignment="1">
      <alignment horizontal="center" vertical="center"/>
    </xf>
    <xf numFmtId="41" fontId="189" fillId="69" borderId="48" xfId="128" applyNumberFormat="1" applyFont="1" applyFill="1" applyBorder="1" applyAlignment="1">
      <alignment horizontal="center" vertical="center"/>
    </xf>
    <xf numFmtId="0" fontId="192" fillId="71" borderId="46" xfId="128" applyFont="1" applyFill="1" applyBorder="1" applyAlignment="1">
      <alignment horizontal="center" vertical="center" wrapText="1"/>
    </xf>
    <xf numFmtId="0" fontId="276" fillId="0" borderId="20" xfId="136" applyFont="1" applyBorder="1" applyAlignment="1">
      <alignment horizontal="center" vertical="center"/>
    </xf>
    <xf numFmtId="0" fontId="276" fillId="0" borderId="28" xfId="136" applyFont="1" applyBorder="1" applyAlignment="1">
      <alignment horizontal="center" vertical="center"/>
    </xf>
    <xf numFmtId="0" fontId="198" fillId="95" borderId="46" xfId="136" applyFont="1" applyFill="1" applyBorder="1" applyAlignment="1">
      <alignment horizontal="center" vertical="center" textRotation="255" wrapText="1"/>
    </xf>
    <xf numFmtId="0" fontId="198" fillId="95" borderId="48" xfId="136" applyFont="1" applyFill="1" applyBorder="1" applyAlignment="1">
      <alignment horizontal="center" vertical="center" textRotation="255" wrapText="1"/>
    </xf>
    <xf numFmtId="0" fontId="276" fillId="0" borderId="56" xfId="128" applyFont="1" applyBorder="1" applyAlignment="1">
      <alignment horizontal="center" vertical="center"/>
    </xf>
    <xf numFmtId="0" fontId="276" fillId="0" borderId="66" xfId="128" applyFont="1" applyBorder="1" applyAlignment="1">
      <alignment horizontal="center" vertical="center"/>
    </xf>
    <xf numFmtId="0" fontId="276" fillId="0" borderId="57" xfId="128" applyFont="1" applyBorder="1" applyAlignment="1">
      <alignment horizontal="center" vertical="center"/>
    </xf>
    <xf numFmtId="0" fontId="222" fillId="69" borderId="15" xfId="140" applyFont="1" applyFill="1" applyBorder="1" applyAlignment="1">
      <alignment horizontal="center" vertical="center"/>
    </xf>
    <xf numFmtId="0" fontId="238" fillId="104" borderId="23" xfId="140" applyFont="1" applyFill="1" applyBorder="1" applyAlignment="1">
      <alignment horizontal="center" vertical="center"/>
    </xf>
    <xf numFmtId="0" fontId="238" fillId="104" borderId="37" xfId="140" applyFont="1" applyFill="1" applyBorder="1" applyAlignment="1">
      <alignment horizontal="center" vertical="center"/>
    </xf>
    <xf numFmtId="41" fontId="76" fillId="0" borderId="79" xfId="0" applyNumberFormat="1" applyFont="1" applyBorder="1" applyAlignment="1">
      <alignment horizontal="center" vertical="center"/>
    </xf>
    <xf numFmtId="41" fontId="76" fillId="0" borderId="0" xfId="0" applyNumberFormat="1" applyFont="1" applyAlignment="1">
      <alignment horizontal="center" vertical="center"/>
    </xf>
    <xf numFmtId="0" fontId="248" fillId="0" borderId="4" xfId="140" applyFont="1" applyBorder="1" applyAlignment="1">
      <alignment horizontal="left" vertical="center"/>
    </xf>
    <xf numFmtId="0" fontId="238" fillId="69" borderId="46" xfId="140" applyFont="1" applyFill="1" applyBorder="1" applyAlignment="1">
      <alignment horizontal="center" vertical="center"/>
    </xf>
    <xf numFmtId="0" fontId="238" fillId="69" borderId="48" xfId="140" applyFont="1" applyFill="1" applyBorder="1" applyAlignment="1">
      <alignment horizontal="center" vertical="center"/>
    </xf>
    <xf numFmtId="0" fontId="238" fillId="69" borderId="23" xfId="140" applyFont="1" applyFill="1" applyBorder="1" applyAlignment="1">
      <alignment horizontal="center" vertical="center"/>
    </xf>
    <xf numFmtId="0" fontId="238" fillId="69" borderId="31" xfId="140" applyFont="1" applyFill="1" applyBorder="1" applyAlignment="1">
      <alignment horizontal="center" vertical="center"/>
    </xf>
    <xf numFmtId="0" fontId="238" fillId="0" borderId="23" xfId="140" applyFont="1" applyBorder="1" applyAlignment="1">
      <alignment horizontal="center" vertical="center" wrapText="1"/>
    </xf>
    <xf numFmtId="0" fontId="238" fillId="0" borderId="37" xfId="140" applyFont="1" applyBorder="1" applyAlignment="1">
      <alignment horizontal="center" vertical="center" wrapText="1"/>
    </xf>
    <xf numFmtId="0" fontId="238" fillId="0" borderId="24" xfId="140" applyFont="1" applyBorder="1" applyAlignment="1">
      <alignment horizontal="center" vertical="center" wrapText="1"/>
    </xf>
    <xf numFmtId="0" fontId="238" fillId="69" borderId="46" xfId="140" applyFont="1" applyFill="1" applyBorder="1" applyAlignment="1">
      <alignment horizontal="center" vertical="center" wrapText="1"/>
    </xf>
    <xf numFmtId="0" fontId="238" fillId="69" borderId="47" xfId="140" applyFont="1" applyFill="1" applyBorder="1" applyAlignment="1">
      <alignment horizontal="center" vertical="center" wrapText="1"/>
    </xf>
    <xf numFmtId="0" fontId="238" fillId="69" borderId="48" xfId="140" applyFont="1" applyFill="1" applyBorder="1" applyAlignment="1">
      <alignment horizontal="center" vertical="center" wrapText="1"/>
    </xf>
    <xf numFmtId="41" fontId="76" fillId="0" borderId="52" xfId="0" applyNumberFormat="1" applyFont="1" applyBorder="1" applyAlignment="1">
      <alignment horizontal="center" vertical="center"/>
    </xf>
    <xf numFmtId="0" fontId="76" fillId="0" borderId="37" xfId="0" applyFont="1" applyBorder="1" applyAlignment="1">
      <alignment horizontal="center" vertical="center"/>
    </xf>
    <xf numFmtId="0" fontId="238" fillId="69" borderId="23" xfId="140" applyFont="1" applyFill="1" applyBorder="1" applyAlignment="1">
      <alignment horizontal="center" vertical="center" wrapText="1"/>
    </xf>
    <xf numFmtId="0" fontId="238" fillId="69" borderId="37" xfId="140" applyFont="1" applyFill="1" applyBorder="1" applyAlignment="1">
      <alignment horizontal="center" vertical="center" wrapText="1"/>
    </xf>
    <xf numFmtId="0" fontId="238" fillId="69" borderId="31" xfId="140" applyFont="1" applyFill="1" applyBorder="1" applyAlignment="1">
      <alignment horizontal="center" vertical="center" wrapText="1"/>
    </xf>
    <xf numFmtId="0" fontId="238" fillId="99" borderId="23" xfId="140" applyFont="1" applyFill="1" applyBorder="1" applyAlignment="1">
      <alignment horizontal="center" vertical="center"/>
    </xf>
    <xf numFmtId="0" fontId="238" fillId="99" borderId="37" xfId="140" applyFont="1" applyFill="1" applyBorder="1" applyAlignment="1">
      <alignment horizontal="center" vertical="center"/>
    </xf>
    <xf numFmtId="0" fontId="238" fillId="99" borderId="31" xfId="140" applyFont="1" applyFill="1" applyBorder="1" applyAlignment="1">
      <alignment horizontal="center" vertical="center"/>
    </xf>
    <xf numFmtId="0" fontId="253" fillId="37" borderId="86" xfId="140" applyFont="1" applyFill="1" applyBorder="1" applyAlignment="1">
      <alignment horizontal="center" vertical="center" textRotation="255"/>
    </xf>
    <xf numFmtId="0" fontId="253" fillId="37" borderId="17" xfId="140" applyFont="1" applyFill="1" applyBorder="1" applyAlignment="1">
      <alignment horizontal="center" vertical="center" textRotation="255"/>
    </xf>
    <xf numFmtId="0" fontId="238" fillId="0" borderId="23" xfId="140" applyFont="1" applyBorder="1" applyAlignment="1">
      <alignment horizontal="center" vertical="center"/>
    </xf>
    <xf numFmtId="0" fontId="238" fillId="0" borderId="37" xfId="140" applyFont="1" applyBorder="1" applyAlignment="1">
      <alignment horizontal="center" vertical="center"/>
    </xf>
    <xf numFmtId="0" fontId="238" fillId="0" borderId="31" xfId="140" applyFont="1" applyBorder="1" applyAlignment="1">
      <alignment horizontal="center" vertical="center"/>
    </xf>
    <xf numFmtId="0" fontId="238" fillId="0" borderId="31" xfId="140" applyFont="1" applyBorder="1" applyAlignment="1">
      <alignment horizontal="center" vertical="center" wrapText="1"/>
    </xf>
    <xf numFmtId="0" fontId="219" fillId="0" borderId="4" xfId="140" applyFont="1" applyBorder="1" applyAlignment="1">
      <alignment horizontal="left" vertical="center"/>
    </xf>
    <xf numFmtId="0" fontId="221" fillId="92" borderId="22" xfId="140" applyFont="1" applyFill="1" applyBorder="1" applyAlignment="1">
      <alignment horizontal="center" vertical="center" wrapText="1"/>
    </xf>
    <xf numFmtId="0" fontId="221" fillId="92" borderId="66" xfId="140" applyFont="1" applyFill="1" applyBorder="1" applyAlignment="1">
      <alignment horizontal="center" vertical="center"/>
    </xf>
    <xf numFmtId="0" fontId="221" fillId="92" borderId="22" xfId="140" applyFont="1" applyFill="1" applyBorder="1" applyAlignment="1">
      <alignment horizontal="center" vertical="center" textRotation="255"/>
    </xf>
    <xf numFmtId="0" fontId="221" fillId="92" borderId="66" xfId="140" applyFont="1" applyFill="1" applyBorder="1" applyAlignment="1">
      <alignment horizontal="center" vertical="center" textRotation="255"/>
    </xf>
    <xf numFmtId="0" fontId="221" fillId="92" borderId="77" xfId="140" applyFont="1" applyFill="1" applyBorder="1" applyAlignment="1">
      <alignment horizontal="center" vertical="center" textRotation="255"/>
    </xf>
    <xf numFmtId="0" fontId="228" fillId="36" borderId="66" xfId="140" applyFont="1" applyFill="1" applyBorder="1" applyAlignment="1">
      <alignment horizontal="center" vertical="center" textRotation="255"/>
    </xf>
    <xf numFmtId="0" fontId="259" fillId="117" borderId="46" xfId="140" applyFont="1" applyFill="1" applyBorder="1" applyAlignment="1">
      <alignment horizontal="center" vertical="center" textRotation="255"/>
    </xf>
    <xf numFmtId="0" fontId="259" fillId="117" borderId="47" xfId="140" applyFont="1" applyFill="1" applyBorder="1" applyAlignment="1">
      <alignment horizontal="center" vertical="center" textRotation="255"/>
    </xf>
    <xf numFmtId="0" fontId="259" fillId="117" borderId="48" xfId="140" applyFont="1" applyFill="1" applyBorder="1" applyAlignment="1">
      <alignment horizontal="center" vertical="center" textRotation="255"/>
    </xf>
    <xf numFmtId="0" fontId="249" fillId="0" borderId="63" xfId="140" applyFont="1" applyBorder="1" applyAlignment="1">
      <alignment horizontal="center" vertical="center"/>
    </xf>
    <xf numFmtId="0" fontId="249" fillId="0" borderId="50" xfId="140" applyFont="1" applyBorder="1" applyAlignment="1">
      <alignment horizontal="center" vertical="center"/>
    </xf>
    <xf numFmtId="0" fontId="249" fillId="0" borderId="64" xfId="140" applyFont="1" applyBorder="1" applyAlignment="1">
      <alignment horizontal="center" vertical="center"/>
    </xf>
    <xf numFmtId="0" fontId="249" fillId="69" borderId="63" xfId="140" applyFont="1" applyFill="1" applyBorder="1" applyAlignment="1">
      <alignment horizontal="center" vertical="center"/>
    </xf>
    <xf numFmtId="0" fontId="249" fillId="69" borderId="50" xfId="140" applyFont="1" applyFill="1" applyBorder="1" applyAlignment="1">
      <alignment horizontal="center" vertical="center"/>
    </xf>
    <xf numFmtId="0" fontId="249" fillId="69" borderId="64" xfId="140" applyFont="1" applyFill="1" applyBorder="1" applyAlignment="1">
      <alignment horizontal="center" vertical="center"/>
    </xf>
    <xf numFmtId="0" fontId="221" fillId="95" borderId="22" xfId="140" applyFont="1" applyFill="1" applyBorder="1" applyAlignment="1">
      <alignment horizontal="center" vertical="center" textRotation="255"/>
    </xf>
    <xf numFmtId="0" fontId="221" fillId="95" borderId="66" xfId="140" applyFont="1" applyFill="1" applyBorder="1" applyAlignment="1">
      <alignment horizontal="center" vertical="center" textRotation="255"/>
    </xf>
    <xf numFmtId="0" fontId="221" fillId="95" borderId="77" xfId="140" applyFont="1" applyFill="1" applyBorder="1" applyAlignment="1">
      <alignment horizontal="center" vertical="center" textRotation="255"/>
    </xf>
    <xf numFmtId="0" fontId="285" fillId="71" borderId="20" xfId="140" applyFont="1" applyFill="1" applyBorder="1" applyAlignment="1">
      <alignment horizontal="center" vertical="center" textRotation="255"/>
    </xf>
    <xf numFmtId="0" fontId="285" fillId="71" borderId="15" xfId="140" applyFont="1" applyFill="1" applyBorder="1" applyAlignment="1">
      <alignment horizontal="center" vertical="center" textRotation="255"/>
    </xf>
    <xf numFmtId="0" fontId="285" fillId="71" borderId="28" xfId="140" applyFont="1" applyFill="1" applyBorder="1" applyAlignment="1">
      <alignment horizontal="center" vertical="center" textRotation="255"/>
    </xf>
    <xf numFmtId="0" fontId="286" fillId="116" borderId="66" xfId="140" applyFont="1" applyFill="1" applyBorder="1" applyAlignment="1">
      <alignment horizontal="center" vertical="center" textRotation="255"/>
    </xf>
    <xf numFmtId="0" fontId="286" fillId="116" borderId="77" xfId="140" applyFont="1" applyFill="1" applyBorder="1" applyAlignment="1">
      <alignment horizontal="center" vertical="center" textRotation="255"/>
    </xf>
    <xf numFmtId="0" fontId="220" fillId="72" borderId="17" xfId="140" applyFont="1" applyFill="1" applyBorder="1" applyAlignment="1">
      <alignment horizontal="center" vertical="center"/>
    </xf>
    <xf numFmtId="0" fontId="220" fillId="72" borderId="0" xfId="140" applyFont="1" applyFill="1" applyAlignment="1">
      <alignment horizontal="center" vertical="center"/>
    </xf>
    <xf numFmtId="0" fontId="224" fillId="72" borderId="20" xfId="140" applyFont="1" applyFill="1" applyBorder="1" applyAlignment="1">
      <alignment horizontal="center" vertical="center"/>
    </xf>
    <xf numFmtId="0" fontId="224" fillId="72" borderId="15" xfId="140" applyFont="1" applyFill="1" applyBorder="1" applyAlignment="1">
      <alignment horizontal="center" vertical="center"/>
    </xf>
    <xf numFmtId="0" fontId="224" fillId="72" borderId="28" xfId="140" applyFont="1" applyFill="1" applyBorder="1" applyAlignment="1">
      <alignment horizontal="center" vertical="center"/>
    </xf>
    <xf numFmtId="0" fontId="224" fillId="72" borderId="22" xfId="140" applyFont="1" applyFill="1" applyBorder="1" applyAlignment="1">
      <alignment horizontal="center" vertical="center"/>
    </xf>
    <xf numFmtId="0" fontId="224" fillId="72" borderId="66" xfId="140" applyFont="1" applyFill="1" applyBorder="1" applyAlignment="1">
      <alignment horizontal="center" vertical="center"/>
    </xf>
    <xf numFmtId="0" fontId="221" fillId="111" borderId="86" xfId="140" applyFont="1" applyFill="1" applyBorder="1" applyAlignment="1">
      <alignment horizontal="center" vertical="center" textRotation="255"/>
    </xf>
    <xf numFmtId="0" fontId="221" fillId="111" borderId="17" xfId="140" applyFont="1" applyFill="1" applyBorder="1" applyAlignment="1">
      <alignment horizontal="center" vertical="center" textRotation="255"/>
    </xf>
    <xf numFmtId="0" fontId="221" fillId="111" borderId="80" xfId="140" applyFont="1" applyFill="1" applyBorder="1" applyAlignment="1">
      <alignment horizontal="center" vertical="center" textRotation="255"/>
    </xf>
    <xf numFmtId="0" fontId="228" fillId="36" borderId="22" xfId="140" applyFont="1" applyFill="1" applyBorder="1" applyAlignment="1">
      <alignment horizontal="center" vertical="center" textRotation="255"/>
    </xf>
    <xf numFmtId="0" fontId="249" fillId="0" borderId="46" xfId="140" applyFont="1" applyBorder="1" applyAlignment="1">
      <alignment horizontal="center" vertical="center"/>
    </xf>
    <xf numFmtId="0" fontId="249" fillId="0" borderId="47" xfId="140" applyFont="1" applyBorder="1" applyAlignment="1">
      <alignment horizontal="center" vertical="center"/>
    </xf>
    <xf numFmtId="0" fontId="249" fillId="0" borderId="48" xfId="140" applyFont="1" applyBorder="1" applyAlignment="1">
      <alignment horizontal="center" vertical="center"/>
    </xf>
    <xf numFmtId="0" fontId="247" fillId="102" borderId="46" xfId="0" applyFont="1" applyFill="1" applyBorder="1" applyAlignment="1">
      <alignment horizontal="center" vertical="center" textRotation="255" wrapText="1"/>
    </xf>
    <xf numFmtId="0" fontId="247" fillId="102" borderId="47" xfId="0" applyFont="1" applyFill="1" applyBorder="1" applyAlignment="1">
      <alignment horizontal="center" vertical="center" textRotation="255" wrapText="1"/>
    </xf>
    <xf numFmtId="0" fontId="247" fillId="102" borderId="48" xfId="0" applyFont="1" applyFill="1" applyBorder="1" applyAlignment="1">
      <alignment horizontal="center" vertical="center" textRotation="255" wrapText="1"/>
    </xf>
    <xf numFmtId="0" fontId="247" fillId="71" borderId="46" xfId="0" applyFont="1" applyFill="1" applyBorder="1" applyAlignment="1">
      <alignment horizontal="center" vertical="center" textRotation="255" wrapText="1"/>
    </xf>
    <xf numFmtId="0" fontId="247" fillId="71" borderId="47" xfId="0" applyFont="1" applyFill="1" applyBorder="1" applyAlignment="1">
      <alignment horizontal="center" vertical="center" textRotation="255" wrapText="1"/>
    </xf>
    <xf numFmtId="0" fontId="247" fillId="71" borderId="48" xfId="0" applyFont="1" applyFill="1" applyBorder="1" applyAlignment="1">
      <alignment horizontal="center" vertical="center" textRotation="255" wrapText="1"/>
    </xf>
    <xf numFmtId="0" fontId="215" fillId="69" borderId="22" xfId="140" applyFont="1" applyFill="1" applyBorder="1" applyAlignment="1">
      <alignment horizontal="center" vertical="center"/>
    </xf>
    <xf numFmtId="0" fontId="215" fillId="69" borderId="66" xfId="140" applyFont="1" applyFill="1" applyBorder="1" applyAlignment="1">
      <alignment horizontal="center" vertical="center"/>
    </xf>
    <xf numFmtId="0" fontId="215" fillId="69" borderId="77" xfId="140" applyFont="1" applyFill="1" applyBorder="1" applyAlignment="1">
      <alignment horizontal="center" vertical="center"/>
    </xf>
    <xf numFmtId="0" fontId="287" fillId="102" borderId="46" xfId="0" applyFont="1" applyFill="1" applyBorder="1" applyAlignment="1">
      <alignment horizontal="center" vertical="center" textRotation="255" wrapText="1"/>
    </xf>
    <xf numFmtId="0" fontId="287" fillId="102" borderId="47" xfId="0" applyFont="1" applyFill="1" applyBorder="1" applyAlignment="1">
      <alignment horizontal="center" vertical="center" textRotation="255" wrapText="1"/>
    </xf>
    <xf numFmtId="0" fontId="287" fillId="102" borderId="48" xfId="0" applyFont="1" applyFill="1" applyBorder="1" applyAlignment="1">
      <alignment horizontal="center" vertical="center" textRotation="255" wrapText="1"/>
    </xf>
    <xf numFmtId="41" fontId="0" fillId="0" borderId="71" xfId="0" applyNumberFormat="1" applyBorder="1" applyAlignment="1">
      <alignment horizontal="center" vertical="center"/>
    </xf>
    <xf numFmtId="41" fontId="0" fillId="0" borderId="54" xfId="0" applyNumberFormat="1" applyBorder="1" applyAlignment="1">
      <alignment horizontal="center" vertical="center"/>
    </xf>
    <xf numFmtId="41" fontId="0" fillId="0" borderId="75" xfId="0" applyNumberFormat="1" applyBorder="1" applyAlignment="1">
      <alignment horizontal="center" vertical="center"/>
    </xf>
    <xf numFmtId="0" fontId="287" fillId="71" borderId="46" xfId="0" applyFont="1" applyFill="1" applyBorder="1" applyAlignment="1">
      <alignment horizontal="center" vertical="center" textRotation="255" wrapText="1"/>
    </xf>
    <xf numFmtId="0" fontId="287" fillId="71" borderId="47" xfId="0" applyFont="1" applyFill="1" applyBorder="1" applyAlignment="1">
      <alignment horizontal="center" vertical="center" textRotation="255" wrapText="1"/>
    </xf>
    <xf numFmtId="0" fontId="287" fillId="71" borderId="17" xfId="0" applyFont="1" applyFill="1" applyBorder="1" applyAlignment="1">
      <alignment horizontal="center" vertical="center" textRotation="255" wrapText="1"/>
    </xf>
    <xf numFmtId="0" fontId="287" fillId="71" borderId="48" xfId="0" applyFont="1" applyFill="1" applyBorder="1" applyAlignment="1">
      <alignment horizontal="center" vertical="center" textRotation="255" wrapText="1"/>
    </xf>
    <xf numFmtId="0" fontId="215" fillId="72" borderId="20" xfId="140" applyFont="1" applyFill="1" applyBorder="1" applyAlignment="1">
      <alignment horizontal="center" vertical="center"/>
    </xf>
    <xf numFmtId="0" fontId="215" fillId="72" borderId="28" xfId="140" applyFont="1" applyFill="1" applyBorder="1" applyAlignment="1">
      <alignment horizontal="center" vertical="center"/>
    </xf>
    <xf numFmtId="0" fontId="215" fillId="113" borderId="20" xfId="140" applyFont="1" applyFill="1" applyBorder="1" applyAlignment="1">
      <alignment horizontal="center" vertical="center"/>
    </xf>
    <xf numFmtId="0" fontId="215" fillId="113" borderId="15" xfId="140" applyFont="1" applyFill="1" applyBorder="1" applyAlignment="1">
      <alignment horizontal="center" vertical="center"/>
    </xf>
    <xf numFmtId="0" fontId="215" fillId="113" borderId="28" xfId="140" applyFont="1" applyFill="1" applyBorder="1" applyAlignment="1">
      <alignment horizontal="center" vertical="center"/>
    </xf>
    <xf numFmtId="0" fontId="215" fillId="70" borderId="20" xfId="140" applyFont="1" applyFill="1" applyBorder="1" applyAlignment="1">
      <alignment horizontal="center" vertical="center"/>
    </xf>
    <xf numFmtId="0" fontId="215" fillId="70" borderId="28" xfId="140" applyFont="1" applyFill="1" applyBorder="1" applyAlignment="1">
      <alignment horizontal="center" vertical="center"/>
    </xf>
    <xf numFmtId="41" fontId="189" fillId="69" borderId="71" xfId="0" applyNumberFormat="1" applyFont="1" applyFill="1" applyBorder="1" applyAlignment="1">
      <alignment horizontal="center" vertical="center"/>
    </xf>
    <xf numFmtId="41" fontId="189" fillId="69" borderId="54" xfId="0" applyNumberFormat="1" applyFont="1" applyFill="1" applyBorder="1" applyAlignment="1">
      <alignment horizontal="center" vertical="center"/>
    </xf>
    <xf numFmtId="0" fontId="215" fillId="82" borderId="22" xfId="140" applyFont="1" applyFill="1" applyBorder="1" applyAlignment="1">
      <alignment horizontal="center" vertical="center"/>
    </xf>
    <xf numFmtId="0" fontId="215" fillId="82" borderId="66" xfId="140" applyFont="1" applyFill="1" applyBorder="1" applyAlignment="1">
      <alignment horizontal="center" vertical="center"/>
    </xf>
    <xf numFmtId="0" fontId="215" fillId="69" borderId="20" xfId="140" applyFont="1" applyFill="1" applyBorder="1" applyAlignment="1">
      <alignment horizontal="center" vertical="center"/>
    </xf>
    <xf numFmtId="0" fontId="215" fillId="69" borderId="15" xfId="140" applyFont="1" applyFill="1" applyBorder="1" applyAlignment="1">
      <alignment horizontal="center" vertical="center"/>
    </xf>
    <xf numFmtId="0" fontId="215" fillId="69" borderId="28" xfId="140" applyFont="1" applyFill="1" applyBorder="1" applyAlignment="1">
      <alignment horizontal="center" vertical="center"/>
    </xf>
    <xf numFmtId="0" fontId="215" fillId="113" borderId="22" xfId="140" applyFont="1" applyFill="1" applyBorder="1" applyAlignment="1">
      <alignment horizontal="center" vertical="center"/>
    </xf>
    <xf numFmtId="0" fontId="215" fillId="113" borderId="66" xfId="140" applyFont="1" applyFill="1" applyBorder="1" applyAlignment="1">
      <alignment horizontal="center" vertical="center"/>
    </xf>
    <xf numFmtId="41" fontId="189" fillId="69" borderId="46" xfId="0" applyNumberFormat="1" applyFont="1" applyFill="1" applyBorder="1" applyAlignment="1">
      <alignment horizontal="center" vertical="center"/>
    </xf>
    <xf numFmtId="41" fontId="189" fillId="69" borderId="47" xfId="0" applyNumberFormat="1" applyFont="1" applyFill="1" applyBorder="1" applyAlignment="1">
      <alignment horizontal="center" vertical="center"/>
    </xf>
    <xf numFmtId="41" fontId="189" fillId="69" borderId="48" xfId="0" applyNumberFormat="1" applyFont="1" applyFill="1" applyBorder="1" applyAlignment="1">
      <alignment horizontal="center" vertical="center"/>
    </xf>
    <xf numFmtId="41" fontId="189" fillId="69" borderId="70" xfId="0" applyNumberFormat="1" applyFont="1" applyFill="1" applyBorder="1" applyAlignment="1">
      <alignment horizontal="center" vertical="center"/>
    </xf>
    <xf numFmtId="41" fontId="189" fillId="69" borderId="50" xfId="0" applyNumberFormat="1" applyFont="1" applyFill="1" applyBorder="1" applyAlignment="1">
      <alignment horizontal="center" vertical="center"/>
    </xf>
    <xf numFmtId="41" fontId="189" fillId="69" borderId="53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87" fillId="0" borderId="46" xfId="0" applyFont="1" applyBorder="1" applyAlignment="1">
      <alignment horizontal="center" vertical="center" textRotation="255" wrapText="1"/>
    </xf>
    <xf numFmtId="0" fontId="287" fillId="0" borderId="47" xfId="0" applyFont="1" applyBorder="1" applyAlignment="1">
      <alignment horizontal="center" vertical="center" textRotation="255" wrapText="1"/>
    </xf>
    <xf numFmtId="0" fontId="287" fillId="0" borderId="48" xfId="0" applyFont="1" applyBorder="1" applyAlignment="1">
      <alignment horizontal="center" vertical="center" textRotation="255" wrapText="1"/>
    </xf>
    <xf numFmtId="0" fontId="287" fillId="102" borderId="54" xfId="0" applyFont="1" applyFill="1" applyBorder="1" applyAlignment="1">
      <alignment horizontal="center" vertical="center" textRotation="255" wrapText="1"/>
    </xf>
    <xf numFmtId="0" fontId="215" fillId="117" borderId="66" xfId="140" applyFont="1" applyFill="1" applyBorder="1" applyAlignment="1">
      <alignment horizontal="center" vertical="center"/>
    </xf>
    <xf numFmtId="0" fontId="215" fillId="117" borderId="77" xfId="140" applyFont="1" applyFill="1" applyBorder="1" applyAlignment="1">
      <alignment horizontal="center" vertical="center"/>
    </xf>
    <xf numFmtId="0" fontId="215" fillId="71" borderId="20" xfId="140" applyFont="1" applyFill="1" applyBorder="1" applyAlignment="1">
      <alignment horizontal="center" vertical="center"/>
    </xf>
    <xf numFmtId="0" fontId="215" fillId="71" borderId="15" xfId="140" applyFont="1" applyFill="1" applyBorder="1" applyAlignment="1">
      <alignment horizontal="center" vertical="center"/>
    </xf>
    <xf numFmtId="0" fontId="215" fillId="71" borderId="28" xfId="140" applyFont="1" applyFill="1" applyBorder="1" applyAlignment="1">
      <alignment horizontal="center" vertical="center"/>
    </xf>
    <xf numFmtId="0" fontId="215" fillId="69" borderId="57" xfId="140" applyFont="1" applyFill="1" applyBorder="1" applyAlignment="1">
      <alignment horizontal="center" vertical="center"/>
    </xf>
    <xf numFmtId="0" fontId="215" fillId="71" borderId="22" xfId="140" applyFont="1" applyFill="1" applyBorder="1" applyAlignment="1">
      <alignment horizontal="center" vertical="center" wrapText="1"/>
    </xf>
    <xf numFmtId="0" fontId="215" fillId="71" borderId="66" xfId="140" applyFont="1" applyFill="1" applyBorder="1" applyAlignment="1">
      <alignment horizontal="center" vertical="center" wrapText="1"/>
    </xf>
    <xf numFmtId="0" fontId="215" fillId="71" borderId="77" xfId="140" applyFont="1" applyFill="1" applyBorder="1" applyAlignment="1">
      <alignment horizontal="center" vertical="center" wrapText="1"/>
    </xf>
    <xf numFmtId="0" fontId="215" fillId="69" borderId="22" xfId="140" applyFont="1" applyFill="1" applyBorder="1" applyAlignment="1">
      <alignment horizontal="center" vertical="center" wrapText="1"/>
    </xf>
    <xf numFmtId="0" fontId="215" fillId="69" borderId="66" xfId="140" applyFont="1" applyFill="1" applyBorder="1" applyAlignment="1">
      <alignment horizontal="center" vertical="center" wrapText="1"/>
    </xf>
    <xf numFmtId="0" fontId="215" fillId="69" borderId="20" xfId="140" applyFont="1" applyFill="1" applyBorder="1" applyAlignment="1">
      <alignment horizontal="center" vertical="center" wrapText="1"/>
    </xf>
    <xf numFmtId="0" fontId="215" fillId="69" borderId="28" xfId="140" applyFont="1" applyFill="1" applyBorder="1" applyAlignment="1">
      <alignment horizontal="center" vertical="center" wrapText="1"/>
    </xf>
    <xf numFmtId="0" fontId="215" fillId="113" borderId="77" xfId="140" applyFont="1" applyFill="1" applyBorder="1" applyAlignment="1">
      <alignment horizontal="center" vertical="center"/>
    </xf>
    <xf numFmtId="0" fontId="215" fillId="82" borderId="77" xfId="140" applyFont="1" applyFill="1" applyBorder="1" applyAlignment="1">
      <alignment horizontal="center" vertical="center"/>
    </xf>
    <xf numFmtId="0" fontId="215" fillId="97" borderId="20" xfId="140" applyFont="1" applyFill="1" applyBorder="1" applyAlignment="1">
      <alignment horizontal="center" vertical="center"/>
    </xf>
    <xf numFmtId="0" fontId="215" fillId="97" borderId="15" xfId="140" applyFont="1" applyFill="1" applyBorder="1" applyAlignment="1">
      <alignment horizontal="center" vertical="center"/>
    </xf>
    <xf numFmtId="0" fontId="215" fillId="97" borderId="56" xfId="140" applyFont="1" applyFill="1" applyBorder="1" applyAlignment="1">
      <alignment horizontal="center" vertical="center"/>
    </xf>
    <xf numFmtId="0" fontId="215" fillId="109" borderId="22" xfId="140" applyFont="1" applyFill="1" applyBorder="1" applyAlignment="1">
      <alignment horizontal="center" vertical="center"/>
    </xf>
    <xf numFmtId="0" fontId="215" fillId="109" borderId="66" xfId="140" applyFont="1" applyFill="1" applyBorder="1" applyAlignment="1">
      <alignment horizontal="center" vertical="center"/>
    </xf>
    <xf numFmtId="0" fontId="215" fillId="69" borderId="77" xfId="140" applyFont="1" applyFill="1" applyBorder="1" applyAlignment="1">
      <alignment horizontal="center" vertical="center" wrapText="1"/>
    </xf>
    <xf numFmtId="0" fontId="215" fillId="71" borderId="66" xfId="140" applyFont="1" applyFill="1" applyBorder="1" applyAlignment="1">
      <alignment horizontal="center" vertical="center"/>
    </xf>
    <xf numFmtId="0" fontId="215" fillId="71" borderId="77" xfId="140" applyFont="1" applyFill="1" applyBorder="1" applyAlignment="1">
      <alignment horizontal="center" vertical="center"/>
    </xf>
    <xf numFmtId="0" fontId="215" fillId="69" borderId="15" xfId="140" applyFont="1" applyFill="1" applyBorder="1" applyAlignment="1">
      <alignment horizontal="center" vertical="center" wrapText="1"/>
    </xf>
    <xf numFmtId="0" fontId="215" fillId="69" borderId="56" xfId="140" applyFont="1" applyFill="1" applyBorder="1" applyAlignment="1">
      <alignment horizontal="center" vertical="center" wrapText="1"/>
    </xf>
    <xf numFmtId="0" fontId="215" fillId="72" borderId="22" xfId="140" applyFont="1" applyFill="1" applyBorder="1" applyAlignment="1">
      <alignment horizontal="center" vertical="center"/>
    </xf>
    <xf numFmtId="0" fontId="215" fillId="72" borderId="66" xfId="140" applyFont="1" applyFill="1" applyBorder="1" applyAlignment="1">
      <alignment horizontal="center" vertical="center"/>
    </xf>
    <xf numFmtId="0" fontId="215" fillId="72" borderId="77" xfId="140" applyFont="1" applyFill="1" applyBorder="1" applyAlignment="1">
      <alignment horizontal="center" vertical="center"/>
    </xf>
    <xf numFmtId="0" fontId="215" fillId="97" borderId="57" xfId="140" applyFont="1" applyFill="1" applyBorder="1" applyAlignment="1">
      <alignment horizontal="center" vertical="center" wrapText="1"/>
    </xf>
    <xf numFmtId="0" fontId="189" fillId="69" borderId="48" xfId="0" applyFont="1" applyFill="1" applyBorder="1" applyAlignment="1">
      <alignment horizontal="center" vertical="center"/>
    </xf>
    <xf numFmtId="0" fontId="189" fillId="69" borderId="54" xfId="0" applyFont="1" applyFill="1" applyBorder="1" applyAlignment="1">
      <alignment horizontal="center" vertical="center"/>
    </xf>
    <xf numFmtId="41" fontId="0" fillId="72" borderId="46" xfId="0" applyNumberFormat="1" applyFill="1" applyBorder="1" applyAlignment="1">
      <alignment horizontal="center" vertical="center"/>
    </xf>
    <xf numFmtId="41" fontId="0" fillId="72" borderId="48" xfId="0" applyNumberFormat="1" applyFill="1" applyBorder="1" applyAlignment="1">
      <alignment horizontal="center" vertical="center"/>
    </xf>
    <xf numFmtId="0" fontId="229" fillId="0" borderId="86" xfId="128" applyFont="1" applyBorder="1" applyAlignment="1">
      <alignment horizontal="center" vertical="center"/>
    </xf>
    <xf numFmtId="0" fontId="229" fillId="0" borderId="87" xfId="128" applyFont="1" applyBorder="1" applyAlignment="1">
      <alignment horizontal="center" vertical="center"/>
    </xf>
    <xf numFmtId="0" fontId="256" fillId="98" borderId="88" xfId="128" applyFont="1" applyFill="1" applyBorder="1" applyAlignment="1">
      <alignment horizontal="center" vertical="center"/>
    </xf>
    <xf numFmtId="0" fontId="256" fillId="98" borderId="90" xfId="128" applyFont="1" applyFill="1" applyBorder="1" applyAlignment="1">
      <alignment horizontal="center" vertical="center"/>
    </xf>
    <xf numFmtId="0" fontId="256" fillId="98" borderId="29" xfId="128" applyFont="1" applyFill="1" applyBorder="1" applyAlignment="1">
      <alignment horizontal="center" vertical="center"/>
    </xf>
    <xf numFmtId="0" fontId="203" fillId="0" borderId="91" xfId="128" applyFont="1" applyBorder="1" applyAlignment="1">
      <alignment horizontal="center" vertical="center"/>
    </xf>
    <xf numFmtId="0" fontId="203" fillId="0" borderId="37" xfId="128" applyFont="1" applyBorder="1" applyAlignment="1">
      <alignment horizontal="center" vertical="center"/>
    </xf>
    <xf numFmtId="0" fontId="203" fillId="0" borderId="24" xfId="128" applyFont="1" applyBorder="1" applyAlignment="1">
      <alignment horizontal="center" vertical="center"/>
    </xf>
    <xf numFmtId="204" fontId="231" fillId="97" borderId="108" xfId="128" applyNumberFormat="1" applyFont="1" applyFill="1" applyBorder="1" applyAlignment="1">
      <alignment horizontal="center" vertical="center"/>
    </xf>
    <xf numFmtId="204" fontId="231" fillId="97" borderId="2" xfId="128" applyNumberFormat="1" applyFont="1" applyFill="1" applyBorder="1" applyAlignment="1">
      <alignment horizontal="center" vertical="center"/>
    </xf>
    <xf numFmtId="204" fontId="231" fillId="97" borderId="14" xfId="128" applyNumberFormat="1" applyFont="1" applyFill="1" applyBorder="1" applyAlignment="1">
      <alignment horizontal="center" vertical="center"/>
    </xf>
    <xf numFmtId="204" fontId="203" fillId="97" borderId="15" xfId="128" applyNumberFormat="1" applyFont="1" applyFill="1" applyBorder="1" applyAlignment="1">
      <alignment horizontal="center" vertical="center"/>
    </xf>
    <xf numFmtId="204" fontId="203" fillId="97" borderId="3" xfId="128" applyNumberFormat="1" applyFont="1" applyFill="1" applyBorder="1" applyAlignment="1">
      <alignment horizontal="center" vertical="center"/>
    </xf>
    <xf numFmtId="204" fontId="231" fillId="97" borderId="89" xfId="128" applyNumberFormat="1" applyFont="1" applyFill="1" applyBorder="1" applyAlignment="1">
      <alignment horizontal="center" vertical="center"/>
    </xf>
    <xf numFmtId="204" fontId="231" fillId="97" borderId="40" xfId="128" applyNumberFormat="1" applyFont="1" applyFill="1" applyBorder="1" applyAlignment="1">
      <alignment horizontal="center" vertical="center"/>
    </xf>
    <xf numFmtId="204" fontId="231" fillId="97" borderId="25" xfId="128" applyNumberFormat="1" applyFont="1" applyFill="1" applyBorder="1" applyAlignment="1">
      <alignment horizontal="center" vertical="center"/>
    </xf>
    <xf numFmtId="0" fontId="203" fillId="0" borderId="52" xfId="128" applyFont="1" applyBorder="1" applyAlignment="1">
      <alignment horizontal="center" vertical="center"/>
    </xf>
  </cellXfs>
  <cellStyles count="3939">
    <cellStyle name=" " xfId="160" xr:uid="{00000000-0005-0000-0000-000000000000}"/>
    <cellStyle name="          _x000d__x000a_386grabber=vga.3gr_x000d__x000a_" xfId="161" xr:uid="{00000000-0005-0000-0000-000001000000}"/>
    <cellStyle name="          _x000d__x000a_mouse.drv=lmouse.drv" xfId="162" xr:uid="{00000000-0005-0000-0000-000002000000}"/>
    <cellStyle name="      Ƥ   _x000d__x000a_mouse.drv=lmouse.drv" xfId="3809" xr:uid="{D23FF14D-3A1F-4423-8864-0E69B1DAB0E3}"/>
    <cellStyle name=" bolted" xfId="163" xr:uid="{00000000-0005-0000-0000-000003000000}"/>
    <cellStyle name=" FY96" xfId="164" xr:uid="{00000000-0005-0000-0000-000004000000}"/>
    <cellStyle name=" Log" xfId="165" xr:uid="{00000000-0005-0000-0000-000005000000}"/>
    <cellStyle name="_x000d__x000a_mouse.drv=lmouse.drv" xfId="3810" xr:uid="{19368E3C-89F7-43AA-925E-A91EA0B371CA}"/>
    <cellStyle name="#,##0" xfId="166" xr:uid="{00000000-0005-0000-0000-000006000000}"/>
    <cellStyle name="#.0" xfId="167" xr:uid="{00000000-0005-0000-0000-000007000000}"/>
    <cellStyle name="&amp;A" xfId="168" xr:uid="{00000000-0005-0000-0000-000008000000}"/>
    <cellStyle name=")" xfId="169" xr:uid="{00000000-0005-0000-0000-000009000000}"/>
    <cellStyle name=")omma_9월경비 (2)_97회비 (2)_1월회비내역ͬ(2)" xfId="170" xr:uid="{00000000-0005-0000-0000-00000A000000}"/>
    <cellStyle name=".0" xfId="171" xr:uid="{00000000-0005-0000-0000-00000B000000}"/>
    <cellStyle name="?? [0.00]_PRODUCT DETAIL Q1" xfId="172" xr:uid="{00000000-0005-0000-0000-00000C000000}"/>
    <cellStyle name="?? [0]_??" xfId="173" xr:uid="{00000000-0005-0000-0000-00000D000000}"/>
    <cellStyle name="??_x000c_蕓&quot;_x000d_婦U_x0001_&quot;_x0004_?_x0007__x0001__x0001_" xfId="3811" xr:uid="{F73BAFEA-58AF-4309-B1BB-38220314B883}"/>
    <cellStyle name="??_x000c_蕓&quot;_x000d_婦U_x0001_h_x0005__x0009__x000f__x0007__x0001__x0001_" xfId="3812" xr:uid="{5B4B9FEC-8A96-4A45-9B82-7FABADB66D4D}"/>
    <cellStyle name="??&amp;O?&amp;H?_x0001_" xfId="174" xr:uid="{00000000-0005-0000-0000-00000E000000}"/>
    <cellStyle name="??&amp;O?&amp;H?_x0008__x000f__x0007_?_x0007__x0001__x0001_" xfId="1" xr:uid="{00000000-0005-0000-0000-00000F000000}"/>
    <cellStyle name="??&amp;O?&amp;H?_x0008_??_x0007__x0001__x0001_" xfId="2" xr:uid="{00000000-0005-0000-0000-000010000000}"/>
    <cellStyle name="??&amp;O?&amp;H?_x0008__x000f__x0007_?_x0007__x0001__x0001__10.11.30 포장비 산정 기준자료" xfId="175" xr:uid="{00000000-0005-0000-0000-000011000000}"/>
    <cellStyle name="???­ [0]_???¾???¤ " xfId="176" xr:uid="{00000000-0005-0000-0000-000012000000}"/>
    <cellStyle name="???? [0.00]_PRODUCT DETAIL Q1" xfId="177" xr:uid="{00000000-0005-0000-0000-000013000000}"/>
    <cellStyle name="????_PRODUCT DETAIL Q1" xfId="178" xr:uid="{00000000-0005-0000-0000-000014000000}"/>
    <cellStyle name="???­_???¾???¤ " xfId="179" xr:uid="{00000000-0005-0000-0000-000015000000}"/>
    <cellStyle name="???Ø_????º?(º?¼­º°,°??¤º°) " xfId="180" xr:uid="{00000000-0005-0000-0000-000016000000}"/>
    <cellStyle name="??_??" xfId="181" xr:uid="{00000000-0005-0000-0000-000017000000}"/>
    <cellStyle name="?”´?_REV3 " xfId="182" xr:uid="{00000000-0005-0000-0000-000018000000}"/>
    <cellStyle name="?Ⅱ_x001b__x0005_@?" xfId="183" xr:uid="{00000000-0005-0000-0000-000019000000}"/>
    <cellStyle name="?Ⅱ_x001b__x0005_@? 2" xfId="184" xr:uid="{00000000-0005-0000-0000-00001A000000}"/>
    <cellStyle name="?Ⅱ_x001b__x0005_@? 2 2" xfId="185" xr:uid="{00000000-0005-0000-0000-00001B000000}"/>
    <cellStyle name="?Ⅱ_x001b__x0005_@? 2 3" xfId="186" xr:uid="{00000000-0005-0000-0000-00001C000000}"/>
    <cellStyle name="?Ⅱ_x001b__x0005_@? 3" xfId="187" xr:uid="{00000000-0005-0000-0000-00001D000000}"/>
    <cellStyle name="?Ⅱ_x001b__x0005_@? 3 2" xfId="188" xr:uid="{00000000-0005-0000-0000-00001E000000}"/>
    <cellStyle name="?Ⅱ_x001b__x0005_@? 4" xfId="189" xr:uid="{00000000-0005-0000-0000-00001F000000}"/>
    <cellStyle name="?Ⅱ_x001b__x0005_@? 4 2" xfId="190" xr:uid="{00000000-0005-0000-0000-000020000000}"/>
    <cellStyle name="?Ⅱ_x001b__x0005_@? 5" xfId="191" xr:uid="{00000000-0005-0000-0000-000021000000}"/>
    <cellStyle name="?Ⅱ_x001b__x0005_@?_○사내기계경비 101123" xfId="192" xr:uid="{00000000-0005-0000-0000-000022000000}"/>
    <cellStyle name="?Þ¸¶ [0]_???¾???¤ " xfId="193" xr:uid="{00000000-0005-0000-0000-000023000000}"/>
    <cellStyle name="?Þ¸¶,_x0005__x0014_" xfId="194" xr:uid="{00000000-0005-0000-0000-000024000000}"/>
    <cellStyle name="?Þ¸¶_???¾???¤ " xfId="195" xr:uid="{00000000-0005-0000-0000-000025000000}"/>
    <cellStyle name="?W?_laroux" xfId="196" xr:uid="{00000000-0005-0000-0000-000026000000}"/>
    <cellStyle name="_(020905)와이어링 원가계산서(1)" xfId="197" xr:uid="{00000000-0005-0000-0000-000027000000}"/>
    <cellStyle name="_~att1A01" xfId="198" xr:uid="{00000000-0005-0000-0000-000028000000}"/>
    <cellStyle name="_~att3A2F" xfId="3813" xr:uid="{CDF299BA-D01E-4455-B63F-C1EA7558C5BA}"/>
    <cellStyle name="_~att3A2F_A100PREPROTO일정7월18일" xfId="3814" xr:uid="{48A12019-61BA-462C-8462-DBD642D02449}"/>
    <cellStyle name="_~att3A2F_A100선행투자비(4월)_시작팀(총괄)" xfId="3815" xr:uid="{2864BE95-DADC-4181-A1E2-A974CECEFF47}"/>
    <cellStyle name="_010318-LC환율연동조정-0401적용" xfId="199" xr:uid="{00000000-0005-0000-0000-000029000000}"/>
    <cellStyle name="_01년2월실적(혁신)" xfId="3816" xr:uid="{6ECD976E-CB50-4B43-BC97-4D1A1C7816F7}"/>
    <cellStyle name="_031010-분기결산_03" xfId="200" xr:uid="{00000000-0005-0000-0000-00002A000000}"/>
    <cellStyle name="_031126-씨멘스vdo한라" xfId="201" xr:uid="{00000000-0005-0000-0000-00002B000000}"/>
    <cellStyle name="_0403경영회의(자동차)" xfId="3" xr:uid="{00000000-0005-0000-0000-00002C000000}"/>
    <cellStyle name="_041105-Kwang Nam" xfId="202" xr:uid="{00000000-0005-0000-0000-00002D000000}"/>
    <cellStyle name="_041105-Kwang Nam_1" xfId="203" xr:uid="{00000000-0005-0000-0000-00002E000000}"/>
    <cellStyle name="_041117-중국수입 업무분장안_백철승" xfId="204" xr:uid="{00000000-0005-0000-0000-00002F000000}"/>
    <cellStyle name="_06월 매출현황" xfId="205" xr:uid="{00000000-0005-0000-0000-000030000000}"/>
    <cellStyle name="_07.07.25 HSAA향 소모품22종  물류비 산정의(건)" xfId="4" xr:uid="{00000000-0005-0000-0000-000031000000}"/>
    <cellStyle name="_07.11.21 지그 체커류 및 설비부품 판매금액 산정의건" xfId="5" xr:uid="{00000000-0005-0000-0000-000032000000}"/>
    <cellStyle name="_07_1118_Y200의장" xfId="3817" xr:uid="{9D185859-89F4-42F8-AAC0-DB834194C774}"/>
    <cellStyle name="_090730_HA OUTER BELT 수출판가 견적안_우영기준" xfId="206" xr:uid="{00000000-0005-0000-0000-000033000000}"/>
    <cellStyle name="_091004-Samyang Vietam" xfId="207" xr:uid="{00000000-0005-0000-0000-000034000000}"/>
    <cellStyle name="_091004-Samyang Vietam_1" xfId="208" xr:uid="{00000000-0005-0000-0000-000035000000}"/>
    <cellStyle name="_0K74T 26 44X" xfId="209" xr:uid="{00000000-0005-0000-0000-000036000000}"/>
    <cellStyle name="_1" xfId="210" xr:uid="{00000000-0005-0000-0000-000037000000}"/>
    <cellStyle name="_10. 생산공정관리★" xfId="211" xr:uid="{00000000-0005-0000-0000-000038000000}"/>
    <cellStyle name="_1029견적요청서(PAD)" xfId="212" xr:uid="{00000000-0005-0000-0000-000039000000}"/>
    <cellStyle name="_10월 매출현황(확정)" xfId="213" xr:uid="{00000000-0005-0000-0000-00003A000000}"/>
    <cellStyle name="_10월마감(OEM)" xfId="214" xr:uid="{00000000-0005-0000-0000-00003B000000}"/>
    <cellStyle name="_10월소급분마감(OEM)" xfId="215" xr:uid="{00000000-0005-0000-0000-00003C000000}"/>
    <cellStyle name="_10월시행계획(정과장송부)" xfId="3818" xr:uid="{F01FCBEB-A24E-4ED4-881A-F2C0F82FD451}"/>
    <cellStyle name="_10월실적_의장 " xfId="3819" xr:uid="{9F1513BE-DC61-4D57-A527-91A14C256FD2}"/>
    <cellStyle name="_11. 제조설비관리★★" xfId="216" xr:uid="{00000000-0005-0000-0000-00003D000000}"/>
    <cellStyle name="_1102" xfId="3820" xr:uid="{8664E4EA-D259-446B-95EA-F7B619EF7649}"/>
    <cellStyle name="_11월 판매물류(OEM)단가수정까지" xfId="217" xr:uid="{00000000-0005-0000-0000-00003E000000}"/>
    <cellStyle name="_1214" xfId="218" xr:uid="{00000000-0005-0000-0000-00003F000000}"/>
    <cellStyle name="_12월 영업(판매물류)" xfId="219" xr:uid="{00000000-0005-0000-0000-000040000000}"/>
    <cellStyle name="_12월포장BOX산정" xfId="220" xr:uid="{00000000-0005-0000-0000-000041000000}"/>
    <cellStyle name="_130306-FREETRAND(SMART)" xfId="221" xr:uid="{00000000-0005-0000-0000-000042000000}"/>
    <cellStyle name="_14. 제조설비관리★★" xfId="222" xr:uid="{00000000-0005-0000-0000-000043000000}"/>
    <cellStyle name="_1월마감(판매물류)" xfId="223" xr:uid="{00000000-0005-0000-0000-000044000000}"/>
    <cellStyle name="_2" xfId="224" xr:uid="{00000000-0005-0000-0000-000045000000}"/>
    <cellStyle name="_2.1.기간별 투자계획(3.7)" xfId="225" xr:uid="{00000000-0005-0000-0000-000046000000}"/>
    <cellStyle name="_2001CAPA물량조정안" xfId="226" xr:uid="{00000000-0005-0000-0000-000047000000}"/>
    <cellStyle name="_2001구동부수정사업계획(010409)" xfId="227" xr:uid="{00000000-0005-0000-0000-000048000000}"/>
    <cellStyle name="_2001압출CAPA-1" xfId="6" xr:uid="{00000000-0005-0000-0000-000049000000}"/>
    <cellStyle name="_2002년사업계획서 전체분작업계속중" xfId="228" xr:uid="{00000000-0005-0000-0000-00004A000000}"/>
    <cellStyle name="_20040525-EX2 PERCEIVED QUALITY 관련" xfId="229" xr:uid="{00000000-0005-0000-0000-00004B000000}"/>
    <cellStyle name="_20041211 TG 견적 ASSY HOOD 원가 KJH R1" xfId="230" xr:uid="{00000000-0005-0000-0000-00004C000000}"/>
    <cellStyle name="_2007년 2월 HP 금액" xfId="231" xr:uid="{00000000-0005-0000-0000-00004D000000}"/>
    <cellStyle name="_20080821접수견적(발송)" xfId="232" xr:uid="{00000000-0005-0000-0000-00004E000000}"/>
    <cellStyle name="_21. 모니터링,측정⊙" xfId="233" xr:uid="{00000000-0005-0000-0000-00004F000000}"/>
    <cellStyle name="_2-2Mk가격2-2(현지화)" xfId="3821" xr:uid="{A2EEEE89-A382-4D1B-BABD-BD23D33A84A5}"/>
    <cellStyle name="_26120050_SGM201LZD_DELPHI_채산원가(수벤딩기준)_20050601" xfId="234" xr:uid="{00000000-0005-0000-0000-000050000000}"/>
    <cellStyle name="_28150-42751-견적-031104" xfId="235" xr:uid="{00000000-0005-0000-0000-000051000000}"/>
    <cellStyle name="_28160-4X611-견적-031104" xfId="236" xr:uid="{00000000-0005-0000-0000-000052000000}"/>
    <cellStyle name="_28162-4X601(031124)-설원비교" xfId="237" xr:uid="{00000000-0005-0000-0000-000053000000}"/>
    <cellStyle name="_28170-4X600-IC-031108" xfId="238" xr:uid="{00000000-0005-0000-0000-000054000000}"/>
    <cellStyle name="_28170-4X610-견적-031104" xfId="239" xr:uid="{00000000-0005-0000-0000-000055000000}"/>
    <cellStyle name="_28250-2A401-비교원가-050429" xfId="240" xr:uid="{00000000-0005-0000-0000-000056000000}"/>
    <cellStyle name="_28914-26640견적" xfId="241" xr:uid="{00000000-0005-0000-0000-000057000000}"/>
    <cellStyle name="_29050-3Y740PCSV견적(0922)" xfId="242" xr:uid="{00000000-0005-0000-0000-000058000000}"/>
    <cellStyle name="_2월 판매물류확정" xfId="243" xr:uid="{00000000-0005-0000-0000-000059000000}"/>
    <cellStyle name="_2월 해외사업 마감 및 소급" xfId="244" xr:uid="{00000000-0005-0000-0000-00005A000000}"/>
    <cellStyle name="_2월마감(판매물류)" xfId="245" xr:uid="{00000000-0005-0000-0000-00005B000000}"/>
    <cellStyle name="_31201-3E230-비교-040731" xfId="246" xr:uid="{00000000-0005-0000-0000-00005C000000}"/>
    <cellStyle name="_3사00.1-7월" xfId="3822" xr:uid="{73945841-C78D-447A-A493-5EAB9C6E7351}"/>
    <cellStyle name="_3월 마감 리스트(판매물류)-확정" xfId="247" xr:uid="{00000000-0005-0000-0000-00005D000000}"/>
    <cellStyle name="_3월마감(판매물류)" xfId="248" xr:uid="{00000000-0005-0000-0000-00005E000000}"/>
    <cellStyle name="_4" xfId="249" xr:uid="{00000000-0005-0000-0000-00005F000000}"/>
    <cellStyle name="_41630_17598_FC_U1.5_MODULE화_비교원가_20041101" xfId="250" xr:uid="{00000000-0005-0000-0000-000060000000}"/>
    <cellStyle name="_4월 매출현황(확정)" xfId="251" xr:uid="{00000000-0005-0000-0000-000061000000}"/>
    <cellStyle name="_4월 판매물류" xfId="252" xr:uid="{00000000-0005-0000-0000-000062000000}"/>
    <cellStyle name="_4월마감(전체)" xfId="253" xr:uid="{00000000-0005-0000-0000-000063000000}"/>
    <cellStyle name="_4월마감(판매물류)" xfId="254" xr:uid="{00000000-0005-0000-0000-000064000000}"/>
    <cellStyle name="_4월마감(판매물류)-1" xfId="255" xr:uid="{00000000-0005-0000-0000-000065000000}"/>
    <cellStyle name="_5. 설비관리⊙♣123" xfId="256" xr:uid="{00000000-0005-0000-0000-000066000000}"/>
    <cellStyle name="_54633-1G000입찰견적1031" xfId="257" xr:uid="{00000000-0005-0000-0000-000067000000}"/>
    <cellStyle name="_5스타 평가결과('03(1).1.23)" xfId="258" xr:uid="{00000000-0005-0000-0000-000068000000}"/>
    <cellStyle name="_5월 매출현황(확정)" xfId="259" xr:uid="{00000000-0005-0000-0000-000069000000}"/>
    <cellStyle name="_5월마감(판매물류)" xfId="260" xr:uid="{00000000-0005-0000-0000-00006A000000}"/>
    <cellStyle name="_6월 매출현황-확정" xfId="261" xr:uid="{00000000-0005-0000-0000-00006B000000}"/>
    <cellStyle name="_6월 판매물류(가단가소급포함)" xfId="262" xr:uid="{00000000-0005-0000-0000-00006C000000}"/>
    <cellStyle name="_6월판매물류(확정)080704" xfId="263" xr:uid="{00000000-0005-0000-0000-00006D000000}"/>
    <cellStyle name="_7월 판매물류-소급포함" xfId="264" xr:uid="{00000000-0005-0000-0000-00006E000000}"/>
    <cellStyle name="_7월마감(OEM)" xfId="265" xr:uid="{00000000-0005-0000-0000-00006F000000}"/>
    <cellStyle name="_83110-3D400-N3820669" xfId="266" xr:uid="{00000000-0005-0000-0000-000070000000}"/>
    <cellStyle name="_86430 개발원가 050421" xfId="267" xr:uid="{00000000-0005-0000-0000-000071000000}"/>
    <cellStyle name="_86430 개발원가 050426 (송부)" xfId="268" xr:uid="{00000000-0005-0000-0000-000072000000}"/>
    <cellStyle name="_8월 매출현황(확정)" xfId="269" xr:uid="{00000000-0005-0000-0000-000073000000}"/>
    <cellStyle name="_97310-07000-031216" xfId="270" xr:uid="{00000000-0005-0000-0000-000074000000}"/>
    <cellStyle name="_98954124mh" xfId="3823" xr:uid="{9CCD4F74-C117-4810-9D1E-F173772AE80F}"/>
    <cellStyle name="_99650901clstatus" xfId="3824" xr:uid="{4E1AD701-4AE4-435F-A3D6-5D3596DF5844}"/>
    <cellStyle name="_9ct2wjhVUP8s0ZPSbNxjaUl2F" xfId="271" xr:uid="{00000000-0005-0000-0000-000075000000}"/>
    <cellStyle name="_9월 판매물류" xfId="272" xr:uid="{00000000-0005-0000-0000-000076000000}"/>
    <cellStyle name="_9월마감(OEM) (2)" xfId="273" xr:uid="{00000000-0005-0000-0000-000077000000}"/>
    <cellStyle name="_Ⅱ.(1.2.4) 기본계획(박VP 최종1031)" xfId="274" xr:uid="{00000000-0005-0000-0000-000078000000}"/>
    <cellStyle name="_A100_PRE_PROTO_차량제작방안" xfId="3825" xr:uid="{4DF4C6A4-5C7C-4198-9002-CDD5D6FB4270}"/>
    <cellStyle name="_A1004월까지소요예산(2002년4월선행투자품의 반영)" xfId="3826" xr:uid="{6FDC99B7-E866-48D4-A3E1-BC17BE6F7D4B}"/>
    <cellStyle name="_A100PREPROTO_MASTERLIST(7월24일)" xfId="3827" xr:uid="{96322B5C-D10C-435A-B285-2ECFD37E6B11}"/>
    <cellStyle name="_A100PREPROTO일정7월18일" xfId="3828" xr:uid="{11C3066C-52BE-428C-8816-2B132BFD0A2F}"/>
    <cellStyle name="_A100선행투자비(4월)_시작팀(총괄)" xfId="3829" xr:uid="{13CF81D8-0525-4813-A4F3-DEE9EA5AB8DA}"/>
    <cellStyle name="_A100선행투자비(양식)_4월" xfId="3830" xr:uid="{635F1F3B-5FCE-4165-BB99-9065167AADBF}"/>
    <cellStyle name="_A100시작차제작계획" xfId="3831" xr:uid="{5B135793-4095-433B-AF12-FF389BAF980B}"/>
    <cellStyle name="_A100예상투자비(차체샤시)-개발" xfId="3832" xr:uid="{0F85F804-8F53-4B18-8123-E8F67AE2658F}"/>
    <cellStyle name="_A1-M5SR1" xfId="275" xr:uid="{00000000-0005-0000-0000-000079000000}"/>
    <cellStyle name="_A25ENG원단위(1)" xfId="276" xr:uid="{00000000-0005-0000-0000-00007A000000}"/>
    <cellStyle name="_AENG원단위공문" xfId="277" xr:uid="{00000000-0005-0000-0000-00007B000000}"/>
    <cellStyle name="_A-ENG환율조정(011224)" xfId="278" xr:uid="{00000000-0005-0000-0000-00007C000000}"/>
    <cellStyle name="_alt3" xfId="3833" xr:uid="{C9574FF2-D0AE-459B-8A15-EDEA1DA7BE5B}"/>
    <cellStyle name="_AM-WS 양산기준원가 080829" xfId="279" xr:uid="{00000000-0005-0000-0000-00007D000000}"/>
    <cellStyle name="_AP-018-041130" xfId="280" xr:uid="{00000000-0005-0000-0000-00007E000000}"/>
    <cellStyle name="_APP_Summary회의" xfId="3834" xr:uid="{11CD8885-33AA-4624-A808-F1C29C988706}"/>
    <cellStyle name="_APQP금구" xfId="281" xr:uid="{00000000-0005-0000-0000-00007F000000}"/>
    <cellStyle name="_AT HOSE HMC 인정가" xfId="282" xr:uid="{00000000-0005-0000-0000-000080000000}"/>
    <cellStyle name="_BENZ FUEL 5종 051208" xfId="283" xr:uid="{00000000-0005-0000-0000-000081000000}"/>
    <cellStyle name="_BH-바이백(한국 자재 공급)" xfId="284" xr:uid="{00000000-0005-0000-0000-000082000000}"/>
    <cellStyle name="_BK견적(050307)" xfId="285" xr:uid="{00000000-0005-0000-0000-000083000000}"/>
    <cellStyle name="_BL VQ-WS-원가-060215" xfId="286" xr:uid="{00000000-0005-0000-0000-000084000000}"/>
    <cellStyle name="_BL-BH금구- 비교원가" xfId="287" xr:uid="{00000000-0005-0000-0000-000085000000}"/>
    <cellStyle name="_BL-WS-TG-설변비교(030719)" xfId="288" xr:uid="{00000000-0005-0000-0000-000086000000}"/>
    <cellStyle name="_BOM" xfId="289" xr:uid="{00000000-0005-0000-0000-000087000000}"/>
    <cellStyle name="_Book1" xfId="290" xr:uid="{00000000-0005-0000-0000-000088000000}"/>
    <cellStyle name="_Book1_JM인상0602(TB보상)" xfId="291" xr:uid="{00000000-0005-0000-0000-000089000000}"/>
    <cellStyle name="_Book2" xfId="3835" xr:uid="{5E3F707F-EC06-4960-83DC-FA1FFFD67822}"/>
    <cellStyle name="_Book4" xfId="292" xr:uid="{00000000-0005-0000-0000-00008A000000}"/>
    <cellStyle name="_BRKT" xfId="293" xr:uid="{00000000-0005-0000-0000-00008B000000}"/>
    <cellStyle name="_CAPA030401CM자료" xfId="294" xr:uid="{00000000-0005-0000-0000-00008C000000}"/>
    <cellStyle name="_CAPA재분석(020225)" xfId="295" xr:uid="{00000000-0005-0000-0000-00008D000000}"/>
    <cellStyle name="_clstatus" xfId="3836" xr:uid="{48AB2CAB-419E-447E-81AB-623930ED6F49}"/>
    <cellStyle name="_CM 57500-2B500 BOM" xfId="296" xr:uid="{00000000-0005-0000-0000-00008E000000}"/>
    <cellStyle name="_CM 개발RFQ 030303" xfId="297" xr:uid="{00000000-0005-0000-0000-00008F000000}"/>
    <cellStyle name="_CM 테일게이트류 개발RFQ 030313" xfId="298" xr:uid="{00000000-0005-0000-0000-000090000000}"/>
    <cellStyle name="_CM2차계산-655E(RR SMBR)" xfId="299" xr:uid="{00000000-0005-0000-0000-000091000000}"/>
    <cellStyle name="_CM2차계산-655E(RR SMBR) 계산내역" xfId="300" xr:uid="{00000000-0005-0000-0000-000092000000}"/>
    <cellStyle name="_CM-WS-설원기준" xfId="301" xr:uid="{00000000-0005-0000-0000-000093000000}"/>
    <cellStyle name="_CM수주매출가동율030403통보" xfId="302" xr:uid="{00000000-0005-0000-0000-000094000000}"/>
    <cellStyle name="_cool시험항목clstatus" xfId="3837" xr:uid="{4E195150-71FA-4C95-871A-2D60A05ABC34}"/>
    <cellStyle name="_CT-28163-4X601-견적-031224" xfId="303" xr:uid="{00000000-0005-0000-0000-000095000000}"/>
    <cellStyle name="_CT-28173-4X601-견적-031224" xfId="304" xr:uid="{00000000-0005-0000-0000-000096000000}"/>
    <cellStyle name="_CT-28176-42751-견적-040325" xfId="305" xr:uid="{00000000-0005-0000-0000-000097000000}"/>
    <cellStyle name="_CTA계약검토서" xfId="306" xr:uid="{00000000-0005-0000-0000-000098000000}"/>
    <cellStyle name="_CT-PP-삼협견적-031108" xfId="307" xr:uid="{00000000-0005-0000-0000-000099000000}"/>
    <cellStyle name="_CTPU-견적(031007)" xfId="308" xr:uid="{00000000-0005-0000-0000-00009A000000}"/>
    <cellStyle name="_CVVT 시작품 가격품의" xfId="309" xr:uid="{00000000-0005-0000-0000-00009B000000}"/>
    <cellStyle name="_DCX-HMC 설원기준" xfId="310" xr:uid="{00000000-0005-0000-0000-00009C000000}"/>
    <cellStyle name="_Dr inr comple 요약" xfId="311" xr:uid="{00000000-0005-0000-0000-00009D000000}"/>
    <cellStyle name="_DSP-0620(양)" xfId="312" xr:uid="{00000000-0005-0000-0000-00009E000000}"/>
    <cellStyle name="_ED-CAR 비딩견적 송부했음10.25" xfId="313" xr:uid="{00000000-0005-0000-0000-00009F000000}"/>
    <cellStyle name="_EFC-WS-포장(030526)" xfId="314" xr:uid="{00000000-0005-0000-0000-0000A0000000}"/>
    <cellStyle name="_EF-LPG-설원(021122)" xfId="315" xr:uid="{00000000-0005-0000-0000-0000A1000000}"/>
    <cellStyle name="_EN-BRAKE 설원기준" xfId="316" xr:uid="{00000000-0005-0000-0000-0000A2000000}"/>
    <cellStyle name="_EN-CAR BIDD'G견적-남상선02.11" xfId="317" xr:uid="{00000000-0005-0000-0000-0000A3000000}"/>
    <cellStyle name="_EPDM PAD" xfId="318" xr:uid="{00000000-0005-0000-0000-0000A4000000}"/>
    <cellStyle name="_F_BLOCK 가격결정(27901)020910" xfId="319" xr:uid="{00000000-0005-0000-0000-0000A5000000}"/>
    <cellStyle name="_FC DSL합의서.관세" xfId="320" xr:uid="{00000000-0005-0000-0000-0000A6000000}"/>
    <cellStyle name="_FILTER 견적및 종합" xfId="321" xr:uid="{00000000-0005-0000-0000-0000A7000000}"/>
    <cellStyle name="_GH_CTR회의록(11차)010515" xfId="322" xr:uid="{00000000-0005-0000-0000-0000A8000000}"/>
    <cellStyle name="_GH_엔진변경(2.5→2.7)관련_010629__샤설2" xfId="323" xr:uid="{00000000-0005-0000-0000-0000A9000000}"/>
    <cellStyle name="_GH-VACUUM-설원(030114)" xfId="324" xr:uid="{00000000-0005-0000-0000-0000AA000000}"/>
    <cellStyle name="_GH품질확보계획02_1_18" xfId="325" xr:uid="{00000000-0005-0000-0000-0000AB000000}"/>
    <cellStyle name="_GH회의록(010630)-----" xfId="326" xr:uid="{00000000-0005-0000-0000-0000AC000000}"/>
    <cellStyle name="_GK WS" xfId="327" xr:uid="{00000000-0005-0000-0000-0000AD000000}"/>
    <cellStyle name="_HM VACUUM 원가 051124" xfId="328" xr:uid="{00000000-0005-0000-0000-0000AE000000}"/>
    <cellStyle name="_HMC 단가 - 작업용 081104" xfId="329" xr:uid="{00000000-0005-0000-0000-0000AF000000}"/>
    <cellStyle name="_HMC-G-PR-09-05(BRAZ)_배포용" xfId="330" xr:uid="{00000000-0005-0000-0000-0000B0000000}"/>
    <cellStyle name="_HMC-G-PR-18(TIG WELD 검토용)031103" xfId="331" xr:uid="{00000000-0005-0000-0000-0000B1000000}"/>
    <cellStyle name="_HR OC HOSE 금형인자현황" xfId="332" xr:uid="{00000000-0005-0000-0000-0000B2000000}"/>
    <cellStyle name="_HR PS-설원 비교원가 030826" xfId="333" xr:uid="{00000000-0005-0000-0000-0000B3000000}"/>
    <cellStyle name="_HR-IC 금형집계표" xfId="7" xr:uid="{00000000-0005-0000-0000-0000B4000000}"/>
    <cellStyle name="_HSAA 향 소모품 P.O (07.06.27)_TOTAL_선적예정품목." xfId="8" xr:uid="{00000000-0005-0000-0000-0000B5000000}"/>
    <cellStyle name="_HST 사업계획 원단위-메일(030115)" xfId="334" xr:uid="{00000000-0005-0000-0000-0000B6000000}"/>
    <cellStyle name="_HVACSTATUS" xfId="3838" xr:uid="{ADAD0740-E64C-4A8E-810E-E60BF93F1F3B}"/>
    <cellStyle name="_IR 수입품의" xfId="335" xr:uid="{00000000-0005-0000-0000-0000B7000000}"/>
    <cellStyle name="_JMC북경개발 최종041014■★" xfId="336" xr:uid="{00000000-0005-0000-0000-0000B8000000}"/>
    <cellStyle name="_JM-PS-BOM-N2E30999" xfId="337" xr:uid="{00000000-0005-0000-0000-0000B9000000}"/>
    <cellStyle name="_JM-WS-사양비교-031128" xfId="338" xr:uid="{00000000-0005-0000-0000-0000BA000000}"/>
    <cellStyle name="_JM인상0602(TB보상)" xfId="339" xr:uid="{00000000-0005-0000-0000-0000BB000000}"/>
    <cellStyle name="_JM중요관리항목(020619)(1)" xfId="340" xr:uid="{00000000-0005-0000-0000-0000BC000000}"/>
    <cellStyle name="_KD국민차-0001월면장" xfId="3839" xr:uid="{0063BE1F-E6D8-4F42-8BAB-12DAE797EE68}"/>
    <cellStyle name="_KD국민차-0001월면장_A100PREPROTO일정7월18일" xfId="3840" xr:uid="{63CD427F-BD21-407D-927C-8144E48ECA6F}"/>
    <cellStyle name="_KD국민차-0001월면장_A100선행투자비(4월)_시작팀(총괄)" xfId="3841" xr:uid="{2C68DDE4-E3F2-4A2C-A88D-C70B4A55E98E}"/>
    <cellStyle name="_KM-WS-제출" xfId="341" xr:uid="{00000000-0005-0000-0000-0000BD000000}"/>
    <cellStyle name="_LAY OUT변경안" xfId="342" xr:uid="{00000000-0005-0000-0000-0000BE000000}"/>
    <cellStyle name="_LC DSL합의서.관세" xfId="343" xr:uid="{00000000-0005-0000-0000-0000BF000000}"/>
    <cellStyle name="_LD-IC-설원(031224)" xfId="344" xr:uid="{00000000-0005-0000-0000-0000C0000000}"/>
    <cellStyle name="_LD-PS-설원(030328)" xfId="345" xr:uid="{00000000-0005-0000-0000-0000C1000000}"/>
    <cellStyle name="_LD-PS-설원(030630)" xfId="346" xr:uid="{00000000-0005-0000-0000-0000C2000000}"/>
    <cellStyle name="_LD-RTN-설원(030630)" xfId="347" xr:uid="{00000000-0005-0000-0000-0000C3000000}"/>
    <cellStyle name="_LD-THV(동희ACS) " xfId="348" xr:uid="{00000000-0005-0000-0000-0000C4000000}"/>
    <cellStyle name="_LD-WS-전략구매- 비교원가" xfId="349" xr:uid="{00000000-0005-0000-0000-0000C5000000}"/>
    <cellStyle name="_M5CF12 차종별 비교원가-발송-041025" xfId="350" xr:uid="{00000000-0005-0000-0000-0000C6000000}"/>
    <cellStyle name="_MC HOOD W-S류 개발RFQ 030630" xfId="351" xr:uid="{00000000-0005-0000-0000-0000C7000000}"/>
    <cellStyle name="_MG-WS-견적(030424)" xfId="352" xr:uid="{00000000-0005-0000-0000-0000C8000000}"/>
    <cellStyle name="_MS개발계획서_8_4(재질변경)_1" xfId="353" xr:uid="{00000000-0005-0000-0000-0000C9000000}"/>
    <cellStyle name="_NF 과거차 부품문제LAST" xfId="354" xr:uid="{00000000-0005-0000-0000-0000CA000000}"/>
    <cellStyle name="_NF 예산 (성시2작성010913)" xfId="355" xr:uid="{00000000-0005-0000-0000-0000CB000000}"/>
    <cellStyle name="_NF3-82110(H3K40186)-화승자료 상세계산" xfId="356" xr:uid="{00000000-0005-0000-0000-0000CC000000}"/>
    <cellStyle name="_NFC북경개발계획 (Ws부문)" xfId="357" xr:uid="{00000000-0005-0000-0000-0000CD000000}"/>
    <cellStyle name="_NF-PS-운반비(030625)" xfId="358" xr:uid="{00000000-0005-0000-0000-0000CE000000}"/>
    <cellStyle name="_NF-WS-사양도-040309" xfId="359" xr:uid="{00000000-0005-0000-0000-0000CF000000}"/>
    <cellStyle name="_NF-WS-전략구매-제출" xfId="360" xr:uid="{00000000-0005-0000-0000-0000D0000000}"/>
    <cellStyle name="_NF북미 업체선정 사전품질계획 요청_030107" xfId="361" xr:uid="{00000000-0005-0000-0000-0000D1000000}"/>
    <cellStyle name="_P_UP시장" xfId="3842" xr:uid="{58B35B35-E743-4B3E-B5F2-D0AB9A1B26D7}"/>
    <cellStyle name="_P100mtc" xfId="3843" xr:uid="{885E733C-4C6B-40DD-9C7B-DED39D0082B5}"/>
    <cellStyle name="_P100개발계획서(YOO)" xfId="3844" xr:uid="{9A1D1DD8-EF2E-4148-ADC4-81B823A0AF83}"/>
    <cellStyle name="_PD-06 수리요청서" xfId="362" xr:uid="{00000000-0005-0000-0000-0000D2000000}"/>
    <cellStyle name="_PD-24 설비보전일지" xfId="363" xr:uid="{00000000-0005-0000-0000-0000D3000000}"/>
    <cellStyle name="_PD-25 설비대장" xfId="364" xr:uid="{00000000-0005-0000-0000-0000D4000000}"/>
    <cellStyle name="_PERSONAL" xfId="3845" xr:uid="{8CAE506C-89FB-4F67-A35C-8AC187F3EA66}"/>
    <cellStyle name="_PERSONAL_07_1118_Y200의장" xfId="3846" xr:uid="{313E7F99-DFA1-4EF4-894E-FA51201A37D3}"/>
    <cellStyle name="_PERSONAL_1" xfId="3847" xr:uid="{4B58B682-859E-4BAC-9064-FDCAFE264E5C}"/>
    <cellStyle name="_PERSONAL_99650901clstatus" xfId="3848" xr:uid="{1CAC98C2-BA6B-4E7E-8C18-D5600E789BA9}"/>
    <cellStyle name="_PERSONAL_A1004월까지소요예산(2002년4월선행투자품의 반영)" xfId="3849" xr:uid="{AEB3B8CE-DD13-46B8-A3D5-31F4BD538CDD}"/>
    <cellStyle name="_PERSONAL_A100선행투자비(4월)_시작팀(총괄)" xfId="3850" xr:uid="{DFAA4055-461F-441D-8C8E-5B661C6778DF}"/>
    <cellStyle name="_PERSONAL_A100선행투자비(양식)_4월" xfId="3851" xr:uid="{0A972BCF-CEB1-44B5-8FC5-3B8B66BC05F5}"/>
    <cellStyle name="_PERSONAL_clstatus" xfId="3852" xr:uid="{F6CEA8CA-F40B-4534-979B-25BCC78252CA}"/>
    <cellStyle name="_PERSONAL_cool시험항목clstatus" xfId="3853" xr:uid="{1E74DD67-4026-4C03-B32B-73899F750772}"/>
    <cellStyle name="_PERSONAL_HVACSTATUS" xfId="3854" xr:uid="{235D800D-2A57-4BB7-8606-A9FC26CAB231}"/>
    <cellStyle name="_PERSONAL_PH2_MR_APP_부품적용현황(1012)" xfId="3855" xr:uid="{8095A037-7389-4839-BB06-92FBC30418E9}"/>
    <cellStyle name="_PERSONAL_SPEC(0529)" xfId="3856" xr:uid="{E9A35E36-1155-4D2F-93EE-EFCA7AFC6B91}"/>
    <cellStyle name="_PERSONAL_T&amp;Dstatus010522_회의보고자료" xfId="3857" xr:uid="{80887484-746C-4AF2-AC7B-294E2CBADDBC}"/>
    <cellStyle name="_PERSONAL_Y200전장시험항목표_TASPEC" xfId="3858" xr:uid="{C144A9F7-AEAE-486F-8375-C60320B12B63}"/>
    <cellStyle name="_PERSONAL_의장(0612)" xfId="3859" xr:uid="{9B74027E-77CD-4E1C-ADF4-9687F5733428}"/>
    <cellStyle name="_PERSONAL_인원현황(20010330)" xfId="3860" xr:uid="{69F5F2E0-0874-44DB-9996-413B595C23C0}"/>
    <cellStyle name="_PERSONAL_파이롯문제점(0430)" xfId="3861" xr:uid="{D9CF5D5F-554D-4D40-AB1B-011A66566076}"/>
    <cellStyle name="_PERSONAL_품보바뀐내용(0526)" xfId="3862" xr:uid="{4DB130D8-B304-4497-9E71-DCB244D09C66}"/>
    <cellStyle name="_PH2_MR_APP_부품적용현황(1012)" xfId="3863" xr:uid="{5C42B9EE-13C6-41C3-96A6-019975F184BE}"/>
    <cellStyle name="_PO 차종 분석현황" xfId="365" xr:uid="{00000000-0005-0000-0000-0000D5000000}"/>
    <cellStyle name="_PP-03 물품청구서" xfId="366" xr:uid="{00000000-0005-0000-0000-0000D6000000}"/>
    <cellStyle name="_PQT" xfId="9" xr:uid="{00000000-0005-0000-0000-0000D7000000}"/>
    <cellStyle name="_PQT 2" xfId="367" xr:uid="{00000000-0005-0000-0000-0000D8000000}"/>
    <cellStyle name="_PQT_1" xfId="10" xr:uid="{00000000-0005-0000-0000-0000D9000000}"/>
    <cellStyle name="_Pretestcar" xfId="3864" xr:uid="{3132CF75-9802-4258-9837-ABC12316E26F}"/>
    <cellStyle name="_PROJECT_CUR" xfId="368" xr:uid="{00000000-0005-0000-0000-0000DA000000}"/>
    <cellStyle name="_Project투자비&amp;연구비작성양식" xfId="3865" xr:uid="{714B9653-49FF-4980-B23D-98EDB33E33BF}"/>
    <cellStyle name="_PS-HNBR 1M-041123" xfId="369" xr:uid="{00000000-0005-0000-0000-0000DB000000}"/>
    <cellStyle name="_PU-PS-설원" xfId="370" xr:uid="{00000000-0005-0000-0000-0000DC000000}"/>
    <cellStyle name="_Q396 SBU" xfId="371" xr:uid="{00000000-0005-0000-0000-0000DD000000}"/>
    <cellStyle name="_QA 원가계산서-HU" xfId="372" xr:uid="{00000000-0005-0000-0000-0000DE000000}"/>
    <cellStyle name="_QS" xfId="373" xr:uid="{00000000-0005-0000-0000-0000DF000000}"/>
    <cellStyle name="_R100상품구상서-1(0201)" xfId="3866" xr:uid="{89363FCD-2FF9-4403-B401-E792A5C02F43}"/>
    <cellStyle name="_RHD (2)" xfId="11" xr:uid="{00000000-0005-0000-0000-0000E0000000}"/>
    <cellStyle name="_RHD (2)_1" xfId="12" xr:uid="{00000000-0005-0000-0000-0000E1000000}"/>
    <cellStyle name="_RSFL-BH-설변(030428)" xfId="374" xr:uid="{00000000-0005-0000-0000-0000E2000000}"/>
    <cellStyle name="_SA-BH-설원(031119)" xfId="375" xr:uid="{00000000-0005-0000-0000-0000E3000000}"/>
    <cellStyle name="_SAMPLE 견적2008" xfId="376" xr:uid="{00000000-0005-0000-0000-0000E4000000}"/>
    <cellStyle name="_SA-UENG CR률 마지막BIDD'G 견적-남상선 제출" xfId="377" xr:uid="{00000000-0005-0000-0000-0000E5000000}"/>
    <cellStyle name="_Sheet1" xfId="378" xr:uid="{00000000-0005-0000-0000-0000E6000000}"/>
    <cellStyle name="_Sheet2" xfId="379" xr:uid="{00000000-0005-0000-0000-0000E7000000}"/>
    <cellStyle name="_Sheet3" xfId="380" xr:uid="{00000000-0005-0000-0000-0000E8000000}"/>
    <cellStyle name="_Sheet3_1" xfId="381" xr:uid="{00000000-0005-0000-0000-0000E9000000}"/>
    <cellStyle name="_Sheet4" xfId="13" xr:uid="{00000000-0005-0000-0000-0000EA000000}"/>
    <cellStyle name="_SPEC(0529)" xfId="3867" xr:uid="{4EFE2DC6-BAA5-481A-9061-27574DFF481C}"/>
    <cellStyle name="_SS-17 설비년간점검" xfId="382" xr:uid="{00000000-0005-0000-0000-0000EB000000}"/>
    <cellStyle name="_SS-25 PRESS작업표준서" xfId="383" xr:uid="{00000000-0005-0000-0000-0000EC000000}"/>
    <cellStyle name="_STICK COIL 시작비 결정" xfId="384" xr:uid="{00000000-0005-0000-0000-0000ED000000}"/>
    <cellStyle name="_suvLINEUP구상" xfId="3868" xr:uid="{A170E14B-9D96-4788-B682-6A32DD6B30BA}"/>
    <cellStyle name="_T ARM원가분석표" xfId="385" xr:uid="{00000000-0005-0000-0000-0000EE000000}"/>
    <cellStyle name="_T ARM원가분석표1" xfId="386" xr:uid="{00000000-0005-0000-0000-0000EF000000}"/>
    <cellStyle name="_T&amp;Dstatus010522_회의보고자료" xfId="3869" xr:uid="{9DD3A56F-1CB8-49E3-8B88-D2E603027146}"/>
    <cellStyle name="_TB" xfId="387" xr:uid="{00000000-0005-0000-0000-0000F0000000}"/>
    <cellStyle name="_TB D1.5用 F-BLOCK 설변 금형비" xfId="388" xr:uid="{00000000-0005-0000-0000-0000F1000000}"/>
    <cellStyle name="_TB I_P J_BOX 비교원가(020122)-전장1-세원" xfId="389" xr:uid="{00000000-0005-0000-0000-0000F2000000}"/>
    <cellStyle name="_TB P1 투입결정(1012)" xfId="390" xr:uid="{00000000-0005-0000-0000-0000F3000000}"/>
    <cellStyle name="_TB 자체견적-DAMPER" xfId="391" xr:uid="{00000000-0005-0000-0000-0000F4000000}"/>
    <cellStyle name="_TB(020123)" xfId="392" xr:uid="{00000000-0005-0000-0000-0000F5000000}"/>
    <cellStyle name="_T-BAR ASSY" xfId="393" xr:uid="{00000000-0005-0000-0000-0000F6000000}"/>
    <cellStyle name="_TB개발회의(020123)" xfId="394" xr:uid="{00000000-0005-0000-0000-0000F7000000}"/>
    <cellStyle name="_TB비교원가(0121)-샤시1(동희)" xfId="395" xr:uid="{00000000-0005-0000-0000-0000F8000000}"/>
    <cellStyle name="_TB비교원가(0122)-trw" xfId="396" xr:uid="{00000000-0005-0000-0000-0000F9000000}"/>
    <cellStyle name="_TB비교원가(0122)-차체1(대성사1)" xfId="397" xr:uid="{00000000-0005-0000-0000-0000FA000000}"/>
    <cellStyle name="_TB비교원가(0122)-차체1(대성사3)" xfId="398" xr:uid="{00000000-0005-0000-0000-0000FB000000}"/>
    <cellStyle name="_TB비교원가(0122)-차체1(성우하이텍1)" xfId="399" xr:uid="{00000000-0005-0000-0000-0000FC000000}"/>
    <cellStyle name="_TB설계-개발원가종합" xfId="400" xr:uid="{00000000-0005-0000-0000-0000FD000000}"/>
    <cellStyle name="_TB인하&amp;인상_정산(화승)_081017" xfId="401" xr:uid="{00000000-0005-0000-0000-0000FE000000}"/>
    <cellStyle name="_TB-저압HOSE-제안" xfId="402" xr:uid="{00000000-0005-0000-0000-0000FF000000}"/>
    <cellStyle name="_TB차이과다(동희)" xfId="403" xr:uid="{00000000-0005-0000-0000-000000010000}"/>
    <cellStyle name="_TB차이과다(의장2종합)" xfId="404" xr:uid="{00000000-0005-0000-0000-000001010000}"/>
    <cellStyle name="_TB차종 3차설원대비 비교원가(평화) 2002(1).01.21" xfId="405" xr:uid="{00000000-0005-0000-0000-000002010000}"/>
    <cellStyle name="_TC-PS-설계원가(020904)" xfId="406" xr:uid="{00000000-0005-0000-0000-000003010000}"/>
    <cellStyle name="_TD-WS 양산기준원가 080819" xfId="407" xr:uid="{00000000-0005-0000-0000-000004010000}"/>
    <cellStyle name="_TD외정단가" xfId="408" xr:uid="{00000000-0005-0000-0000-000005010000}"/>
    <cellStyle name="_TG HOOD 원가(동명-재입찰) 030721" xfId="409" xr:uid="{00000000-0005-0000-0000-000006010000}"/>
    <cellStyle name="_TG,NF HOSE PIPE 견적요청서 20060831" xfId="410" xr:uid="{00000000-0005-0000-0000-000007010000}"/>
    <cellStyle name="_TIG용접표준초안_1" xfId="411" xr:uid="{00000000-0005-0000-0000-000008010000}"/>
    <cellStyle name="_TQ G-RUN견적050131" xfId="412" xr:uid="{00000000-0005-0000-0000-000009010000}"/>
    <cellStyle name="_TRW_PQ24_VE안검토_채산원가_20050727" xfId="413" xr:uid="{00000000-0005-0000-0000-00000A010000}"/>
    <cellStyle name="_v.w견적서03.24-최종견적서-커버기준 이것으로..." xfId="414" xr:uid="{00000000-0005-0000-0000-00000B010000}"/>
    <cellStyle name="_VACUUM PUMP 시작품의서 (20030807)(1)" xfId="415" xr:uid="{00000000-0005-0000-0000-00000C010000}"/>
    <cellStyle name="_VACUUM PUMP 업체선정_견적평가표 (KJ_S_20030603)" xfId="416" xr:uid="{00000000-0005-0000-0000-00000D010000}"/>
    <cellStyle name="_VE TFT활동보고서(CYL HEAD COVER)(0502)" xfId="417" xr:uid="{00000000-0005-0000-0000-00000E010000}"/>
    <cellStyle name="_VE TFT활동보고서-4차(ROOF RAIL ASSY)" xfId="418" xr:uid="{00000000-0005-0000-0000-00000F010000}"/>
    <cellStyle name="_VG DR BELT 비교원가 양식060825" xfId="419" xr:uid="{00000000-0005-0000-0000-000010010000}"/>
    <cellStyle name="_VQ-PS-전략구매견적-설계원가기준" xfId="420" xr:uid="{00000000-0005-0000-0000-000011010000}"/>
    <cellStyle name="_WS 압출 capacity분석(2007년 DS-CAR 포함))" xfId="421" xr:uid="{00000000-0005-0000-0000-000012010000}"/>
    <cellStyle name="_WS 압출 capacity분석(2007년~10년)(4안)수정" xfId="422" xr:uid="{00000000-0005-0000-0000-000013010000}"/>
    <cellStyle name="_WS 압출 capacity분석(2007년~10년)1안)" xfId="423" xr:uid="{00000000-0005-0000-0000-000014010000}"/>
    <cellStyle name="_WS 압출 capacity분석(2007년~10년)3안)" xfId="424" xr:uid="{00000000-0005-0000-0000-000015010000}"/>
    <cellStyle name="_WS 압출 capacity분석(2008년 NF,CM,DS,BL,XM 포함))" xfId="425" xr:uid="{00000000-0005-0000-0000-000016010000}"/>
    <cellStyle name="_WS 압출 capacity분석(2009년 NF,CM,DS,BL,XM 포함))" xfId="426" xr:uid="{00000000-0005-0000-0000-000017010000}"/>
    <cellStyle name="_WS 압출 capacity분석(2010년 NF,CM,DS,BL,XM 포함))" xfId="427" xr:uid="{00000000-0005-0000-0000-000018010000}"/>
    <cellStyle name="_WT저감IDEA양식" xfId="3870" xr:uid="{61F77BC6-6BBD-41EC-8C93-E0D7EADE3413}"/>
    <cellStyle name="_xd평화결정" xfId="428" xr:uid="{00000000-0005-0000-0000-000019010000}"/>
    <cellStyle name="_Y180mtc(수정)" xfId="3871" xr:uid="{272E24AA-8475-4967-8C96-A5B79836FD73}"/>
    <cellStyle name="_Y180상품기획서(최종)-1" xfId="3872" xr:uid="{89A9B621-EF9A-4B0F-B527-15231CEADC69}"/>
    <cellStyle name="_Y180판매예측" xfId="3873" xr:uid="{A586117A-18D3-431A-B832-814467C8EDC2}"/>
    <cellStyle name="_Y200_HOT_출장보고서" xfId="3874" xr:uid="{8E8B9722-1F4D-4ED6-A1E1-978AB498FA2C}"/>
    <cellStyle name="_Y200AUTOLIVSch(010326)" xfId="3875" xr:uid="{261E7A29-D3DA-430C-8DB0-E9F8FC35C1BD}"/>
    <cellStyle name="_Y200PH2_MAN_APP_PLAN(001005)" xfId="3876" xr:uid="{B0DDABF6-F9FF-47A1-9750-A58D1D1954A9}"/>
    <cellStyle name="_Y200PH2_MAN_APP_PLAN(001017)" xfId="3877" xr:uid="{549DD578-B02F-42CE-AD58-4DEE467BB7F3}"/>
    <cellStyle name="_Y200PROJECT진척율점검표(rev4_00.3.30)" xfId="3878" xr:uid="{58746A08-7350-4947-9909-3432CB3DEB10}"/>
    <cellStyle name="_Y200PROJECT진척율점검표(rev5_00.8.22)" xfId="3879" xr:uid="{9D8A26C1-C063-4BDC-9235-F98D201088E4}"/>
    <cellStyle name="_Y200전장시험항목표_TASPEC" xfId="3880" xr:uid="{4C3B5104-E4CD-4F28-9CF3-6703F182D9FC}"/>
    <cellStyle name="_α-CVVT用 STICK COIL 시작비" xfId="429" xr:uid="{00000000-0005-0000-0000-00001A010000}"/>
    <cellStyle name="_가격합의서(2009.2.1부)-신규결정(승호SA)-090224" xfId="430" xr:uid="{00000000-0005-0000-0000-00001B010000}"/>
    <cellStyle name="_가단가" xfId="431" xr:uid="{00000000-0005-0000-0000-00001C010000}"/>
    <cellStyle name="_개발계획서" xfId="3881" xr:uid="{0F020B7B-C89F-4653-BE37-1FB234C85386}"/>
    <cellStyle name="_개발부품확보계획1차1210" xfId="432" xr:uid="{00000000-0005-0000-0000-00001D010000}"/>
    <cellStyle name="_개발부품확보계획2차1210" xfId="433" xr:uid="{00000000-0005-0000-0000-00001E010000}"/>
    <cellStyle name="_검토용(060929)" xfId="14" xr:uid="{00000000-0005-0000-0000-00001F010000}"/>
    <cellStyle name="_겉봉투(박창영)" xfId="434" xr:uid="{00000000-0005-0000-0000-000020010000}"/>
    <cellStyle name="_견적기준(GLASS MLDG)_060814" xfId="435" xr:uid="{00000000-0005-0000-0000-000021010000}"/>
    <cellStyle name="_견적서(BH-CAR BIDD'G견적 5% UP)-2차03.18" xfId="436" xr:uid="{00000000-0005-0000-0000-000022010000}"/>
    <cellStyle name="_견적서2008" xfId="437" xr:uid="{00000000-0005-0000-0000-000023010000}"/>
    <cellStyle name="_견적양식(최종)" xfId="438" xr:uid="{00000000-0005-0000-0000-000024010000}"/>
    <cellStyle name="_견적요청서(PAD)0607" xfId="439" xr:uid="{00000000-0005-0000-0000-000025010000}"/>
    <cellStyle name="_견적자료" xfId="440" xr:uid="{00000000-0005-0000-0000-000026010000}"/>
    <cellStyle name="_경쟁입찰 견적서 양식(1)(1)" xfId="441" xr:uid="{00000000-0005-0000-0000-000027010000}"/>
    <cellStyle name="_경쟁입찰개선방안보고서(최종본)(021031)(1)" xfId="442" xr:uid="{00000000-0005-0000-0000-000028010000}"/>
    <cellStyle name="_공문 " xfId="443" xr:uid="{00000000-0005-0000-0000-000029010000}"/>
    <cellStyle name="_과거차문제 신양식" xfId="444" xr:uid="{00000000-0005-0000-0000-00002A010000}"/>
    <cellStyle name="_관계사판가인상실적-권오한-1" xfId="445" xr:uid="{00000000-0005-0000-0000-00002B010000}"/>
    <cellStyle name="_구조재편회장님중간보고010307" xfId="446" xr:uid="{00000000-0005-0000-0000-00002C010000}"/>
    <cellStyle name="_국내-PA-BELT-050901" xfId="447" xr:uid="{00000000-0005-0000-0000-00002D010000}"/>
    <cellStyle name="_글라스현황보고 030603" xfId="448" xr:uid="{00000000-0005-0000-0000-00002E010000}"/>
    <cellStyle name="_금구견적서양식" xfId="449" xr:uid="{00000000-0005-0000-0000-00002F010000}"/>
    <cellStyle name="_금형" xfId="15" xr:uid="{00000000-0005-0000-0000-000030010000}"/>
    <cellStyle name="_금형 사진틀" xfId="450" xr:uid="{00000000-0005-0000-0000-000031010000}"/>
    <cellStyle name="_금형proto예산" xfId="3882" xr:uid="{E6E3C9B8-EFB9-41FE-8419-DC6402D999C4}"/>
    <cellStyle name="_금형설명회" xfId="3883" xr:uid="{79D2C6EE-DC4B-4497-8B65-C7F9C9116249}"/>
    <cellStyle name="_금형원가계산서" xfId="451" xr:uid="{00000000-0005-0000-0000-000032010000}"/>
    <cellStyle name="_기계경비-050416" xfId="452" xr:uid="{00000000-0005-0000-0000-000033010000}"/>
    <cellStyle name="_김원영HMC-G-PR-09-04(BRAZ상세본)" xfId="453" xr:uid="{00000000-0005-0000-0000-000034010000}"/>
    <cellStyle name="_동해산업보고(030404)" xfId="454" xr:uid="{00000000-0005-0000-0000-000035010000}"/>
    <cellStyle name="_두원-VQ-견적(02.7.9)" xfId="455" xr:uid="{00000000-0005-0000-0000-000036010000}"/>
    <cellStyle name="_마감(판매물류)최종본" xfId="456" xr:uid="{00000000-0005-0000-0000-000037010000}"/>
    <cellStyle name="_마감양식(판매물류)" xfId="457" xr:uid="{00000000-0005-0000-0000-000038010000}"/>
    <cellStyle name="_만드릴(벤딩) 체커 금형" xfId="458" xr:uid="{00000000-0005-0000-0000-000039010000}"/>
    <cellStyle name="_모듈TB원가차이큰부품1004" xfId="459" xr:uid="{00000000-0005-0000-0000-00003A010000}"/>
    <cellStyle name="_문서처리전(한국세큐리트) 0612" xfId="460" xr:uid="{00000000-0005-0000-0000-00003B010000}"/>
    <cellStyle name="_발신070718_양산견적_PEC 001 008 02" xfId="461" xr:uid="{00000000-0005-0000-0000-00003C010000}"/>
    <cellStyle name="_법인경영손익(8월)" xfId="16" xr:uid="{00000000-0005-0000-0000-00003D010000}"/>
    <cellStyle name="_법인경영손익(8월누계)" xfId="17" xr:uid="{00000000-0005-0000-0000-00003E010000}"/>
    <cellStyle name="_법인별경영손익(5월누계)" xfId="18" xr:uid="{00000000-0005-0000-0000-00003F010000}"/>
    <cellStyle name="_보고서표지" xfId="3884" xr:uid="{A2F73913-CBEC-46A7-89AC-63EB5C036764}"/>
    <cellStyle name="_복사본 2002년사업계획서 전체분작업계속중" xfId="462" xr:uid="{00000000-0005-0000-0000-000040010000}"/>
    <cellStyle name="_본부장보고 추가 해외공장 자료요청(국산화 투자비) 이재용 030111" xfId="463" xr:uid="{00000000-0005-0000-0000-000041010000}"/>
    <cellStyle name="_부대설비list" xfId="464" xr:uid="{00000000-0005-0000-0000-000042010000}"/>
    <cellStyle name="_부품개발양식" xfId="465" xr:uid="{00000000-0005-0000-0000-000043010000}"/>
    <cellStyle name="_부품개발정책(보고중.0915)" xfId="466" xr:uid="{00000000-0005-0000-0000-000044010000}"/>
    <cellStyle name="_부품사양서" xfId="467" xr:uid="{00000000-0005-0000-0000-000045010000}"/>
    <cellStyle name="_북경보고자료(Backdata,050309)" xfId="468" xr:uid="{00000000-0005-0000-0000-000046010000}"/>
    <cellStyle name="_북경설비list" xfId="469" xr:uid="{00000000-0005-0000-0000-000047010000}"/>
    <cellStyle name="_북경조정사항050204" xfId="470" xr:uid="{00000000-0005-0000-0000-000048010000}"/>
    <cellStyle name="_북경투자계획(2004)" xfId="471" xr:uid="{00000000-0005-0000-0000-000049010000}"/>
    <cellStyle name="_북미NF 개발진행 계획 030602" xfId="472" xr:uid="{00000000-0005-0000-0000-00004A010000}"/>
    <cellStyle name="_비교원가(S(1).INR.설계2대비)" xfId="473" xr:uid="{00000000-0005-0000-0000-00004B010000}"/>
    <cellStyle name="_비교원가_원가계산서_가로양식" xfId="474" xr:uid="{00000000-0005-0000-0000-00004C010000}"/>
    <cellStyle name="_비교원가계산서(제출용)" xfId="475" xr:uid="{00000000-0005-0000-0000-00004D010000}"/>
    <cellStyle name="_사본 - DCX_BENZ_BRAKE_HOSE_2종_20051108" xfId="476" xr:uid="{00000000-0005-0000-0000-00004E010000}"/>
    <cellStyle name="_사본 - NF-WS-전략구매자료" xfId="477" xr:uid="{00000000-0005-0000-0000-00004F010000}"/>
    <cellStyle name="_사양변경내역0513" xfId="478" xr:uid="{00000000-0005-0000-0000-000050010000}"/>
    <cellStyle name="_사출품" xfId="479" xr:uid="{00000000-0005-0000-0000-000051010000}"/>
    <cellStyle name="_상반기 실적 및 하반기 계획(0710)" xfId="480" xr:uid="{00000000-0005-0000-0000-000052010000}"/>
    <cellStyle name="_상품기획서" xfId="3885" xr:uid="{2B85964B-AEB7-40F2-9D8D-3E4B46421065}"/>
    <cellStyle name="_상품기획서1-4" xfId="3886" xr:uid="{5B050FA0-20BA-49FC-B9D1-402B5B0641BC}"/>
    <cellStyle name="_생기부문(0531)" xfId="481" xr:uid="{00000000-0005-0000-0000-000053010000}"/>
    <cellStyle name="_생존전략" xfId="3887" xr:uid="{140A27F7-C15A-4F87-AF2E-F50AAACD9F1C}"/>
    <cellStyle name="_샤시 (2)" xfId="19" xr:uid="{00000000-0005-0000-0000-000054010000}"/>
    <cellStyle name="_샤시 (2)_1" xfId="20" xr:uid="{00000000-0005-0000-0000-000055010000}"/>
    <cellStyle name="_샤시 (2)_2" xfId="21" xr:uid="{00000000-0005-0000-0000-000056010000}"/>
    <cellStyle name="_샤시 (2)_2 2" xfId="482" xr:uid="{00000000-0005-0000-0000-000057010000}"/>
    <cellStyle name="_설계원가 TABLE 계산" xfId="483" xr:uid="{00000000-0005-0000-0000-000058010000}"/>
    <cellStyle name="_설계원가1개정의뢰LAYOUT" xfId="484" xr:uid="{00000000-0005-0000-0000-000059010000}"/>
    <cellStyle name="_설계원가WSHOP" xfId="485" xr:uid="{00000000-0005-0000-0000-00005A010000}"/>
    <cellStyle name="_설변작성 예제-(020513)" xfId="486" xr:uid="{00000000-0005-0000-0000-00005B010000}"/>
    <cellStyle name="_설비현황" xfId="487" xr:uid="{00000000-0005-0000-0000-00005C010000}"/>
    <cellStyle name="_설비현황(다이스 등)" xfId="488" xr:uid="{00000000-0005-0000-0000-00005D010000}"/>
    <cellStyle name="_설비현황_북경보고자료(Backdata,050309)" xfId="489" xr:uid="{00000000-0005-0000-0000-00005E010000}"/>
    <cellStyle name="_설비현황_북경조정사항050204" xfId="490" xr:uid="{00000000-0005-0000-0000-00005F010000}"/>
    <cellStyle name="_소재단가-W014" xfId="491" xr:uid="{00000000-0005-0000-0000-000060010000}"/>
    <cellStyle name="_송우미결-0403013-2차협의" xfId="492" xr:uid="{00000000-0005-0000-0000-000061010000}"/>
    <cellStyle name="_수익성" xfId="3888" xr:uid="{B8CD8C84-D4B9-4542-AC33-3A437068704C}"/>
    <cellStyle name="_수첩내용물" xfId="493" xr:uid="{00000000-0005-0000-0000-000062010000}"/>
    <cellStyle name="_스틸오리피스견적발송" xfId="494" xr:uid="{00000000-0005-0000-0000-000063010000}"/>
    <cellStyle name="_시작금형 현황 보고" xfId="3889" xr:uid="{F7410B3B-1BD0-4C2C-823D-077BD430F6B6}"/>
    <cellStyle name="_아신큐엔텍 5월" xfId="495" xr:uid="{00000000-0005-0000-0000-000064010000}"/>
    <cellStyle name="_안전법규_규격조사-030902- 전기식도어시스템" xfId="496" xr:uid="{00000000-0005-0000-0000-000065010000}"/>
    <cellStyle name="_업무보고" xfId="3890" xr:uid="{BBED7E16-210B-48CE-89D1-E85C71AB28AE}"/>
    <cellStyle name="_업무분장안0427" xfId="497" xr:uid="{00000000-0005-0000-0000-000066010000}"/>
    <cellStyle name="_업무분장안0427_1" xfId="498" xr:uid="{00000000-0005-0000-0000-000067010000}"/>
    <cellStyle name="_업무분장안0427_2" xfId="499" xr:uid="{00000000-0005-0000-0000-000068010000}"/>
    <cellStyle name="_업무분장안0427_3" xfId="500" xr:uid="{00000000-0005-0000-0000-000069010000}"/>
    <cellStyle name="_업무분장안0427_4" xfId="501" xr:uid="{00000000-0005-0000-0000-00006A010000}"/>
    <cellStyle name="_업무분장안0427_5" xfId="502" xr:uid="{00000000-0005-0000-0000-00006B010000}"/>
    <cellStyle name="_업체선정공문발송양식(BH HOSE PIPE)-08.16" xfId="503" xr:uid="{00000000-0005-0000-0000-00006C010000}"/>
    <cellStyle name="_업체선정공문발송양식(BH) 공통" xfId="504" xr:uid="{00000000-0005-0000-0000-00006D010000}"/>
    <cellStyle name="_업체선정공문발송양식(ED HOSE PIPE)" xfId="505" xr:uid="{00000000-0005-0000-0000-00006E010000}"/>
    <cellStyle name="_업체선정공문발송양식(EN)-남상선" xfId="506" xr:uid="{00000000-0005-0000-0000-00006F010000}"/>
    <cellStyle name="_업체선정공문발송양식(MG R121 BP5AA01TOC PIPE)2" xfId="507" xr:uid="{00000000-0005-0000-0000-000070010000}"/>
    <cellStyle name="_업체실사종합표" xfId="3891" xr:uid="{B23F9382-6BEB-46CD-9B1C-8EDF95F0E391}"/>
    <cellStyle name="_영업세금계산서1월" xfId="508" xr:uid="{00000000-0005-0000-0000-000071010000}"/>
    <cellStyle name="_완료NF3-82110(H3K40186)화승" xfId="509" xr:uid="{00000000-0005-0000-0000-000072010000}"/>
    <cellStyle name="_완료NF3-82130(H3K40186)화승" xfId="510" xr:uid="{00000000-0005-0000-0000-000073010000}"/>
    <cellStyle name="_완료NF3-82130(H3K40186)화승-040419" xfId="511" xr:uid="{00000000-0005-0000-0000-000074010000}"/>
    <cellStyle name="_완료NF3-82530(H3K40186)화승" xfId="512" xr:uid="{00000000-0005-0000-0000-000075010000}"/>
    <cellStyle name="_완료NF3-82530(H3K40186)화승-040419" xfId="513" xr:uid="{00000000-0005-0000-0000-000076010000}"/>
    <cellStyle name="_외주업체거래명세표(07 .10월)" xfId="514" xr:uid="{00000000-0005-0000-0000-000077010000}"/>
    <cellStyle name="_외주업체거래명세표(07 .11월)" xfId="515" xr:uid="{00000000-0005-0000-0000-000078010000}"/>
    <cellStyle name="_외주업체거래명세표(07.7월)" xfId="516" xr:uid="{00000000-0005-0000-0000-000079010000}"/>
    <cellStyle name="_용접류 원가-7" xfId="517" xr:uid="{00000000-0005-0000-0000-00007A010000}"/>
    <cellStyle name="_원가계산서" xfId="518" xr:uid="{00000000-0005-0000-0000-00007B010000}"/>
    <cellStyle name="_원가구성" xfId="22" xr:uid="{00000000-0005-0000-0000-00007C010000}"/>
    <cellStyle name="_원가자료(현대)" xfId="519" xr:uid="{00000000-0005-0000-0000-00007D010000}"/>
    <cellStyle name="_원가절감 보고서060222" xfId="520" xr:uid="{00000000-0005-0000-0000-00007E010000}"/>
    <cellStyle name="_원자재 인상 요청자료(레인보우)" xfId="521" xr:uid="{00000000-0005-0000-0000-00007F010000}"/>
    <cellStyle name="_유리 수입예상 031007" xfId="522" xr:uid="{00000000-0005-0000-0000-000080010000}"/>
    <cellStyle name="_유일고무_결과보고" xfId="523" xr:uid="{00000000-0005-0000-0000-000081010000}"/>
    <cellStyle name="_의장(0612)" xfId="3892" xr:uid="{0EC9C404-0817-47A8-8C1F-2C4F656F7FF1}"/>
    <cellStyle name="_의장점검10(1108)" xfId="3893" xr:uid="{FADBDDFB-0463-46CE-9F3D-3909EBD5971D}"/>
    <cellStyle name="_인도공장조직(21011)" xfId="524" xr:uid="{00000000-0005-0000-0000-000082010000}"/>
    <cellStyle name="_인원현황(20010330)" xfId="3894" xr:uid="{EC634373-A3C6-4F57-AB45-B8E81059737B}"/>
    <cellStyle name="_임시 (자재부문조직도)(1)" xfId="525" xr:uid="{00000000-0005-0000-0000-000083010000}"/>
    <cellStyle name="_자금수지자료(류과장)" xfId="3895" xr:uid="{26C0B288-7600-4FB4-A013-2F3B502CA55E}"/>
    <cellStyle name="_자동차 2010년1월~5월 생산계획(100107)" xfId="526" xr:uid="{00000000-0005-0000-0000-000084010000}"/>
    <cellStyle name="_자동차경영회의(11월)" xfId="23" xr:uid="{00000000-0005-0000-0000-000085010000}"/>
    <cellStyle name="_자료-본텍" xfId="527" xr:uid="{00000000-0005-0000-0000-000086010000}"/>
    <cellStyle name="_자재과(ws)" xfId="528" xr:uid="{00000000-0005-0000-0000-000087010000}"/>
    <cellStyle name="_장기 매출 현황 040428(화승-동일)" xfId="529" xr:uid="{00000000-0005-0000-0000-000088010000}"/>
    <cellStyle name="_저압 만드릴 체커 금형비표준" xfId="530" xr:uid="{00000000-0005-0000-0000-000089010000}"/>
    <cellStyle name="_전창헌-1212-업무추진계획" xfId="531" xr:uid="{00000000-0005-0000-0000-00008A010000}"/>
    <cellStyle name="_점검회의(6월1주차)" xfId="3896" xr:uid="{70C50290-F606-41B1-A544-B2E2F6D12431}"/>
    <cellStyle name="_제안제출(모비스)-02.28" xfId="532" xr:uid="{00000000-0005-0000-0000-00008B010000}"/>
    <cellStyle name="_제작사양" xfId="3897" xr:uid="{12F65565-1410-4A2E-B87F-2056770FDF6F}"/>
    <cellStyle name="_제작사양(30602)" xfId="3898" xr:uid="{7636CB4A-FD72-4C39-ACA3-2EBF16A78C87}"/>
    <cellStyle name="_제작사양(30929）" xfId="3899" xr:uid="{352CB7F4-DD72-4DD2-B122-68D1685B42BF}"/>
    <cellStyle name="_제작사양(31024）" xfId="3900" xr:uid="{A46DD08E-95B1-4276-BB73-05C3B23F3BF3}"/>
    <cellStyle name="_제품_부품분석(양식)" xfId="533" xr:uid="{00000000-0005-0000-0000-00008C010000}"/>
    <cellStyle name="_조직도_보고용" xfId="534" xr:uid="{00000000-0005-0000-0000-00008D010000}"/>
    <cellStyle name="_조직도_보고용(1)" xfId="535" xr:uid="{00000000-0005-0000-0000-00008E010000}"/>
    <cellStyle name="_종합(주물견적및분석)" xfId="536" xr:uid="{00000000-0005-0000-0000-00008F010000}"/>
    <cellStyle name="_중국ccc견적030522(성우)" xfId="537" xr:uid="{00000000-0005-0000-0000-000090010000}"/>
    <cellStyle name="_중국유리수입계획 030612" xfId="538" xr:uid="{00000000-0005-0000-0000-000091010000}"/>
    <cellStyle name="_중국회장님보고동풍(0618)최종" xfId="539" xr:uid="{00000000-0005-0000-0000-000092010000}"/>
    <cellStyle name="_중국회장님보고북경(0619)최종" xfId="540" xr:uid="{00000000-0005-0000-0000-000093010000}"/>
    <cellStyle name="_중국후가공인원" xfId="541" xr:uid="{00000000-0005-0000-0000-000094010000}"/>
    <cellStyle name="_집행품의(산출내역종합)" xfId="542" xr:uid="{00000000-0005-0000-0000-000095010000}"/>
    <cellStyle name="_차체 (2)" xfId="24" xr:uid="{00000000-0005-0000-0000-000096010000}"/>
    <cellStyle name="_차체 (2)_1" xfId="25" xr:uid="{00000000-0005-0000-0000-000097010000}"/>
    <cellStyle name="_차체 (2)_1 2" xfId="543" xr:uid="{00000000-0005-0000-0000-000098010000}"/>
    <cellStyle name="_청원검토 - CAPA분석(자동차계획100반영) -  9월보고" xfId="544" xr:uid="{00000000-0005-0000-0000-000099010000}"/>
    <cellStyle name="_출장 실적계획 양식" xfId="545" xr:uid="{00000000-0005-0000-0000-00009A010000}"/>
    <cellStyle name="_출장계획서1" xfId="546" xr:uid="{00000000-0005-0000-0000-00009B010000}"/>
    <cellStyle name="_카니발 PS 품질개선현황(02.10.9).xls Chart 1" xfId="547" xr:uid="{00000000-0005-0000-0000-00009C010000}"/>
    <cellStyle name="_카니발 PS 품질개선현황(02.10.9).xls Chart 10" xfId="548" xr:uid="{00000000-0005-0000-0000-00009D010000}"/>
    <cellStyle name="_카니발 PS 품질개선현황(02.10.9).xls Chart 11" xfId="549" xr:uid="{00000000-0005-0000-0000-00009E010000}"/>
    <cellStyle name="_카니발 PS 품질개선현황(02.10.9).xls Chart 12" xfId="550" xr:uid="{00000000-0005-0000-0000-00009F010000}"/>
    <cellStyle name="_카니발 PS 품질개선현황(02.10.9).xls Chart 2" xfId="551" xr:uid="{00000000-0005-0000-0000-0000A0010000}"/>
    <cellStyle name="_카니발 고압호스 크레임(9월포함)" xfId="552" xr:uid="{00000000-0005-0000-0000-0000A1010000}"/>
    <cellStyle name="_카니발 그래프도(1008).xls Chart 1" xfId="553" xr:uid="{00000000-0005-0000-0000-0000A2010000}"/>
    <cellStyle name="_카니발 그래프도(1008).xls Chart 10" xfId="554" xr:uid="{00000000-0005-0000-0000-0000A3010000}"/>
    <cellStyle name="_카니발 그래프도(1008).xls Chart 11" xfId="555" xr:uid="{00000000-0005-0000-0000-0000A4010000}"/>
    <cellStyle name="_카니발 그래프도(1008).xls Chart 12" xfId="556" xr:uid="{00000000-0005-0000-0000-0000A5010000}"/>
    <cellStyle name="_카니발 그래프도(1008).xls Chart 2" xfId="557" xr:uid="{00000000-0005-0000-0000-0000A6010000}"/>
    <cellStyle name="_코란도7인승개발계획서" xfId="3901" xr:uid="{3A871CF2-2BEA-4376-BCE1-3BE9E96A8D92}"/>
    <cellStyle name="_코리아오토 중국유리 수입현황 보고 031020" xfId="558" xr:uid="{00000000-0005-0000-0000-0000A7010000}"/>
    <cellStyle name="_터키조직도(11월)" xfId="559" xr:uid="{00000000-0005-0000-0000-0000A8010000}"/>
    <cellStyle name="_투자비종합(수출반영0629)" xfId="560" xr:uid="{00000000-0005-0000-0000-0000A9010000}"/>
    <cellStyle name="_튜브 벤딩지그 금형" xfId="561" xr:uid="{00000000-0005-0000-0000-0000AA010000}"/>
    <cellStyle name="_파이롯문제점(0430)" xfId="3902" xr:uid="{0C84E6A8-B999-4B21-956D-95A6339409A1}"/>
    <cellStyle name="_판매물류 4월 소급(VE관련, BH)" xfId="562" xr:uid="{00000000-0005-0000-0000-0000AB010000}"/>
    <cellStyle name="_판매물류5월" xfId="563" xr:uid="{00000000-0005-0000-0000-0000AC010000}"/>
    <cellStyle name="_팩스교신" xfId="564" xr:uid="{00000000-0005-0000-0000-0000AD010000}"/>
    <cellStyle name="_품목별분류(핵심,전문,일반)" xfId="565" xr:uid="{00000000-0005-0000-0000-0000AE010000}"/>
    <cellStyle name="_품목별분류(핵심,전문,일반)2차" xfId="566" xr:uid="{00000000-0005-0000-0000-0000AF010000}"/>
    <cellStyle name="_품보바뀐내용(0526)" xfId="3903" xr:uid="{1BBDD369-1471-44E4-A6A6-8E07CD960E9A}"/>
    <cellStyle name="_픽업SUV가격비교" xfId="3904" xr:uid="{71E0A013-99D5-42FD-B0E3-FAEEEB12E1C5}"/>
    <cellStyle name="_픽업잠재시장" xfId="3905" xr:uid="{2059542A-B66A-4741-8205-84C7256DCEAF}"/>
    <cellStyle name="_픽업판매예상" xfId="3906" xr:uid="{670EB363-0F0E-4D3A-A691-4F5AD0D35547}"/>
    <cellStyle name="_해외공장 조직도(1)" xfId="567" xr:uid="{00000000-0005-0000-0000-0000B0010000}"/>
    <cellStyle name="_화승 매출액 및 가동율(031210)분석" xfId="568" xr:uid="{00000000-0005-0000-0000-0000B1010000}"/>
    <cellStyle name="_회의록(1021)" xfId="3907" xr:uid="{C9146537-4E33-4E46-98AB-646198FD5A86}"/>
    <cellStyle name="_후가공인원" xfId="569" xr:uid="{00000000-0005-0000-0000-0000B2010000}"/>
    <cellStyle name="’E‰Y [0.00]_laroux" xfId="570" xr:uid="{00000000-0005-0000-0000-0000B3010000}"/>
    <cellStyle name="’Ê‰Ý [0.00]_PRODUCT DETAIL Q1" xfId="571" xr:uid="{00000000-0005-0000-0000-0000B4010000}"/>
    <cellStyle name="’E‰Y_laroux" xfId="572" xr:uid="{00000000-0005-0000-0000-0000B5010000}"/>
    <cellStyle name="’Ê‰Ý_PRODUCT DETAIL Q1" xfId="573" xr:uid="{00000000-0005-0000-0000-0000B6010000}"/>
    <cellStyle name="¤@?e_TEST-1 " xfId="574" xr:uid="{00000000-0005-0000-0000-0000B7010000}"/>
    <cellStyle name="\ⴂఀ" xfId="575" xr:uid="{00000000-0005-0000-0000-0000B8010000}"/>
    <cellStyle name="=today()" xfId="576" xr:uid="{00000000-0005-0000-0000-0000B9010000}"/>
    <cellStyle name="°iA¤Aa·A1_10¿u2WA¸ºI " xfId="577" xr:uid="{00000000-0005-0000-0000-0000BA010000}"/>
    <cellStyle name="°iA¤Aa·A2_10¿u2WA¸ºI " xfId="578" xr:uid="{00000000-0005-0000-0000-0000BB010000}"/>
    <cellStyle name="•W_BOOKSHIP" xfId="579" xr:uid="{00000000-0005-0000-0000-0000BC010000}"/>
    <cellStyle name="æØè [0.00]_PRODUCT DETAIL Q1" xfId="580" xr:uid="{00000000-0005-0000-0000-0000BD010000}"/>
    <cellStyle name="æØè_PRODUCT DETAIL Q1" xfId="581" xr:uid="{00000000-0005-0000-0000-0000BE010000}"/>
    <cellStyle name="ÊÝ [0.00]_PRODUCT DETAIL Q1" xfId="582" xr:uid="{00000000-0005-0000-0000-0000BF010000}"/>
    <cellStyle name="ÊÝ_PRODUCT DETAIL Q1" xfId="583" xr:uid="{00000000-0005-0000-0000-0000C0010000}"/>
    <cellStyle name="W?_BOOKSHIP" xfId="584" xr:uid="{00000000-0005-0000-0000-0000C1010000}"/>
    <cellStyle name="W_BOOKSHIP" xfId="585" xr:uid="{00000000-0005-0000-0000-0000C2010000}"/>
    <cellStyle name="0,0_x000d__x000a_NA_x000d__x000a_" xfId="586" xr:uid="{00000000-0005-0000-0000-0000C3010000}"/>
    <cellStyle name="0.0" xfId="587" xr:uid="{00000000-0005-0000-0000-0000C4010000}"/>
    <cellStyle name="0.00" xfId="588" xr:uid="{00000000-0005-0000-0000-0000C5010000}"/>
    <cellStyle name="0]_SG&amp;A" xfId="589" xr:uid="{00000000-0005-0000-0000-0000C6010000}"/>
    <cellStyle name="0뾍R_x0005_?뾍b_x0005_" xfId="590" xr:uid="{00000000-0005-0000-0000-0000C7010000}"/>
    <cellStyle name="¼????XLS!check_filesche|_x0005_" xfId="591" xr:uid="{00000000-0005-0000-0000-0000C8010000}"/>
    <cellStyle name="¼ÀÚ»?XLS!check_filesche|_x0005_" xfId="26" xr:uid="{00000000-0005-0000-0000-0000C9010000}"/>
    <cellStyle name="¼AU≫?XLS!check_filesche|_x0005_" xfId="27" xr:uid="{00000000-0005-0000-0000-0000CA010000}"/>
    <cellStyle name="1" xfId="592" xr:uid="{00000000-0005-0000-0000-0000CB010000}"/>
    <cellStyle name="1_1127PHM (2)" xfId="593" xr:uid="{00000000-0005-0000-0000-0000CC010000}"/>
    <cellStyle name="1_1127PHM (4)" xfId="594" xr:uid="{00000000-0005-0000-0000-0000CD010000}"/>
    <cellStyle name="1_2000PN지침" xfId="595" xr:uid="{00000000-0005-0000-0000-0000CE010000}"/>
    <cellStyle name="1_918PHM (2)" xfId="596" xr:uid="{00000000-0005-0000-0000-0000CF010000}"/>
    <cellStyle name="1_97년PI333종합" xfId="597" xr:uid="{00000000-0005-0000-0000-0000D0010000}"/>
    <cellStyle name="1_CRD판매 (2)" xfId="598" xr:uid="{00000000-0005-0000-0000-0000D1010000}"/>
    <cellStyle name="1_MC&amp;다변화" xfId="599" xr:uid="{00000000-0005-0000-0000-0000D2010000}"/>
    <cellStyle name="1_다변화SAMPLE" xfId="600" xr:uid="{00000000-0005-0000-0000-0000D3010000}"/>
    <cellStyle name="1_사업계획2001" xfId="601" xr:uid="{00000000-0005-0000-0000-0000D4010000}"/>
    <cellStyle name="1991-" xfId="602" xr:uid="{00000000-0005-0000-0000-0000D5010000}"/>
    <cellStyle name="¹eºÐA²_±aA¸" xfId="603" xr:uid="{00000000-0005-0000-0000-0000D6010000}"/>
    <cellStyle name="2 Ou_VBA_PROJECT_CUR" xfId="604" xr:uid="{00000000-0005-0000-0000-0000D7010000}"/>
    <cellStyle name="2)" xfId="605" xr:uid="{00000000-0005-0000-0000-0000D8010000}"/>
    <cellStyle name="20% - Accent1" xfId="606" xr:uid="{00000000-0005-0000-0000-0000D9010000}"/>
    <cellStyle name="20% - Accent2" xfId="607" xr:uid="{00000000-0005-0000-0000-0000DA010000}"/>
    <cellStyle name="20% - Accent3" xfId="608" xr:uid="{00000000-0005-0000-0000-0000DB010000}"/>
    <cellStyle name="20% - Accent4" xfId="609" xr:uid="{00000000-0005-0000-0000-0000DC010000}"/>
    <cellStyle name="20% - Accent5" xfId="610" xr:uid="{00000000-0005-0000-0000-0000DD010000}"/>
    <cellStyle name="20% - Accent6" xfId="611" xr:uid="{00000000-0005-0000-0000-0000DE010000}"/>
    <cellStyle name="20% - 강조색1 2" xfId="612" xr:uid="{00000000-0005-0000-0000-0000DF010000}"/>
    <cellStyle name="20% - 강조색1 2 2" xfId="613" xr:uid="{00000000-0005-0000-0000-0000E0010000}"/>
    <cellStyle name="20% - 강조색1 3" xfId="614" xr:uid="{00000000-0005-0000-0000-0000E1010000}"/>
    <cellStyle name="20% - 강조색1 3 2" xfId="615" xr:uid="{00000000-0005-0000-0000-0000E2010000}"/>
    <cellStyle name="20% - 강조색2 2" xfId="616" xr:uid="{00000000-0005-0000-0000-0000E3010000}"/>
    <cellStyle name="20% - 강조색2 2 2" xfId="617" xr:uid="{00000000-0005-0000-0000-0000E4010000}"/>
    <cellStyle name="20% - 강조색2 3" xfId="618" xr:uid="{00000000-0005-0000-0000-0000E5010000}"/>
    <cellStyle name="20% - 강조색2 3 2" xfId="619" xr:uid="{00000000-0005-0000-0000-0000E6010000}"/>
    <cellStyle name="20% - 강조색3 2" xfId="620" xr:uid="{00000000-0005-0000-0000-0000E7010000}"/>
    <cellStyle name="20% - 강조색3 2 2" xfId="621" xr:uid="{00000000-0005-0000-0000-0000E8010000}"/>
    <cellStyle name="20% - 강조색3 3" xfId="622" xr:uid="{00000000-0005-0000-0000-0000E9010000}"/>
    <cellStyle name="20% - 강조색3 3 2" xfId="623" xr:uid="{00000000-0005-0000-0000-0000EA010000}"/>
    <cellStyle name="20% - 강조색4 2" xfId="624" xr:uid="{00000000-0005-0000-0000-0000EB010000}"/>
    <cellStyle name="20% - 강조색4 2 2" xfId="625" xr:uid="{00000000-0005-0000-0000-0000EC010000}"/>
    <cellStyle name="20% - 강조색4 3" xfId="626" xr:uid="{00000000-0005-0000-0000-0000ED010000}"/>
    <cellStyle name="20% - 강조색4 3 2" xfId="627" xr:uid="{00000000-0005-0000-0000-0000EE010000}"/>
    <cellStyle name="20% - 강조색5 2" xfId="628" xr:uid="{00000000-0005-0000-0000-0000EF010000}"/>
    <cellStyle name="20% - 강조색5 2 2" xfId="629" xr:uid="{00000000-0005-0000-0000-0000F0010000}"/>
    <cellStyle name="20% - 강조색5 3" xfId="630" xr:uid="{00000000-0005-0000-0000-0000F1010000}"/>
    <cellStyle name="20% - 강조색5 3 2" xfId="631" xr:uid="{00000000-0005-0000-0000-0000F2010000}"/>
    <cellStyle name="20% - 강조색6 2" xfId="632" xr:uid="{00000000-0005-0000-0000-0000F3010000}"/>
    <cellStyle name="20% - 강조색6 2 2" xfId="633" xr:uid="{00000000-0005-0000-0000-0000F4010000}"/>
    <cellStyle name="20% - 강조색6 3" xfId="634" xr:uid="{00000000-0005-0000-0000-0000F5010000}"/>
    <cellStyle name="20% - 강조색6 3 2" xfId="635" xr:uid="{00000000-0005-0000-0000-0000F6010000}"/>
    <cellStyle name="32" xfId="3908" xr:uid="{7281FE35-0356-42FF-8073-9D7D9D36BFF7}"/>
    <cellStyle name="40% - Accent1" xfId="636" xr:uid="{00000000-0005-0000-0000-0000F7010000}"/>
    <cellStyle name="40% - Accent2" xfId="637" xr:uid="{00000000-0005-0000-0000-0000F8010000}"/>
    <cellStyle name="40% - Accent3" xfId="638" xr:uid="{00000000-0005-0000-0000-0000F9010000}"/>
    <cellStyle name="40% - Accent4" xfId="639" xr:uid="{00000000-0005-0000-0000-0000FA010000}"/>
    <cellStyle name="40% - Accent5" xfId="640" xr:uid="{00000000-0005-0000-0000-0000FB010000}"/>
    <cellStyle name="40% - Accent6" xfId="641" xr:uid="{00000000-0005-0000-0000-0000FC010000}"/>
    <cellStyle name="40% - 강조색1 2" xfId="642" xr:uid="{00000000-0005-0000-0000-0000FD010000}"/>
    <cellStyle name="40% - 강조색1 2 2" xfId="643" xr:uid="{00000000-0005-0000-0000-0000FE010000}"/>
    <cellStyle name="40% - 강조색1 3" xfId="644" xr:uid="{00000000-0005-0000-0000-0000FF010000}"/>
    <cellStyle name="40% - 강조색1 3 2" xfId="645" xr:uid="{00000000-0005-0000-0000-000000020000}"/>
    <cellStyle name="40% - 강조색2 2" xfId="646" xr:uid="{00000000-0005-0000-0000-000001020000}"/>
    <cellStyle name="40% - 강조색2 2 2" xfId="647" xr:uid="{00000000-0005-0000-0000-000002020000}"/>
    <cellStyle name="40% - 강조색2 3" xfId="648" xr:uid="{00000000-0005-0000-0000-000003020000}"/>
    <cellStyle name="40% - 강조색2 3 2" xfId="649" xr:uid="{00000000-0005-0000-0000-000004020000}"/>
    <cellStyle name="40% - 강조색3 2" xfId="650" xr:uid="{00000000-0005-0000-0000-000005020000}"/>
    <cellStyle name="40% - 강조색3 2 2" xfId="651" xr:uid="{00000000-0005-0000-0000-000006020000}"/>
    <cellStyle name="40% - 강조색3 3" xfId="652" xr:uid="{00000000-0005-0000-0000-000007020000}"/>
    <cellStyle name="40% - 강조색3 3 2" xfId="653" xr:uid="{00000000-0005-0000-0000-000008020000}"/>
    <cellStyle name="40% - 강조색4 2" xfId="654" xr:uid="{00000000-0005-0000-0000-000009020000}"/>
    <cellStyle name="40% - 강조색4 2 2" xfId="655" xr:uid="{00000000-0005-0000-0000-00000A020000}"/>
    <cellStyle name="40% - 강조색4 3" xfId="656" xr:uid="{00000000-0005-0000-0000-00000B020000}"/>
    <cellStyle name="40% - 강조색4 3 2" xfId="657" xr:uid="{00000000-0005-0000-0000-00000C020000}"/>
    <cellStyle name="40% - 강조색5 2" xfId="658" xr:uid="{00000000-0005-0000-0000-00000D020000}"/>
    <cellStyle name="40% - 강조색5 2 2" xfId="659" xr:uid="{00000000-0005-0000-0000-00000E020000}"/>
    <cellStyle name="40% - 강조색5 3" xfId="660" xr:uid="{00000000-0005-0000-0000-00000F020000}"/>
    <cellStyle name="40% - 강조색5 3 2" xfId="661" xr:uid="{00000000-0005-0000-0000-000010020000}"/>
    <cellStyle name="40% - 강조색6 2" xfId="662" xr:uid="{00000000-0005-0000-0000-000011020000}"/>
    <cellStyle name="40% - 강조색6 2 2" xfId="663" xr:uid="{00000000-0005-0000-0000-000012020000}"/>
    <cellStyle name="40% - 강조색6 3" xfId="664" xr:uid="{00000000-0005-0000-0000-000013020000}"/>
    <cellStyle name="40% - 강조색6 3 2" xfId="665" xr:uid="{00000000-0005-0000-0000-000014020000}"/>
    <cellStyle name="6 SBUormal_Q2-Q3 SG&amp;A Bridge" xfId="666" xr:uid="{00000000-0005-0000-0000-000015020000}"/>
    <cellStyle name="60% - Accent1" xfId="667" xr:uid="{00000000-0005-0000-0000-000016020000}"/>
    <cellStyle name="60% - Accent2" xfId="668" xr:uid="{00000000-0005-0000-0000-000017020000}"/>
    <cellStyle name="60% - Accent3" xfId="669" xr:uid="{00000000-0005-0000-0000-000018020000}"/>
    <cellStyle name="60% - Accent4" xfId="670" xr:uid="{00000000-0005-0000-0000-000019020000}"/>
    <cellStyle name="60% - Accent5" xfId="671" xr:uid="{00000000-0005-0000-0000-00001A020000}"/>
    <cellStyle name="60% - Accent6" xfId="672" xr:uid="{00000000-0005-0000-0000-00001B020000}"/>
    <cellStyle name="60% - 강조색1 2" xfId="673" xr:uid="{00000000-0005-0000-0000-00001C020000}"/>
    <cellStyle name="60% - 강조색1 2 2" xfId="674" xr:uid="{00000000-0005-0000-0000-00001D020000}"/>
    <cellStyle name="60% - 강조색1 3" xfId="675" xr:uid="{00000000-0005-0000-0000-00001E020000}"/>
    <cellStyle name="60% - 강조색1 3 2" xfId="676" xr:uid="{00000000-0005-0000-0000-00001F020000}"/>
    <cellStyle name="60% - 강조색2 2" xfId="677" xr:uid="{00000000-0005-0000-0000-000020020000}"/>
    <cellStyle name="60% - 강조색2 2 2" xfId="678" xr:uid="{00000000-0005-0000-0000-000021020000}"/>
    <cellStyle name="60% - 강조색2 3" xfId="679" xr:uid="{00000000-0005-0000-0000-000022020000}"/>
    <cellStyle name="60% - 강조색2 3 2" xfId="680" xr:uid="{00000000-0005-0000-0000-000023020000}"/>
    <cellStyle name="60% - 강조색3 2" xfId="681" xr:uid="{00000000-0005-0000-0000-000024020000}"/>
    <cellStyle name="60% - 강조색3 2 2" xfId="682" xr:uid="{00000000-0005-0000-0000-000025020000}"/>
    <cellStyle name="60% - 강조색3 3" xfId="683" xr:uid="{00000000-0005-0000-0000-000026020000}"/>
    <cellStyle name="60% - 강조색3 3 2" xfId="684" xr:uid="{00000000-0005-0000-0000-000027020000}"/>
    <cellStyle name="60% - 강조색4 2" xfId="685" xr:uid="{00000000-0005-0000-0000-000028020000}"/>
    <cellStyle name="60% - 강조색4 2 2" xfId="686" xr:uid="{00000000-0005-0000-0000-000029020000}"/>
    <cellStyle name="60% - 강조색4 3" xfId="687" xr:uid="{00000000-0005-0000-0000-00002A020000}"/>
    <cellStyle name="60% - 강조색4 3 2" xfId="688" xr:uid="{00000000-0005-0000-0000-00002B020000}"/>
    <cellStyle name="60% - 강조색5 2" xfId="689" xr:uid="{00000000-0005-0000-0000-00002C020000}"/>
    <cellStyle name="60% - 강조색5 2 2" xfId="690" xr:uid="{00000000-0005-0000-0000-00002D020000}"/>
    <cellStyle name="60% - 강조색5 3" xfId="691" xr:uid="{00000000-0005-0000-0000-00002E020000}"/>
    <cellStyle name="60% - 강조색5 3 2" xfId="692" xr:uid="{00000000-0005-0000-0000-00002F020000}"/>
    <cellStyle name="60% - 강조색6 2" xfId="693" xr:uid="{00000000-0005-0000-0000-000030020000}"/>
    <cellStyle name="60% - 강조색6 2 2" xfId="694" xr:uid="{00000000-0005-0000-0000-000031020000}"/>
    <cellStyle name="60% - 강조색6 3" xfId="695" xr:uid="{00000000-0005-0000-0000-000032020000}"/>
    <cellStyle name="60% - 강조색6 3 2" xfId="696" xr:uid="{00000000-0005-0000-0000-000033020000}"/>
    <cellStyle name="95262" xfId="697" xr:uid="{00000000-0005-0000-0000-000034020000}"/>
    <cellStyle name="A¡§¡ⓒ¡E¡þ¡EO [0]_¡Ii¨I¡IA¡§IAIA¡E￠￥ " xfId="698" xr:uid="{00000000-0005-0000-0000-000035020000}"/>
    <cellStyle name="A¡§¡ⓒ¡E¡þ¡EO_¡Ii¨I¡IA¡§IAIA¡E￠￥ " xfId="699" xr:uid="{00000000-0005-0000-0000-000036020000}"/>
    <cellStyle name="A¨­￠￢￠O [0]_          " xfId="3909" xr:uid="{4F7E0DA1-B345-4051-AD84-911B46606AA3}"/>
    <cellStyle name="A¨­¢¬¢Ò [0]_M105CDT " xfId="700" xr:uid="{00000000-0005-0000-0000-000038020000}"/>
    <cellStyle name="A¨­￠￢￠O [0]_M107CDT " xfId="701" xr:uid="{00000000-0005-0000-0000-000039020000}"/>
    <cellStyle name="A¨­¢¬¢Ò [0]_M107CDT " xfId="702" xr:uid="{00000000-0005-0000-0000-00003A020000}"/>
    <cellStyle name="A¨­￠￢￠O_          " xfId="3910" xr:uid="{5CCDC147-9417-4811-AE5E-A52F742F8172}"/>
    <cellStyle name="A¨­¢¬¢Ò_M105CDT " xfId="703" xr:uid="{00000000-0005-0000-0000-00003C020000}"/>
    <cellStyle name="A¨­￠￢￠O_M107CDT " xfId="704" xr:uid="{00000000-0005-0000-0000-00003D020000}"/>
    <cellStyle name="A¨­¢¬¢Ò_M107CDT " xfId="705" xr:uid="{00000000-0005-0000-0000-00003E020000}"/>
    <cellStyle name="A￠R¡×￠R¨I￠RE￠Rⓒ­￠REO [0]_¡ER¡§￠R¡§I¡ERAi¡ERicAc¡ER¡§￠Ri " xfId="706" xr:uid="{00000000-0005-0000-0000-00003F020000}"/>
    <cellStyle name="A￠R¡×￠R¨I￠RE￠Rⓒ­￠REO_¡ER¡§￠R¡§I¡ERAi¡ERicAc¡ER¡§￠Ri " xfId="707" xr:uid="{00000000-0005-0000-0000-000040020000}"/>
    <cellStyle name="Accent1" xfId="708" xr:uid="{00000000-0005-0000-0000-000041020000}"/>
    <cellStyle name="Accent2" xfId="709" xr:uid="{00000000-0005-0000-0000-000042020000}"/>
    <cellStyle name="Accent3" xfId="710" xr:uid="{00000000-0005-0000-0000-000043020000}"/>
    <cellStyle name="Accent4" xfId="711" xr:uid="{00000000-0005-0000-0000-000044020000}"/>
    <cellStyle name="Accent5" xfId="712" xr:uid="{00000000-0005-0000-0000-000045020000}"/>
    <cellStyle name="Accent6" xfId="713" xr:uid="{00000000-0005-0000-0000-000046020000}"/>
    <cellStyle name="AeE­" xfId="714" xr:uid="{00000000-0005-0000-0000-000047020000}"/>
    <cellStyle name="AeE­ [0]" xfId="715" xr:uid="{00000000-0005-0000-0000-000048020000}"/>
    <cellStyle name="ÅëÈ­ [0]_¡Ú¾ÈÜ¬ Á¾ÇÕºñ±³ " xfId="716" xr:uid="{00000000-0005-0000-0000-000049020000}"/>
    <cellStyle name="AeE­ [0]_¡U¾EU￢ A¾COºn±³  2" xfId="717" xr:uid="{00000000-0005-0000-0000-00004A020000}"/>
    <cellStyle name="ÅëÈ­ [0]_´ë¿ìÃâÇÏ¿äÃ» " xfId="28" xr:uid="{00000000-0005-0000-0000-00004B020000}"/>
    <cellStyle name="AeE­ [0]_´e¿iAaCI¿aA≫ " xfId="29" xr:uid="{00000000-0005-0000-0000-00004C020000}"/>
    <cellStyle name="ÅëÈ­ [0]_´Ü°èº° ±¸Ãà¾È" xfId="718" xr:uid="{00000000-0005-0000-0000-00004D020000}"/>
    <cellStyle name="AeE­ [0]_´U°eº°¾÷¹≪" xfId="719" xr:uid="{00000000-0005-0000-0000-00004E020000}"/>
    <cellStyle name="ÅëÈ­ [0]_¿ù°£" xfId="720" xr:uid="{00000000-0005-0000-0000-00004F020000}"/>
    <cellStyle name="AeE­ [0]_¿u°￡_laroux" xfId="721" xr:uid="{00000000-0005-0000-0000-000050020000}"/>
    <cellStyle name="ÅëÈ­ [0]_¿ù°£_laroux" xfId="722" xr:uid="{00000000-0005-0000-0000-000051020000}"/>
    <cellStyle name="AeE­ [0]_¿μ¾÷º¸°i" xfId="723" xr:uid="{00000000-0005-0000-0000-000052020000}"/>
    <cellStyle name="ÅëÈ­ [0]_¥±- 2 " xfId="724" xr:uid="{00000000-0005-0000-0000-000053020000}"/>
    <cellStyle name="AeE­ [0]_¼­½AA¼°e_AoAO°eE¹ " xfId="725" xr:uid="{00000000-0005-0000-0000-000054020000}"/>
    <cellStyle name="ÅëÈ­ [0]_¼­½ÄÃ¼°è_ÅõÀÔ°èÈ¹ " xfId="726" xr:uid="{00000000-0005-0000-0000-000055020000}"/>
    <cellStyle name="AeE­ [0]_¼­½AA¼01" xfId="727" xr:uid="{00000000-0005-0000-0000-000056020000}"/>
    <cellStyle name="ÅëÈ­ [0]_¼­½ÄÃ¼01" xfId="728" xr:uid="{00000000-0005-0000-0000-000057020000}"/>
    <cellStyle name="AeE­ [0]_¼­½AA¼01_AoAO°eE¹ " xfId="729" xr:uid="{00000000-0005-0000-0000-000058020000}"/>
    <cellStyle name="ÅëÈ­ [0]_¼­½ÄÃ¼01_ÅõÀÔ°èÈ¹ " xfId="730" xr:uid="{00000000-0005-0000-0000-000059020000}"/>
    <cellStyle name="AeE­ [0]_¼­½AAI¶÷" xfId="731" xr:uid="{00000000-0005-0000-0000-00005A020000}"/>
    <cellStyle name="ÅëÈ­ [0]_¼­½ÄÀÏ¶÷" xfId="732" xr:uid="{00000000-0005-0000-0000-00005B020000}"/>
    <cellStyle name="AeE­ [0]_¼­½AAI¶÷_AoAO°eE¹ " xfId="733" xr:uid="{00000000-0005-0000-0000-00005C020000}"/>
    <cellStyle name="ÅëÈ­ [0]_¼­½ÄÀÏ¶÷_ÅõÀÔ°èÈ¹ " xfId="734" xr:uid="{00000000-0005-0000-0000-00005D020000}"/>
    <cellStyle name="AeE­ [0]_¼oAOCaA¤½A≫o " xfId="735" xr:uid="{00000000-0005-0000-0000-00005E020000}"/>
    <cellStyle name="ÅëÈ­ [0]_¾ç½Ä1" xfId="736" xr:uid="{00000000-0005-0000-0000-00005F020000}"/>
    <cellStyle name="AeE­ [0]_¾c½A2" xfId="737" xr:uid="{00000000-0005-0000-0000-000060020000}"/>
    <cellStyle name="ÅëÈ­ [0]_¾ç½Ä2" xfId="738" xr:uid="{00000000-0005-0000-0000-000061020000}"/>
    <cellStyle name="AeE­ [0]_¾c½A3" xfId="739" xr:uid="{00000000-0005-0000-0000-000062020000}"/>
    <cellStyle name="ÅëÈ­ [0]_¾ç½Ä3" xfId="740" xr:uid="{00000000-0005-0000-0000-000063020000}"/>
    <cellStyle name="AeE­ [0]_1 (2)" xfId="741" xr:uid="{00000000-0005-0000-0000-000064020000}"/>
    <cellStyle name="ÅëÈ­ [0]_1 (2)" xfId="742" xr:uid="{00000000-0005-0000-0000-000065020000}"/>
    <cellStyle name="AeE­ [0]_1 (3)" xfId="743" xr:uid="{00000000-0005-0000-0000-000066020000}"/>
    <cellStyle name="ÅëÈ­ [0]_1 (3)" xfId="744" xr:uid="{00000000-0005-0000-0000-000067020000}"/>
    <cellStyle name="AeE­ [0]_1.±a¾EA≫Ao" xfId="745" xr:uid="{00000000-0005-0000-0000-000068020000}"/>
    <cellStyle name="ÅëÈ­ [0]_1.±â¾ÈÁö" xfId="746" xr:uid="{00000000-0005-0000-0000-000069020000}"/>
    <cellStyle name="AeE­ [0]_1.ÆC¸A½CAu " xfId="747" xr:uid="{00000000-0005-0000-0000-00006A020000}"/>
    <cellStyle name="ÅëÈ­ [0]_1.ÆÇ¸Å½ÇÀû " xfId="748" xr:uid="{00000000-0005-0000-0000-00006B020000}"/>
    <cellStyle name="AeE­ [0]_1.ÆC¸A½CAu _IR 수입품의" xfId="749" xr:uid="{00000000-0005-0000-0000-00006C020000}"/>
    <cellStyle name="ÅëÈ­ [0]_1.SUMMARY " xfId="750" xr:uid="{00000000-0005-0000-0000-00006D020000}"/>
    <cellStyle name="AeE­ [0]_1.SUMMARY _IR 수입품의" xfId="751" xr:uid="{00000000-0005-0000-0000-00006E020000}"/>
    <cellStyle name="ÅëÈ­ [0]_14.¹®¼­¸ñ·Ï" xfId="752" xr:uid="{00000000-0005-0000-0000-00006F020000}"/>
    <cellStyle name="AeE­ [0]_14.¹R¼­¸n·I" xfId="753" xr:uid="{00000000-0005-0000-0000-000070020000}"/>
    <cellStyle name="ÅëÈ­ [0]_19.¼­½Äµî·Ï´ëÀå" xfId="754" xr:uid="{00000000-0005-0000-0000-000071020000}"/>
    <cellStyle name="AeE­ [0]_19.¼­½Aμi·I´eAa" xfId="755" xr:uid="{00000000-0005-0000-0000-000072020000}"/>
    <cellStyle name="ÅëÈ­ [0]_1TÇ°ÀÇ" xfId="756" xr:uid="{00000000-0005-0000-0000-000073020000}"/>
    <cellStyle name="AeE­ [0]_2.´e¿U½ACa" xfId="757" xr:uid="{00000000-0005-0000-0000-000074020000}"/>
    <cellStyle name="ÅëÈ­ [0]_2.´ë¿Ü½ÃÇà" xfId="758" xr:uid="{00000000-0005-0000-0000-000075020000}"/>
    <cellStyle name="AeE­ [0]_2.CONCEPT " xfId="759" xr:uid="{00000000-0005-0000-0000-000076020000}"/>
    <cellStyle name="ÅëÈ­ [0]_2.CONCEPT " xfId="760" xr:uid="{00000000-0005-0000-0000-000077020000}"/>
    <cellStyle name="AeE­ [0]_2.CONCEPT _IR 수입품의" xfId="761" xr:uid="{00000000-0005-0000-0000-000078020000}"/>
    <cellStyle name="ÅëÈ­ [0]_21.¿­¶÷Áõ" xfId="762" xr:uid="{00000000-0005-0000-0000-000079020000}"/>
    <cellStyle name="AeE­ [0]_22.¹R¼­¹YAa" xfId="763" xr:uid="{00000000-0005-0000-0000-00007A020000}"/>
    <cellStyle name="ÅëÈ­ [0]_3.´ë³»½ÃÇà" xfId="764" xr:uid="{00000000-0005-0000-0000-00007B020000}"/>
    <cellStyle name="AeE­ [0]_3.´e³≫½ACa" xfId="765" xr:uid="{00000000-0005-0000-0000-00007C020000}"/>
    <cellStyle name="ÅëÈ­ [0]_³»¿ë" xfId="766" xr:uid="{00000000-0005-0000-0000-00007D020000}"/>
    <cellStyle name="AeE­ [0]_³≫¿e" xfId="767" xr:uid="{00000000-0005-0000-0000-00007E020000}"/>
    <cellStyle name="ÅëÈ­ [0]_3PJTR°èÈ¹ " xfId="768" xr:uid="{00000000-0005-0000-0000-00007F020000}"/>
    <cellStyle name="AeE­ [0]_4 " xfId="769" xr:uid="{00000000-0005-0000-0000-000080020000}"/>
    <cellStyle name="ÅëÈ­ [0]_4 " xfId="770" xr:uid="{00000000-0005-0000-0000-000081020000}"/>
    <cellStyle name="AeE­ [0]_4 _JM신차보고1203" xfId="771" xr:uid="{00000000-0005-0000-0000-000082020000}"/>
    <cellStyle name="ÅëÈ­ [0]_6.¹ß¼ÛÀÎ" xfId="772" xr:uid="{00000000-0005-0000-0000-000083020000}"/>
    <cellStyle name="AeE­ [0]_6-3°æAi·A " xfId="773" xr:uid="{00000000-0005-0000-0000-000084020000}"/>
    <cellStyle name="ÅëÈ­ [0]_6-3°æÀï·Â " xfId="774" xr:uid="{00000000-0005-0000-0000-000085020000}"/>
    <cellStyle name="AeE­ [0]_6-3°æAi·A _±¸¸A½CAu " xfId="775" xr:uid="{00000000-0005-0000-0000-000086020000}"/>
    <cellStyle name="ÅëÈ­ [0]_7.MASTER SCHEDULE " xfId="776" xr:uid="{00000000-0005-0000-0000-000087020000}"/>
    <cellStyle name="AeE­ [0]_7.MASTER SCHEDULE _IR 수입품의" xfId="777" xr:uid="{00000000-0005-0000-0000-000088020000}"/>
    <cellStyle name="ÅëÈ­ [0]_8.°£Çà´ëÀå" xfId="778" xr:uid="{00000000-0005-0000-0000-000089020000}"/>
    <cellStyle name="AeE­ [0]_8.°￡Ca¹°°u¸R´eAa" xfId="779" xr:uid="{00000000-0005-0000-0000-00008A020000}"/>
    <cellStyle name="ÅëÈ­ [0]_9" xfId="780" xr:uid="{00000000-0005-0000-0000-00008B020000}"/>
    <cellStyle name="AeE­ [0]_9.A￠¼oAI" xfId="781" xr:uid="{00000000-0005-0000-0000-00008C020000}"/>
    <cellStyle name="ÅëÈ­ [0]_9.Á¢¼öÀÎ" xfId="782" xr:uid="{00000000-0005-0000-0000-00008D020000}"/>
    <cellStyle name="AeE­ [0]_96°eE¹ " xfId="783" xr:uid="{00000000-0005-0000-0000-00008E020000}"/>
    <cellStyle name="ÅëÈ­ [0]_96°èÈ¹ " xfId="784" xr:uid="{00000000-0005-0000-0000-00008F020000}"/>
    <cellStyle name="AeE­ [0]_96¾Æ½OBD " xfId="785" xr:uid="{00000000-0005-0000-0000-000090020000}"/>
    <cellStyle name="ÅëÈ­ [0]_À¯Çüº°ÀüÃ¼(¿ï»ê°øÀå)  " xfId="786" xr:uid="{00000000-0005-0000-0000-000091020000}"/>
    <cellStyle name="AeE­ [0]_A÷·E_CO¸RE­¾E " xfId="787" xr:uid="{00000000-0005-0000-0000-000092020000}"/>
    <cellStyle name="ÅëÈ­ [0]_ÀÎ¿ø°èÈ¹ " xfId="788" xr:uid="{00000000-0005-0000-0000-000093020000}"/>
    <cellStyle name="AeE­ [0]_AI¿ø¹× A¶A÷(96.5.2.) " xfId="789" xr:uid="{00000000-0005-0000-0000-000094020000}"/>
    <cellStyle name="ÅëÈ­ [0]_ÀÎ¿ø¹× Á¶Á÷(96.5.2.) " xfId="790" xr:uid="{00000000-0005-0000-0000-000095020000}"/>
    <cellStyle name="AeE­ [0]_AI¿ø¹× A¶A÷(96.5.2.)  2" xfId="791" xr:uid="{00000000-0005-0000-0000-000096020000}"/>
    <cellStyle name="ÅëÈ­ [0]_ÀÎ¿ø¹× Á¶Á÷(96.5.2.)  2" xfId="792" xr:uid="{00000000-0005-0000-0000-000097020000}"/>
    <cellStyle name="AeE­ [0]_AI¿ø¹× A¶A÷(96.5.2.)  3" xfId="793" xr:uid="{00000000-0005-0000-0000-000098020000}"/>
    <cellStyle name="ÅëÈ­ [0]_ÀÎ¿ø¹× Á¶Á÷(96.5.2.)  3" xfId="794" xr:uid="{00000000-0005-0000-0000-000099020000}"/>
    <cellStyle name="AeE­ [0]_AI¿ø¹× A¶A÷(96.5.2.) _±¸¸A½CAu " xfId="795" xr:uid="{00000000-0005-0000-0000-00009A020000}"/>
    <cellStyle name="ÅëÈ­ [0]_ÀÎÀå±Ô°Ý" xfId="796" xr:uid="{00000000-0005-0000-0000-00009B020000}"/>
    <cellStyle name="AeE­ [0]_AN°yC￥ " xfId="797" xr:uid="{00000000-0005-0000-0000-00009C020000}"/>
    <cellStyle name="ÅëÈ­ [0]_ÃÑ°ýÇ¥ " xfId="798" xr:uid="{00000000-0005-0000-0000-00009D020000}"/>
    <cellStyle name="AeE­ [0]_AN°yº¸°i-Aß°¡Ay°¨ " xfId="799" xr:uid="{00000000-0005-0000-0000-00009E020000}"/>
    <cellStyle name="ÅëÈ­ [0]_ÃÖÁ¾ÀÏÁ¤ " xfId="800" xr:uid="{00000000-0005-0000-0000-00009F020000}"/>
    <cellStyle name="AeE­ [0]_AOA¾AIA¤ _IR 수입품의" xfId="801" xr:uid="{00000000-0005-0000-0000-0000A0020000}"/>
    <cellStyle name="ÅëÈ­ [0]_CODE (2)" xfId="802" xr:uid="{00000000-0005-0000-0000-0000A1020000}"/>
    <cellStyle name="AeE­ [0]_Cu±a" xfId="803" xr:uid="{00000000-0005-0000-0000-0000A2020000}"/>
    <cellStyle name="ÅëÈ­ [0]_Çù±â" xfId="804" xr:uid="{00000000-0005-0000-0000-0000A3020000}"/>
    <cellStyle name="AeE­ [0]_CuA¶Au" xfId="805" xr:uid="{00000000-0005-0000-0000-0000A4020000}"/>
    <cellStyle name="ÅëÈ­ [0]_ÇùÁ¶Àü" xfId="806" xr:uid="{00000000-0005-0000-0000-0000A5020000}"/>
    <cellStyle name="AeE­ [0]_CuA¶Au_금형견적" xfId="807" xr:uid="{00000000-0005-0000-0000-0000A6020000}"/>
    <cellStyle name="ÅëÈ­ [0]_FLOW" xfId="808" xr:uid="{00000000-0005-0000-0000-0000A7020000}"/>
    <cellStyle name="AeE­ [0]_INQUIRY ¿μ¾÷AßAø " xfId="809" xr:uid="{00000000-0005-0000-0000-0000A8020000}"/>
    <cellStyle name="ÅëÈ­ [0]_laroux" xfId="810" xr:uid="{00000000-0005-0000-0000-0000A9020000}"/>
    <cellStyle name="AeE­ [0]_laroux_1" xfId="811" xr:uid="{00000000-0005-0000-0000-0000AA020000}"/>
    <cellStyle name="ÅëÈ­ [0]_laroux_1" xfId="812" xr:uid="{00000000-0005-0000-0000-0000AB020000}"/>
    <cellStyle name="AeE­ [0]_laroux_1_laroux" xfId="813" xr:uid="{00000000-0005-0000-0000-0000AC020000}"/>
    <cellStyle name="ÅëÈ­ [0]_laroux_1_laroux" xfId="814" xr:uid="{00000000-0005-0000-0000-0000AD020000}"/>
    <cellStyle name="AeE­ [0]_lx-taxi _±¸¸A½CAu " xfId="815" xr:uid="{00000000-0005-0000-0000-0000AE020000}"/>
    <cellStyle name="ÅëÈ­ [0]_MHPORTER " xfId="816" xr:uid="{00000000-0005-0000-0000-0000AF020000}"/>
    <cellStyle name="AeE­ [0]_MKN-M1.1 " xfId="817" xr:uid="{00000000-0005-0000-0000-0000B0020000}"/>
    <cellStyle name="ÅëÈ­ [0]_MKN-M1.1 " xfId="818" xr:uid="{00000000-0005-0000-0000-0000B1020000}"/>
    <cellStyle name="AeE­ [0]_º?°æ¹RA³" xfId="819" xr:uid="{00000000-0005-0000-0000-0000B2020000}"/>
    <cellStyle name="ÅëÈ­ [0]_º¯°æ¹®Ã³" xfId="820" xr:uid="{00000000-0005-0000-0000-0000B3020000}"/>
    <cellStyle name="AeE­ [0]_º≫ºIA¶A÷ " xfId="821" xr:uid="{00000000-0005-0000-0000-0000B4020000}"/>
    <cellStyle name="ÅëÈ­ [0]_ºÐ·ù±â01" xfId="822" xr:uid="{00000000-0005-0000-0000-0000B5020000}"/>
    <cellStyle name="AeE­ [0]_ºÐ·u±a01_AoAO°eE¹ " xfId="823" xr:uid="{00000000-0005-0000-0000-0000B6020000}"/>
    <cellStyle name="ÅëÈ­ [0]_ºÐ·ù±â01_ÅõÀÔ°èÈ¹ " xfId="824" xr:uid="{00000000-0005-0000-0000-0000B7020000}"/>
    <cellStyle name="AeE­ [0]_ºÐ·u±a02" xfId="825" xr:uid="{00000000-0005-0000-0000-0000B8020000}"/>
    <cellStyle name="ÅëÈ­ [0]_ºÐ·ù±â02" xfId="826" xr:uid="{00000000-0005-0000-0000-0000B9020000}"/>
    <cellStyle name="AeE­ [0]_ºÐ·u±a02_AoAO°eE¹ " xfId="827" xr:uid="{00000000-0005-0000-0000-0000BA020000}"/>
    <cellStyle name="ÅëÈ­ [0]_ºÐ·ù±â02_ÅõÀÔ°èÈ¹ " xfId="828" xr:uid="{00000000-0005-0000-0000-0000BB020000}"/>
    <cellStyle name="AeE­ [0]_ºÐ·u±a03" xfId="829" xr:uid="{00000000-0005-0000-0000-0000BC020000}"/>
    <cellStyle name="ÅëÈ­ [0]_ºÐ·ù±â03" xfId="830" xr:uid="{00000000-0005-0000-0000-0000BD020000}"/>
    <cellStyle name="AeE­ [0]_ºÐ·u±a03_AoAO°eE¹ " xfId="831" xr:uid="{00000000-0005-0000-0000-0000BE020000}"/>
    <cellStyle name="ÅëÈ­ [0]_ºÐ·ù±â03_ÅõÀÔ°èÈ¹ " xfId="832" xr:uid="{00000000-0005-0000-0000-0000BF020000}"/>
    <cellStyle name="AeE­ [0]_ºÐ·u±aAØ" xfId="833" xr:uid="{00000000-0005-0000-0000-0000C0020000}"/>
    <cellStyle name="ÅëÈ­ [0]_ºÐ·ù±âÁØ" xfId="834" xr:uid="{00000000-0005-0000-0000-0000C1020000}"/>
    <cellStyle name="AeE­ [0]_ºÐ·u±aAØ_AoAO°eE¹ " xfId="835" xr:uid="{00000000-0005-0000-0000-0000C2020000}"/>
    <cellStyle name="ÅëÈ­ [0]_ºÐ·ù±âÁØ_ÅõÀÔ°èÈ¹ " xfId="836" xr:uid="{00000000-0005-0000-0000-0000C3020000}"/>
    <cellStyle name="AeE­ [0]_ºÐ·u±aE￡" xfId="837" xr:uid="{00000000-0005-0000-0000-0000C4020000}"/>
    <cellStyle name="ÅëÈ­ [0]_ºÐ·ù±âÈ£" xfId="838" xr:uid="{00000000-0005-0000-0000-0000C5020000}"/>
    <cellStyle name="AeE­ [0]_ºÐ·u±aE￡_금형견적" xfId="839" xr:uid="{00000000-0005-0000-0000-0000C6020000}"/>
    <cellStyle name="ÅëÈ­ [0]_SAMPLE " xfId="840" xr:uid="{00000000-0005-0000-0000-0000C7020000}"/>
    <cellStyle name="AeE­ [0]_SAMPLE _JM신차보고1203" xfId="841" xr:uid="{00000000-0005-0000-0000-0000C8020000}"/>
    <cellStyle name="ÅëÈ­ [0]_Sheet1" xfId="842" xr:uid="{00000000-0005-0000-0000-0000C9020000}"/>
    <cellStyle name="AeE­ [0]_Sheet1 (2)_1.SUMMARY " xfId="843" xr:uid="{00000000-0005-0000-0000-0000CA020000}"/>
    <cellStyle name="ÅëÈ­ [0]_Sheet1 (2)_1.SUMMARY " xfId="844" xr:uid="{00000000-0005-0000-0000-0000CB020000}"/>
    <cellStyle name="AeE­ [0]_Sheet1 (2)_1.SUMMARY _IR 수입품의" xfId="845" xr:uid="{00000000-0005-0000-0000-0000CC020000}"/>
    <cellStyle name="ÅëÈ­ [0]_Sheet1 2" xfId="846" xr:uid="{00000000-0005-0000-0000-0000CD020000}"/>
    <cellStyle name="AeE­ [0]_Sheet1_3.MSCHEDULE¿μ¹R " xfId="847" xr:uid="{00000000-0005-0000-0000-0000CE020000}"/>
    <cellStyle name="ÅëÈ­ [0]_Sheet1_ÃÖÁ¾ÀÏÁ¤ " xfId="848" xr:uid="{00000000-0005-0000-0000-0000CF020000}"/>
    <cellStyle name="AeE­ [0]_Sheet1_XD AOA¾AIA¤ " xfId="849" xr:uid="{00000000-0005-0000-0000-0000D0020000}"/>
    <cellStyle name="ÅëÈ­ [0]_Sheet1_XD ÃÖÁ¾ÀÏÁ¤ " xfId="850" xr:uid="{00000000-0005-0000-0000-0000D1020000}"/>
    <cellStyle name="AeE­ [0]_Sheet4" xfId="851" xr:uid="{00000000-0005-0000-0000-0000D2020000}"/>
    <cellStyle name="ÅëÈ­ [0]_Sheet4" xfId="852" xr:uid="{00000000-0005-0000-0000-0000D3020000}"/>
    <cellStyle name="AeE­ [0]_SMG-CKD-d1.1 " xfId="853" xr:uid="{00000000-0005-0000-0000-0000D4020000}"/>
    <cellStyle name="ÅëÈ­ [0]_SMG-CKD-d1.1 " xfId="854" xr:uid="{00000000-0005-0000-0000-0000D5020000}"/>
    <cellStyle name="AeE­ [0]_XD±aAØ " xfId="855" xr:uid="{00000000-0005-0000-0000-0000D6020000}"/>
    <cellStyle name="ÅëÈ­ [0]_XD±âÁØ " xfId="856" xr:uid="{00000000-0005-0000-0000-0000D7020000}"/>
    <cellStyle name="AeE­ [0]_μðAⓒAIA¤ " xfId="857" xr:uid="{00000000-0005-0000-0000-0000D8020000}"/>
    <cellStyle name="AeE­_          " xfId="3911" xr:uid="{55F8D165-CDD3-4B0B-A7B6-32F03F83059A}"/>
    <cellStyle name="ÅëÈ­_¡Ú¾ÈÜ¬ Á¾ÇÕºñ±³ " xfId="858" xr:uid="{00000000-0005-0000-0000-0000DA020000}"/>
    <cellStyle name="AeE­_¡U¾EU￢ A¾COºn±³  2" xfId="859" xr:uid="{00000000-0005-0000-0000-0000DB020000}"/>
    <cellStyle name="ÅëÈ­_´ë¿ìÃâÇÏ¿äÃ» " xfId="30" xr:uid="{00000000-0005-0000-0000-0000DC020000}"/>
    <cellStyle name="AeE­_´e¿iAaCI¿aA≫ " xfId="31" xr:uid="{00000000-0005-0000-0000-0000DD020000}"/>
    <cellStyle name="ÅëÈ­_´Ü°èº° ±¸Ãà¾È" xfId="860" xr:uid="{00000000-0005-0000-0000-0000DE020000}"/>
    <cellStyle name="AeE­_´U°eº°¾÷¹≪" xfId="861" xr:uid="{00000000-0005-0000-0000-0000DF020000}"/>
    <cellStyle name="ÅëÈ­_¿ù°£" xfId="862" xr:uid="{00000000-0005-0000-0000-0000E0020000}"/>
    <cellStyle name="AeE­_¿u°￡_laroux" xfId="863" xr:uid="{00000000-0005-0000-0000-0000E1020000}"/>
    <cellStyle name="ÅëÈ­_¿ù°£_laroux" xfId="864" xr:uid="{00000000-0005-0000-0000-0000E2020000}"/>
    <cellStyle name="AeE­_¿μ¾÷º¸°i" xfId="865" xr:uid="{00000000-0005-0000-0000-0000E3020000}"/>
    <cellStyle name="ÅëÈ­_¥±- 2 " xfId="866" xr:uid="{00000000-0005-0000-0000-0000E4020000}"/>
    <cellStyle name="AeE­_¼­½AA¼°e_AoAO°eE¹ " xfId="867" xr:uid="{00000000-0005-0000-0000-0000E5020000}"/>
    <cellStyle name="ÅëÈ­_¼­½ÄÃ¼°è_ÅõÀÔ°èÈ¹ " xfId="868" xr:uid="{00000000-0005-0000-0000-0000E6020000}"/>
    <cellStyle name="AeE­_¼­½AA¼01" xfId="869" xr:uid="{00000000-0005-0000-0000-0000E7020000}"/>
    <cellStyle name="ÅëÈ­_¼­½ÄÃ¼01" xfId="870" xr:uid="{00000000-0005-0000-0000-0000E8020000}"/>
    <cellStyle name="AeE­_¼­½AA¼01_AoAO°eE¹ " xfId="871" xr:uid="{00000000-0005-0000-0000-0000E9020000}"/>
    <cellStyle name="ÅëÈ­_¼­½ÄÃ¼01_ÅõÀÔ°èÈ¹ " xfId="872" xr:uid="{00000000-0005-0000-0000-0000EA020000}"/>
    <cellStyle name="AeE­_¼­½AAI¶÷" xfId="873" xr:uid="{00000000-0005-0000-0000-0000EB020000}"/>
    <cellStyle name="ÅëÈ­_¼­½ÄÀÏ¶÷" xfId="874" xr:uid="{00000000-0005-0000-0000-0000EC020000}"/>
    <cellStyle name="AeE­_¼­½AAI¶÷_AoAO°eE¹ " xfId="875" xr:uid="{00000000-0005-0000-0000-0000ED020000}"/>
    <cellStyle name="ÅëÈ­_¼­½ÄÀÏ¶÷_ÅõÀÔ°èÈ¹ " xfId="876" xr:uid="{00000000-0005-0000-0000-0000EE020000}"/>
    <cellStyle name="AeE­_¼oAOCaA¤½A≫o " xfId="877" xr:uid="{00000000-0005-0000-0000-0000EF020000}"/>
    <cellStyle name="ÅëÈ­_¾ç½Ä1" xfId="878" xr:uid="{00000000-0005-0000-0000-0000F0020000}"/>
    <cellStyle name="AeE­_¾c½A2" xfId="879" xr:uid="{00000000-0005-0000-0000-0000F1020000}"/>
    <cellStyle name="ÅëÈ­_¾ç½Ä2" xfId="880" xr:uid="{00000000-0005-0000-0000-0000F2020000}"/>
    <cellStyle name="AeE­_¾c½A3" xfId="881" xr:uid="{00000000-0005-0000-0000-0000F3020000}"/>
    <cellStyle name="ÅëÈ­_¾ç½Ä3" xfId="882" xr:uid="{00000000-0005-0000-0000-0000F4020000}"/>
    <cellStyle name="AeE­_1 (2)" xfId="883" xr:uid="{00000000-0005-0000-0000-0000F5020000}"/>
    <cellStyle name="ÅëÈ­_1 (2)" xfId="884" xr:uid="{00000000-0005-0000-0000-0000F6020000}"/>
    <cellStyle name="AeE­_1 (3)" xfId="885" xr:uid="{00000000-0005-0000-0000-0000F7020000}"/>
    <cellStyle name="ÅëÈ­_1 (3)" xfId="886" xr:uid="{00000000-0005-0000-0000-0000F8020000}"/>
    <cellStyle name="AeE­_1.±a¾EA≫Ao" xfId="887" xr:uid="{00000000-0005-0000-0000-0000F9020000}"/>
    <cellStyle name="ÅëÈ­_1.±â¾ÈÁö" xfId="888" xr:uid="{00000000-0005-0000-0000-0000FA020000}"/>
    <cellStyle name="AeE­_1.ÆC¸A½CAu " xfId="889" xr:uid="{00000000-0005-0000-0000-0000FB020000}"/>
    <cellStyle name="ÅëÈ­_1.ÆÇ¸Å½ÇÀû " xfId="890" xr:uid="{00000000-0005-0000-0000-0000FC020000}"/>
    <cellStyle name="AeE­_1.SUMMARY " xfId="891" xr:uid="{00000000-0005-0000-0000-0000FD020000}"/>
    <cellStyle name="ÅëÈ­_1.SUMMARY " xfId="892" xr:uid="{00000000-0005-0000-0000-0000FE020000}"/>
    <cellStyle name="AeE­_10.¹R¼­A³¸R" xfId="893" xr:uid="{00000000-0005-0000-0000-0000FF020000}"/>
    <cellStyle name="ÅëÈ­_14.¹®¼­¸ñ·Ï" xfId="894" xr:uid="{00000000-0005-0000-0000-000000030000}"/>
    <cellStyle name="AeE­_14.¹R¼­¸n·I" xfId="895" xr:uid="{00000000-0005-0000-0000-000001030000}"/>
    <cellStyle name="ÅëÈ­_19.¼­½Äµî·Ï´ëÀå" xfId="896" xr:uid="{00000000-0005-0000-0000-000002030000}"/>
    <cellStyle name="AeE­_19.¼­½Aμi·I´eAa" xfId="897" xr:uid="{00000000-0005-0000-0000-000003030000}"/>
    <cellStyle name="ÅëÈ­_1TÇ°ÀÇ" xfId="898" xr:uid="{00000000-0005-0000-0000-000004030000}"/>
    <cellStyle name="AeE­_2.´e¿U½ACa" xfId="899" xr:uid="{00000000-0005-0000-0000-000005030000}"/>
    <cellStyle name="ÅëÈ­_2.´ë¿Ü½ÃÇà" xfId="900" xr:uid="{00000000-0005-0000-0000-000006030000}"/>
    <cellStyle name="AeE­_2.CONCEPT " xfId="901" xr:uid="{00000000-0005-0000-0000-000007030000}"/>
    <cellStyle name="ÅëÈ­_2.CONCEPT " xfId="902" xr:uid="{00000000-0005-0000-0000-000008030000}"/>
    <cellStyle name="AeE­_21.¿­¶÷Ao" xfId="903" xr:uid="{00000000-0005-0000-0000-000009030000}"/>
    <cellStyle name="ÅëÈ­_21.¿­¶÷Áõ" xfId="904" xr:uid="{00000000-0005-0000-0000-00000A030000}"/>
    <cellStyle name="AeE­_22.¹R¼­¹YAa" xfId="905" xr:uid="{00000000-0005-0000-0000-00000B030000}"/>
    <cellStyle name="ÅëÈ­_3.´ë³»½ÃÇà" xfId="906" xr:uid="{00000000-0005-0000-0000-00000C030000}"/>
    <cellStyle name="AeE­_3.´e³≫½ACa" xfId="907" xr:uid="{00000000-0005-0000-0000-00000D030000}"/>
    <cellStyle name="ÅëÈ­_³»¿ë" xfId="908" xr:uid="{00000000-0005-0000-0000-00000E030000}"/>
    <cellStyle name="AeE­_³≫¿e" xfId="909" xr:uid="{00000000-0005-0000-0000-00000F030000}"/>
    <cellStyle name="ÅëÈ­_3PJTR°èÈ¹ " xfId="910" xr:uid="{00000000-0005-0000-0000-000010030000}"/>
    <cellStyle name="AeE­_4 " xfId="911" xr:uid="{00000000-0005-0000-0000-000011030000}"/>
    <cellStyle name="ÅëÈ­_4 " xfId="912" xr:uid="{00000000-0005-0000-0000-000012030000}"/>
    <cellStyle name="AeE­_5.¹R¼­¼o¹ß" xfId="913" xr:uid="{00000000-0005-0000-0000-000013030000}"/>
    <cellStyle name="ÅëÈ­_6.¹ß¼ÛÀÎ" xfId="914" xr:uid="{00000000-0005-0000-0000-000014030000}"/>
    <cellStyle name="AeE­_6-3°æAi·A " xfId="915" xr:uid="{00000000-0005-0000-0000-000015030000}"/>
    <cellStyle name="ÅëÈ­_6-3°æÀï·Â " xfId="916" xr:uid="{00000000-0005-0000-0000-000016030000}"/>
    <cellStyle name="AeE­_6-3°æAi·A _±¸¸A½CAu " xfId="917" xr:uid="{00000000-0005-0000-0000-000017030000}"/>
    <cellStyle name="ÅëÈ­_7.MASTER SCHEDULE " xfId="918" xr:uid="{00000000-0005-0000-0000-000018030000}"/>
    <cellStyle name="AeE­_7-1.°³¹ßAIA¤" xfId="919" xr:uid="{00000000-0005-0000-0000-000019030000}"/>
    <cellStyle name="ÅëÈ­_8.°£Çà´ëÀå" xfId="920" xr:uid="{00000000-0005-0000-0000-00001A030000}"/>
    <cellStyle name="AeE­_8.°￡Ca¹°°u¸R´eAa" xfId="921" xr:uid="{00000000-0005-0000-0000-00001B030000}"/>
    <cellStyle name="ÅëÈ­_9" xfId="922" xr:uid="{00000000-0005-0000-0000-00001C030000}"/>
    <cellStyle name="AeE­_9.A￠¼oAI" xfId="923" xr:uid="{00000000-0005-0000-0000-00001D030000}"/>
    <cellStyle name="ÅëÈ­_9.Á¢¼öÀÎ" xfId="924" xr:uid="{00000000-0005-0000-0000-00001E030000}"/>
    <cellStyle name="AeE­_96°eE¹ " xfId="925" xr:uid="{00000000-0005-0000-0000-00001F030000}"/>
    <cellStyle name="ÅëÈ­_96°èÈ¹ " xfId="926" xr:uid="{00000000-0005-0000-0000-000020030000}"/>
    <cellStyle name="AeE­_96¾Æ½OBD " xfId="927" xr:uid="{00000000-0005-0000-0000-000021030000}"/>
    <cellStyle name="ÅëÈ­_À¯Çüº°ÀüÃ¼(¿ï»ê°øÀå)  " xfId="928" xr:uid="{00000000-0005-0000-0000-000022030000}"/>
    <cellStyle name="AeE­_A÷·E_CO¸RE­¾E " xfId="929" xr:uid="{00000000-0005-0000-0000-000023030000}"/>
    <cellStyle name="ÅëÈ­_ÀÎ¿ø°èÈ¹ " xfId="930" xr:uid="{00000000-0005-0000-0000-000024030000}"/>
    <cellStyle name="AeE­_AI¿ø¹× A¶A÷(96.5.2.) " xfId="931" xr:uid="{00000000-0005-0000-0000-000025030000}"/>
    <cellStyle name="ÅëÈ­_ÀÎ¿ø¹× Á¶Á÷(96.5.2.) " xfId="932" xr:uid="{00000000-0005-0000-0000-000026030000}"/>
    <cellStyle name="AeE­_AI¿ø¹× A¶A÷(96.5.2.)  2" xfId="933" xr:uid="{00000000-0005-0000-0000-000027030000}"/>
    <cellStyle name="ÅëÈ­_ÀÎ¿ø¹× Á¶Á÷(96.5.2.)  2" xfId="934" xr:uid="{00000000-0005-0000-0000-000028030000}"/>
    <cellStyle name="AeE­_AI¿ø¹× A¶A÷(96.5.2.)  3" xfId="935" xr:uid="{00000000-0005-0000-0000-000029030000}"/>
    <cellStyle name="ÅëÈ­_ÀÎ¿ø¹× Á¶Á÷(96.5.2.)  3" xfId="936" xr:uid="{00000000-0005-0000-0000-00002A030000}"/>
    <cellStyle name="AeE­_AI¿ø¹× A¶A÷(96.5.2.) _±¸¸A½CAu " xfId="937" xr:uid="{00000000-0005-0000-0000-00002B030000}"/>
    <cellStyle name="ÅëÈ­_ÀÎÀå±Ô°Ý" xfId="938" xr:uid="{00000000-0005-0000-0000-00002C030000}"/>
    <cellStyle name="AeE­_AN°yC￥ " xfId="939" xr:uid="{00000000-0005-0000-0000-00002D030000}"/>
    <cellStyle name="ÅëÈ­_ÃÑ°ýÇ¥ " xfId="940" xr:uid="{00000000-0005-0000-0000-00002E030000}"/>
    <cellStyle name="AeE­_AN°yº¸°i-Aß°¡Ay°¨ " xfId="941" xr:uid="{00000000-0005-0000-0000-00002F030000}"/>
    <cellStyle name="ÅëÈ­_ÃÖÁ¾ÀÏÁ¤ " xfId="942" xr:uid="{00000000-0005-0000-0000-000030030000}"/>
    <cellStyle name="AeE­_C￥Ao " xfId="943" xr:uid="{00000000-0005-0000-0000-000031030000}"/>
    <cellStyle name="ÅëÈ­_CODE (2)" xfId="944" xr:uid="{00000000-0005-0000-0000-000032030000}"/>
    <cellStyle name="AeE­_Cu±a" xfId="945" xr:uid="{00000000-0005-0000-0000-000033030000}"/>
    <cellStyle name="ÅëÈ­_Çù±â" xfId="946" xr:uid="{00000000-0005-0000-0000-000034030000}"/>
    <cellStyle name="AeE­_CuA¶Au" xfId="947" xr:uid="{00000000-0005-0000-0000-000035030000}"/>
    <cellStyle name="ÅëÈ­_ÇùÁ¶Àü" xfId="948" xr:uid="{00000000-0005-0000-0000-000036030000}"/>
    <cellStyle name="AeE­_CuA¶Au_금형견적" xfId="949" xr:uid="{00000000-0005-0000-0000-000037030000}"/>
    <cellStyle name="ÅëÈ­_FLOW" xfId="950" xr:uid="{00000000-0005-0000-0000-000038030000}"/>
    <cellStyle name="AeE­_INQUIRY ¿μ¾÷AßAø " xfId="951" xr:uid="{00000000-0005-0000-0000-000039030000}"/>
    <cellStyle name="ÅëÈ­_laroux" xfId="952" xr:uid="{00000000-0005-0000-0000-00003A030000}"/>
    <cellStyle name="AeE­_laroux_1" xfId="953" xr:uid="{00000000-0005-0000-0000-00003B030000}"/>
    <cellStyle name="ÅëÈ­_laroux_1" xfId="954" xr:uid="{00000000-0005-0000-0000-00003C030000}"/>
    <cellStyle name="AeE­_laroux_1_laroux" xfId="955" xr:uid="{00000000-0005-0000-0000-00003D030000}"/>
    <cellStyle name="ÅëÈ­_laroux_1_laroux" xfId="956" xr:uid="{00000000-0005-0000-0000-00003E030000}"/>
    <cellStyle name="AeE­_lx-taxi _±¸¸A½CAu " xfId="957" xr:uid="{00000000-0005-0000-0000-00003F030000}"/>
    <cellStyle name="ÅëÈ­_MHPORTER " xfId="958" xr:uid="{00000000-0005-0000-0000-000040030000}"/>
    <cellStyle name="AeE­_MKN-M1.1 " xfId="959" xr:uid="{00000000-0005-0000-0000-000041030000}"/>
    <cellStyle name="ÅëÈ­_MKN-M1.1 " xfId="960" xr:uid="{00000000-0005-0000-0000-000042030000}"/>
    <cellStyle name="AeE­_º?°æ¹RA³" xfId="961" xr:uid="{00000000-0005-0000-0000-000043030000}"/>
    <cellStyle name="ÅëÈ­_º¯°æ¹®Ã³" xfId="962" xr:uid="{00000000-0005-0000-0000-000044030000}"/>
    <cellStyle name="AeE­_º≫ºIA¶A÷ " xfId="963" xr:uid="{00000000-0005-0000-0000-000045030000}"/>
    <cellStyle name="ÅëÈ­_ºÐ·ù±â01" xfId="964" xr:uid="{00000000-0005-0000-0000-000046030000}"/>
    <cellStyle name="AeE­_ºÐ·u±a01_AoAO°eE¹ " xfId="965" xr:uid="{00000000-0005-0000-0000-000047030000}"/>
    <cellStyle name="ÅëÈ­_ºÐ·ù±â01_ÅõÀÔ°èÈ¹ " xfId="966" xr:uid="{00000000-0005-0000-0000-000048030000}"/>
    <cellStyle name="AeE­_ºÐ·u±a02" xfId="967" xr:uid="{00000000-0005-0000-0000-000049030000}"/>
    <cellStyle name="ÅëÈ­_ºÐ·ù±â02" xfId="968" xr:uid="{00000000-0005-0000-0000-00004A030000}"/>
    <cellStyle name="AeE­_ºÐ·u±a02_AoAO°eE¹ " xfId="969" xr:uid="{00000000-0005-0000-0000-00004B030000}"/>
    <cellStyle name="ÅëÈ­_ºÐ·ù±â02_ÅõÀÔ°èÈ¹ " xfId="970" xr:uid="{00000000-0005-0000-0000-00004C030000}"/>
    <cellStyle name="AeE­_ºÐ·u±a03" xfId="971" xr:uid="{00000000-0005-0000-0000-00004D030000}"/>
    <cellStyle name="ÅëÈ­_ºÐ·ù±â03" xfId="972" xr:uid="{00000000-0005-0000-0000-00004E030000}"/>
    <cellStyle name="AeE­_ºÐ·u±a03_AoAO°eE¹ " xfId="973" xr:uid="{00000000-0005-0000-0000-00004F030000}"/>
    <cellStyle name="ÅëÈ­_ºÐ·ù±â03_ÅõÀÔ°èÈ¹ " xfId="974" xr:uid="{00000000-0005-0000-0000-000050030000}"/>
    <cellStyle name="AeE­_ºÐ·u±aAØ" xfId="975" xr:uid="{00000000-0005-0000-0000-000051030000}"/>
    <cellStyle name="ÅëÈ­_ºÐ·ù±âÁØ" xfId="976" xr:uid="{00000000-0005-0000-0000-000052030000}"/>
    <cellStyle name="AeE­_ºÐ·u±aAØ_AoAO°eE¹ " xfId="977" xr:uid="{00000000-0005-0000-0000-000053030000}"/>
    <cellStyle name="ÅëÈ­_ºÐ·ù±âÁØ_ÅõÀÔ°èÈ¹ " xfId="978" xr:uid="{00000000-0005-0000-0000-000054030000}"/>
    <cellStyle name="AeE­_ºÐ·u±aE￡" xfId="979" xr:uid="{00000000-0005-0000-0000-000055030000}"/>
    <cellStyle name="ÅëÈ­_ºÐ·ù±âÈ£" xfId="980" xr:uid="{00000000-0005-0000-0000-000056030000}"/>
    <cellStyle name="AeE­_ºÐ·u±aE￡_금형견적" xfId="981" xr:uid="{00000000-0005-0000-0000-000057030000}"/>
    <cellStyle name="ÅëÈ­_SAMPLE " xfId="982" xr:uid="{00000000-0005-0000-0000-000058030000}"/>
    <cellStyle name="AeE­_Sheet1" xfId="983" xr:uid="{00000000-0005-0000-0000-000059030000}"/>
    <cellStyle name="ÅëÈ­_Sheet1" xfId="984" xr:uid="{00000000-0005-0000-0000-00005A030000}"/>
    <cellStyle name="AeE­_Sheet1 (2)_1.SUMMARY " xfId="985" xr:uid="{00000000-0005-0000-0000-00005B030000}"/>
    <cellStyle name="ÅëÈ­_Sheet1 (2)_1.SUMMARY " xfId="986" xr:uid="{00000000-0005-0000-0000-00005C030000}"/>
    <cellStyle name="AeE­_Sheet1 (2)_3.MSCHEDULE¿μ¹R " xfId="987" xr:uid="{00000000-0005-0000-0000-00005D030000}"/>
    <cellStyle name="ÅëÈ­_Sheet1 2" xfId="988" xr:uid="{00000000-0005-0000-0000-00005E030000}"/>
    <cellStyle name="AeE­_Sheet1_3.MSCHEDULE¿μ¹R " xfId="989" xr:uid="{00000000-0005-0000-0000-00005F030000}"/>
    <cellStyle name="ÅëÈ­_Sheet1_ÃÖÁ¾ÀÏÁ¤ " xfId="990" xr:uid="{00000000-0005-0000-0000-000060030000}"/>
    <cellStyle name="AeE­_Sheet1_XD AOA¾AIA¤ " xfId="991" xr:uid="{00000000-0005-0000-0000-000061030000}"/>
    <cellStyle name="ÅëÈ­_Sheet1_XD ÃÖÁ¾ÀÏÁ¤ " xfId="992" xr:uid="{00000000-0005-0000-0000-000062030000}"/>
    <cellStyle name="AeE­_Sheet4" xfId="993" xr:uid="{00000000-0005-0000-0000-000063030000}"/>
    <cellStyle name="ÅëÈ­_Sheet4" xfId="994" xr:uid="{00000000-0005-0000-0000-000064030000}"/>
    <cellStyle name="AeE­_SMG-CKD-d1.1 " xfId="995" xr:uid="{00000000-0005-0000-0000-000065030000}"/>
    <cellStyle name="ÅëÈ­_SMG-CKD-d1.1 " xfId="996" xr:uid="{00000000-0005-0000-0000-000066030000}"/>
    <cellStyle name="AeE­_XD±aAØ " xfId="997" xr:uid="{00000000-0005-0000-0000-000067030000}"/>
    <cellStyle name="ÅëÈ­_XD±âÁØ " xfId="998" xr:uid="{00000000-0005-0000-0000-000068030000}"/>
    <cellStyle name="AeE­_XG¿ø´UA§ " xfId="999" xr:uid="{00000000-0005-0000-0000-000069030000}"/>
    <cellStyle name="ÅëÈ­_XG¿ø´ÜÀ§ " xfId="1000" xr:uid="{00000000-0005-0000-0000-00006A030000}"/>
    <cellStyle name="AeE­_μðAⓒAIA¤ " xfId="1001" xr:uid="{00000000-0005-0000-0000-00006B030000}"/>
    <cellStyle name="AeE¡© [0]_M105CDT " xfId="1002" xr:uid="{00000000-0005-0000-0000-00006C030000}"/>
    <cellStyle name="AeE¡©_M105CDT " xfId="1003" xr:uid="{00000000-0005-0000-0000-00006D030000}"/>
    <cellStyle name="AeE¡ⓒ [0]_          " xfId="3912" xr:uid="{EBD80B23-E3E8-436A-A07A-69C5463316A2}"/>
    <cellStyle name="AeE¡ⓒ_          " xfId="3913" xr:uid="{086180D8-D50F-45AB-B1AD-26BB0ABD4DFA}"/>
    <cellStyle name="AeE¡ER¡§I [0]_¡ER¡§￠R¡§I¡ERAi¡ERicAc¡ER¡§￠Ri " xfId="1004" xr:uid="{00000000-0005-0000-0000-000070030000}"/>
    <cellStyle name="AeE¡ER¡§I_¡ER¡§￠R¡§I¡ERAi¡ERicAc¡ER¡§￠Ri " xfId="1005" xr:uid="{00000000-0005-0000-0000-000071030000}"/>
    <cellStyle name="AeE￠R¨I [0]_¡Ii¨I¡IA¡§IAIA¡E￠￥ " xfId="1006" xr:uid="{00000000-0005-0000-0000-000072030000}"/>
    <cellStyle name="AeE￠R¨I_¡Ii¨I¡IA¡§IAIA¡E￠￥ " xfId="1007" xr:uid="{00000000-0005-0000-0000-000073030000}"/>
    <cellStyle name="ALIGNMENT" xfId="1008" xr:uid="{00000000-0005-0000-0000-000074030000}"/>
    <cellStyle name="aormal_Q2ormal_Q2_1" xfId="1009" xr:uid="{00000000-0005-0000-0000-000075030000}"/>
    <cellStyle name="args.style" xfId="32" xr:uid="{00000000-0005-0000-0000-000076030000}"/>
    <cellStyle name="AÞ¸¶" xfId="1010" xr:uid="{00000000-0005-0000-0000-000077030000}"/>
    <cellStyle name="AÞ¸¶ [0]" xfId="1011" xr:uid="{00000000-0005-0000-0000-000078030000}"/>
    <cellStyle name="ÄÞ¸¶ [0]_¡Ú¾ÈÜ¬ Á¾ÇÕºñ±³ " xfId="1012" xr:uid="{00000000-0005-0000-0000-000079030000}"/>
    <cellStyle name="AÞ¸¶ [0]_¡U¾EU￢ A¾COºn±³  2" xfId="1013" xr:uid="{00000000-0005-0000-0000-00007A030000}"/>
    <cellStyle name="ÄÞ¸¶ [0]_´ë¿ìÃâÇÏ¿äÃ» " xfId="33" xr:uid="{00000000-0005-0000-0000-00007B030000}"/>
    <cellStyle name="AÞ¸¶ [0]_´e¿iAaCI¿aA≫ " xfId="34" xr:uid="{00000000-0005-0000-0000-00007C030000}"/>
    <cellStyle name="ÄÞ¸¶ [0]_´Ü°èº° ±¸Ãà¾È" xfId="1014" xr:uid="{00000000-0005-0000-0000-00007D030000}"/>
    <cellStyle name="AÞ¸¶ [0]_´U°eº°¾÷¹≪" xfId="1015" xr:uid="{00000000-0005-0000-0000-00007E030000}"/>
    <cellStyle name="ÄÞ¸¶ [0]_¿ù°£" xfId="1016" xr:uid="{00000000-0005-0000-0000-00007F030000}"/>
    <cellStyle name="AÞ¸¶ [0]_¿u°￡_laroux" xfId="1017" xr:uid="{00000000-0005-0000-0000-000080030000}"/>
    <cellStyle name="ÄÞ¸¶ [0]_¿ù°£_laroux" xfId="1018" xr:uid="{00000000-0005-0000-0000-000081030000}"/>
    <cellStyle name="AÞ¸¶ [0]_¿μ¾÷º¸°i" xfId="1019" xr:uid="{00000000-0005-0000-0000-000082030000}"/>
    <cellStyle name="ÄÞ¸¶ [0]_¥±- 2 " xfId="1020" xr:uid="{00000000-0005-0000-0000-000083030000}"/>
    <cellStyle name="AÞ¸¶ [0]_¼­½AA¼°e_금형견적" xfId="1021" xr:uid="{00000000-0005-0000-0000-000084030000}"/>
    <cellStyle name="ÄÞ¸¶ [0]_¼­½ÄÃ¼01" xfId="1022" xr:uid="{00000000-0005-0000-0000-000085030000}"/>
    <cellStyle name="AÞ¸¶ [0]_¼­½AA¼01_금형견적" xfId="1023" xr:uid="{00000000-0005-0000-0000-000086030000}"/>
    <cellStyle name="ÄÞ¸¶ [0]_¼­½ÄÀÏ¶÷" xfId="1024" xr:uid="{00000000-0005-0000-0000-000087030000}"/>
    <cellStyle name="AÞ¸¶ [0]_¼oAOCaA¤½A≫o " xfId="1025" xr:uid="{00000000-0005-0000-0000-000088030000}"/>
    <cellStyle name="ÄÞ¸¶ [0]_¾ç½Ä1" xfId="1026" xr:uid="{00000000-0005-0000-0000-000089030000}"/>
    <cellStyle name="AÞ¸¶ [0]_¾c½A2" xfId="1027" xr:uid="{00000000-0005-0000-0000-00008A030000}"/>
    <cellStyle name="ÄÞ¸¶ [0]_¾ç½Ä2" xfId="1028" xr:uid="{00000000-0005-0000-0000-00008B030000}"/>
    <cellStyle name="AÞ¸¶ [0]_¾c½A3" xfId="1029" xr:uid="{00000000-0005-0000-0000-00008C030000}"/>
    <cellStyle name="ÄÞ¸¶ [0]_¾ç½Ä3" xfId="1030" xr:uid="{00000000-0005-0000-0000-00008D030000}"/>
    <cellStyle name="AÞ¸¶ [0]_1 (2)" xfId="1031" xr:uid="{00000000-0005-0000-0000-00008E030000}"/>
    <cellStyle name="ÄÞ¸¶ [0]_1 (2)" xfId="1032" xr:uid="{00000000-0005-0000-0000-00008F030000}"/>
    <cellStyle name="AÞ¸¶ [0]_1 (3)" xfId="1033" xr:uid="{00000000-0005-0000-0000-000090030000}"/>
    <cellStyle name="ÄÞ¸¶ [0]_1 (3)" xfId="1034" xr:uid="{00000000-0005-0000-0000-000091030000}"/>
    <cellStyle name="AÞ¸¶ [0]_1.±a¾EA≫Ao" xfId="1035" xr:uid="{00000000-0005-0000-0000-000092030000}"/>
    <cellStyle name="ÄÞ¸¶ [0]_1.±â¾ÈÁö" xfId="1036" xr:uid="{00000000-0005-0000-0000-000093030000}"/>
    <cellStyle name="AÞ¸¶ [0]_1.ÆC¸A½CAu " xfId="1037" xr:uid="{00000000-0005-0000-0000-000094030000}"/>
    <cellStyle name="ÄÞ¸¶ [0]_1.ÆÇ¸Å½ÇÀû " xfId="1038" xr:uid="{00000000-0005-0000-0000-000095030000}"/>
    <cellStyle name="AÞ¸¶ [0]_1.SUMMARY " xfId="1039" xr:uid="{00000000-0005-0000-0000-000096030000}"/>
    <cellStyle name="ÄÞ¸¶ [0]_1.SUMMARY " xfId="1040" xr:uid="{00000000-0005-0000-0000-000097030000}"/>
    <cellStyle name="AÞ¸¶ [0]_10.¹R¼­A³¸R" xfId="1041" xr:uid="{00000000-0005-0000-0000-000098030000}"/>
    <cellStyle name="ÄÞ¸¶ [0]_1-3¿ù " xfId="1042" xr:uid="{00000000-0005-0000-0000-000099030000}"/>
    <cellStyle name="AÞ¸¶ [0]_14.¹R¼­¸n·I" xfId="1043" xr:uid="{00000000-0005-0000-0000-00009A030000}"/>
    <cellStyle name="ÄÞ¸¶ [0]_19.¼­½Äµî·Ï´ëÀå" xfId="1044" xr:uid="{00000000-0005-0000-0000-00009B030000}"/>
    <cellStyle name="AÞ¸¶ [0]_19.¼­½Aμi·I´eAa" xfId="1045" xr:uid="{00000000-0005-0000-0000-00009C030000}"/>
    <cellStyle name="ÄÞ¸¶ [0]_1TÇ°ÀÇ" xfId="1046" xr:uid="{00000000-0005-0000-0000-00009D030000}"/>
    <cellStyle name="AÞ¸¶ [0]_2.´e¿U½ACa" xfId="1047" xr:uid="{00000000-0005-0000-0000-00009E030000}"/>
    <cellStyle name="ÄÞ¸¶ [0]_2.´ë¿Ü½ÃÇà" xfId="1048" xr:uid="{00000000-0005-0000-0000-00009F030000}"/>
    <cellStyle name="AÞ¸¶ [0]_2.CONCEPT " xfId="1049" xr:uid="{00000000-0005-0000-0000-0000A0030000}"/>
    <cellStyle name="ÄÞ¸¶ [0]_2.CONCEPT " xfId="1050" xr:uid="{00000000-0005-0000-0000-0000A1030000}"/>
    <cellStyle name="AÞ¸¶ [0]_21.¿­¶÷Ao" xfId="1051" xr:uid="{00000000-0005-0000-0000-0000A2030000}"/>
    <cellStyle name="ÄÞ¸¶ [0]_21.¿­¶÷Áõ" xfId="1052" xr:uid="{00000000-0005-0000-0000-0000A3030000}"/>
    <cellStyle name="AÞ¸¶ [0]_22.¹R¼­¹YAa" xfId="1053" xr:uid="{00000000-0005-0000-0000-0000A4030000}"/>
    <cellStyle name="ÄÞ¸¶ [0]_3.´ë³»½ÃÇà" xfId="1054" xr:uid="{00000000-0005-0000-0000-0000A5030000}"/>
    <cellStyle name="AÞ¸¶ [0]_3.´e³≫½ACa" xfId="1055" xr:uid="{00000000-0005-0000-0000-0000A6030000}"/>
    <cellStyle name="ÄÞ¸¶ [0]_3¿ù´©°è " xfId="1056" xr:uid="{00000000-0005-0000-0000-0000A7030000}"/>
    <cellStyle name="AÞ¸¶ [0]_3¿u´ⓒ°e " xfId="1057" xr:uid="{00000000-0005-0000-0000-0000A8030000}"/>
    <cellStyle name="ÄÞ¸¶ [0]_³»¿ë" xfId="1058" xr:uid="{00000000-0005-0000-0000-0000A9030000}"/>
    <cellStyle name="AÞ¸¶ [0]_³≫¿e" xfId="1059" xr:uid="{00000000-0005-0000-0000-0000AA030000}"/>
    <cellStyle name="ÄÞ¸¶ [0]_3PJTR°èÈ¹ " xfId="1060" xr:uid="{00000000-0005-0000-0000-0000AB030000}"/>
    <cellStyle name="AÞ¸¶ [0]_4 " xfId="1061" xr:uid="{00000000-0005-0000-0000-0000AC030000}"/>
    <cellStyle name="ÄÞ¸¶ [0]_4 " xfId="1062" xr:uid="{00000000-0005-0000-0000-0000AD030000}"/>
    <cellStyle name="AÞ¸¶ [0]_5.¹R¼­¼o¹ß" xfId="1063" xr:uid="{00000000-0005-0000-0000-0000AE030000}"/>
    <cellStyle name="ÄÞ¸¶ [0]_6.¹ß¼ÛÀÎ" xfId="1064" xr:uid="{00000000-0005-0000-0000-0000AF030000}"/>
    <cellStyle name="AÞ¸¶ [0]_6-3°æAi·A " xfId="1065" xr:uid="{00000000-0005-0000-0000-0000B0030000}"/>
    <cellStyle name="ÄÞ¸¶ [0]_6-3°æÀï·Â " xfId="1066" xr:uid="{00000000-0005-0000-0000-0000B1030000}"/>
    <cellStyle name="AÞ¸¶ [0]_6-3°æAi·A _±¸¸A½CAu " xfId="1067" xr:uid="{00000000-0005-0000-0000-0000B2030000}"/>
    <cellStyle name="ÄÞ¸¶ [0]_7.MASTER SCHEDULE " xfId="1068" xr:uid="{00000000-0005-0000-0000-0000B3030000}"/>
    <cellStyle name="AÞ¸¶ [0]_7-1.°³¹ßAIA¤" xfId="1069" xr:uid="{00000000-0005-0000-0000-0000B4030000}"/>
    <cellStyle name="ÄÞ¸¶ [0]_8.°£Çà´ëÀå" xfId="1070" xr:uid="{00000000-0005-0000-0000-0000B5030000}"/>
    <cellStyle name="AÞ¸¶ [0]_8.°￡Ca¹°°u¸R´eAa" xfId="1071" xr:uid="{00000000-0005-0000-0000-0000B6030000}"/>
    <cellStyle name="ÄÞ¸¶ [0]_9" xfId="1072" xr:uid="{00000000-0005-0000-0000-0000B7030000}"/>
    <cellStyle name="AÞ¸¶ [0]_9.A￠¼oAI" xfId="1073" xr:uid="{00000000-0005-0000-0000-0000B8030000}"/>
    <cellStyle name="ÄÞ¸¶ [0]_9.Á¢¼öÀÎ" xfId="1074" xr:uid="{00000000-0005-0000-0000-0000B9030000}"/>
    <cellStyle name="AÞ¸¶ [0]_96°eE¹ " xfId="1075" xr:uid="{00000000-0005-0000-0000-0000BA030000}"/>
    <cellStyle name="ÄÞ¸¶ [0]_96°èÈ¹ " xfId="1076" xr:uid="{00000000-0005-0000-0000-0000BB030000}"/>
    <cellStyle name="AÞ¸¶ [0]_96¾Æ½OBD " xfId="1077" xr:uid="{00000000-0005-0000-0000-0000BC030000}"/>
    <cellStyle name="ÄÞ¸¶ [0]_À¯Çüº°ÀüÃ¼(¿ï»ê°øÀå)  " xfId="1078" xr:uid="{00000000-0005-0000-0000-0000BD030000}"/>
    <cellStyle name="AÞ¸¶ [0]_A÷A¼¼³°e " xfId="1079" xr:uid="{00000000-0005-0000-0000-0000BE030000}"/>
    <cellStyle name="ÄÞ¸¶ [0]_ÀÎ¿ø°èÈ¹ " xfId="1080" xr:uid="{00000000-0005-0000-0000-0000BF030000}"/>
    <cellStyle name="AÞ¸¶ [0]_AI¿ø¹× A¶A÷(96.5.2.) " xfId="1081" xr:uid="{00000000-0005-0000-0000-0000C0030000}"/>
    <cellStyle name="ÄÞ¸¶ [0]_ÀÎ¿ø¹× Á¶Á÷(96.5.2.) " xfId="1082" xr:uid="{00000000-0005-0000-0000-0000C1030000}"/>
    <cellStyle name="AÞ¸¶ [0]_AI¿ø¹× A¶A÷(96.5.2.)  2" xfId="1083" xr:uid="{00000000-0005-0000-0000-0000C2030000}"/>
    <cellStyle name="ÄÞ¸¶ [0]_ÀÎ¿ø¹× Á¶Á÷(96.5.2.)  2" xfId="1084" xr:uid="{00000000-0005-0000-0000-0000C3030000}"/>
    <cellStyle name="AÞ¸¶ [0]_AI¿ø¹× A¶A÷(96.5.2.)  3" xfId="1085" xr:uid="{00000000-0005-0000-0000-0000C4030000}"/>
    <cellStyle name="ÄÞ¸¶ [0]_ÀÎ¿ø¹× Á¶Á÷(96.5.2.)  3" xfId="1086" xr:uid="{00000000-0005-0000-0000-0000C5030000}"/>
    <cellStyle name="AÞ¸¶ [0]_AI¿ø¹× A¶A÷(96.5.2.) _±¸¸A½CAu " xfId="1087" xr:uid="{00000000-0005-0000-0000-0000C6030000}"/>
    <cellStyle name="ÄÞ¸¶ [0]_ÀÎÀå±Ô°Ý" xfId="1088" xr:uid="{00000000-0005-0000-0000-0000C7030000}"/>
    <cellStyle name="AÞ¸¶ [0]_AN°yC￥ " xfId="1089" xr:uid="{00000000-0005-0000-0000-0000C8030000}"/>
    <cellStyle name="ÄÞ¸¶ [0]_ÃÑ°ýÇ¥ " xfId="1090" xr:uid="{00000000-0005-0000-0000-0000C9030000}"/>
    <cellStyle name="AÞ¸¶ [0]_AN°yº¸°i-Aß°¡Ay°¨ " xfId="1091" xr:uid="{00000000-0005-0000-0000-0000CA030000}"/>
    <cellStyle name="ÄÞ¸¶ [0]_ÃÖÁ¾ÀÏÁ¤ " xfId="1092" xr:uid="{00000000-0005-0000-0000-0000CB030000}"/>
    <cellStyle name="AÞ¸¶ [0]_BODY (2)???R COMMENT" xfId="1093" xr:uid="{00000000-0005-0000-0000-0000CC030000}"/>
    <cellStyle name="ÄÞ¸¶ [0]_BODY (2)um" xfId="1094" xr:uid="{00000000-0005-0000-0000-0000CD030000}"/>
    <cellStyle name="AÞ¸¶ [0]_C￥Ao " xfId="1095" xr:uid="{00000000-0005-0000-0000-0000CE030000}"/>
    <cellStyle name="ÄÞ¸¶ [0]_CODE (2)" xfId="1096" xr:uid="{00000000-0005-0000-0000-0000CF030000}"/>
    <cellStyle name="AÞ¸¶ [0]_Cu±a" xfId="1097" xr:uid="{00000000-0005-0000-0000-0000D0030000}"/>
    <cellStyle name="ÄÞ¸¶ [0]_Çù±â" xfId="1098" xr:uid="{00000000-0005-0000-0000-0000D1030000}"/>
    <cellStyle name="AÞ¸¶ [0]_CuA¶Au" xfId="1099" xr:uid="{00000000-0005-0000-0000-0000D2030000}"/>
    <cellStyle name="ÄÞ¸¶ [0]_ÇùÁ¶Àü" xfId="1100" xr:uid="{00000000-0005-0000-0000-0000D3030000}"/>
    <cellStyle name="AÞ¸¶ [0]_CuA¶Au_96°eE¹ " xfId="1101" xr:uid="{00000000-0005-0000-0000-0000D4030000}"/>
    <cellStyle name="ÄÞ¸¶ [0]_ÇùÁ¶Àü_96°èÈ¹ " xfId="1102" xr:uid="{00000000-0005-0000-0000-0000D5030000}"/>
    <cellStyle name="AÞ¸¶ [0]_CuA¶Au_EF. S-ROOF" xfId="1103" xr:uid="{00000000-0005-0000-0000-0000D6030000}"/>
    <cellStyle name="ÄÞ¸¶ [0]_FLOW" xfId="1104" xr:uid="{00000000-0005-0000-0000-0000D7030000}"/>
    <cellStyle name="AÞ¸¶ [0]_INQUIRY ¿μ¾÷AßAø " xfId="1105" xr:uid="{00000000-0005-0000-0000-0000D8030000}"/>
    <cellStyle name="ÄÞ¸¶ [0]_laroux" xfId="1106" xr:uid="{00000000-0005-0000-0000-0000D9030000}"/>
    <cellStyle name="AÞ¸¶ [0]_laroux_1" xfId="1107" xr:uid="{00000000-0005-0000-0000-0000DA030000}"/>
    <cellStyle name="ÄÞ¸¶ [0]_laroux_1" xfId="1108" xr:uid="{00000000-0005-0000-0000-0000DB030000}"/>
    <cellStyle name="AÞ¸¶ [0]_laroux_1_laroux" xfId="1109" xr:uid="{00000000-0005-0000-0000-0000DC030000}"/>
    <cellStyle name="ÄÞ¸¶ [0]_laroux_1_laroux" xfId="1110" xr:uid="{00000000-0005-0000-0000-0000DD030000}"/>
    <cellStyle name="AÞ¸¶ [0]_lx-taxi _±¸¸A½CAu " xfId="1111" xr:uid="{00000000-0005-0000-0000-0000DE030000}"/>
    <cellStyle name="ÄÞ¸¶ [0]_MHPORTER " xfId="1112" xr:uid="{00000000-0005-0000-0000-0000DF030000}"/>
    <cellStyle name="AÞ¸¶ [0]_MKN-M1.1 " xfId="1113" xr:uid="{00000000-0005-0000-0000-0000E0030000}"/>
    <cellStyle name="ÄÞ¸¶ [0]_MKN-M1.1 " xfId="1114" xr:uid="{00000000-0005-0000-0000-0000E1030000}"/>
    <cellStyle name="AÞ¸¶ [0]_º?°æ¹RA³" xfId="1115" xr:uid="{00000000-0005-0000-0000-0000E2030000}"/>
    <cellStyle name="ÄÞ¸¶ [0]_º¯°æ¹®Ã³" xfId="1116" xr:uid="{00000000-0005-0000-0000-0000E3030000}"/>
    <cellStyle name="AÞ¸¶ [0]_º≫ºIA¶A÷ " xfId="1117" xr:uid="{00000000-0005-0000-0000-0000E4030000}"/>
    <cellStyle name="ÄÞ¸¶ [0]_ºÐ·ù±â01" xfId="1118" xr:uid="{00000000-0005-0000-0000-0000E5030000}"/>
    <cellStyle name="AÞ¸¶ [0]_ºÐ·u±a01_금형견적" xfId="1119" xr:uid="{00000000-0005-0000-0000-0000E6030000}"/>
    <cellStyle name="ÄÞ¸¶ [0]_ºÐ·ù±â02" xfId="1120" xr:uid="{00000000-0005-0000-0000-0000E7030000}"/>
    <cellStyle name="AÞ¸¶ [0]_ºÐ·u±a02_금형견적" xfId="1121" xr:uid="{00000000-0005-0000-0000-0000E8030000}"/>
    <cellStyle name="ÄÞ¸¶ [0]_ºÐ·ù±â03" xfId="1122" xr:uid="{00000000-0005-0000-0000-0000E9030000}"/>
    <cellStyle name="AÞ¸¶ [0]_ºÐ·u±a03_금형견적" xfId="1123" xr:uid="{00000000-0005-0000-0000-0000EA030000}"/>
    <cellStyle name="ÄÞ¸¶ [0]_ºÐ·ù±âÁØ" xfId="1124" xr:uid="{00000000-0005-0000-0000-0000EB030000}"/>
    <cellStyle name="AÞ¸¶ [0]_ºÐ·u±aAØ_금형견적" xfId="1125" xr:uid="{00000000-0005-0000-0000-0000EC030000}"/>
    <cellStyle name="ÄÞ¸¶ [0]_ºÐ·ù±âÈ£" xfId="1126" xr:uid="{00000000-0005-0000-0000-0000ED030000}"/>
    <cellStyle name="AÞ¸¶ [0]_ºÐ·u±aE￡_금형견적" xfId="1127" xr:uid="{00000000-0005-0000-0000-0000EE030000}"/>
    <cellStyle name="ÄÞ¸¶ [0]_ÓÞÁ¦¸ñ" xfId="1128" xr:uid="{00000000-0005-0000-0000-0000EF030000}"/>
    <cellStyle name="AÞ¸¶ [0]_SAMPLE " xfId="1129" xr:uid="{00000000-0005-0000-0000-0000F0030000}"/>
    <cellStyle name="ÄÞ¸¶ [0]_SAMPLE " xfId="1130" xr:uid="{00000000-0005-0000-0000-0000F1030000}"/>
    <cellStyle name="AÞ¸¶ [0]_Sheet1" xfId="1131" xr:uid="{00000000-0005-0000-0000-0000F2030000}"/>
    <cellStyle name="ÄÞ¸¶ [0]_Sheet1" xfId="1132" xr:uid="{00000000-0005-0000-0000-0000F3030000}"/>
    <cellStyle name="AÞ¸¶ [0]_Sheet1 (2)_1.SUMMARY " xfId="1133" xr:uid="{00000000-0005-0000-0000-0000F4030000}"/>
    <cellStyle name="ÄÞ¸¶ [0]_Sheet1 (2)_1.SUMMARY " xfId="1134" xr:uid="{00000000-0005-0000-0000-0000F5030000}"/>
    <cellStyle name="AÞ¸¶ [0]_Sheet1 (2)_3.MSCHEDULE¿μ¹R " xfId="1135" xr:uid="{00000000-0005-0000-0000-0000F6030000}"/>
    <cellStyle name="ÄÞ¸¶ [0]_Sheet1 2" xfId="1136" xr:uid="{00000000-0005-0000-0000-0000F7030000}"/>
    <cellStyle name="AÞ¸¶ [0]_Sheet1_3.MSCHEDULE¿μ¹R " xfId="1137" xr:uid="{00000000-0005-0000-0000-0000F8030000}"/>
    <cellStyle name="ÄÞ¸¶ [0]_Sheet1_ÃÖÁ¾ÀÏÁ¤ " xfId="1138" xr:uid="{00000000-0005-0000-0000-0000F9030000}"/>
    <cellStyle name="AÞ¸¶ [0]_Sheet1_XD AOA¾AIA¤ " xfId="1139" xr:uid="{00000000-0005-0000-0000-0000FA030000}"/>
    <cellStyle name="ÄÞ¸¶ [0]_Sheet1_XD ÃÖÁ¾ÀÏÁ¤ " xfId="1140" xr:uid="{00000000-0005-0000-0000-0000FB030000}"/>
    <cellStyle name="AÞ¸¶ [0]_Sheet4" xfId="1141" xr:uid="{00000000-0005-0000-0000-0000FC030000}"/>
    <cellStyle name="ÄÞ¸¶ [0]_Sheet4" xfId="1142" xr:uid="{00000000-0005-0000-0000-0000FD030000}"/>
    <cellStyle name="AÞ¸¶ [0]_SMG-CKD-d1.1 " xfId="1143" xr:uid="{00000000-0005-0000-0000-0000FE030000}"/>
    <cellStyle name="ÄÞ¸¶ [0]_SMG-CKD-d1.1 " xfId="1144" xr:uid="{00000000-0005-0000-0000-0000FF030000}"/>
    <cellStyle name="AÞ¸¶ [0]_XD±aAØ " xfId="1145" xr:uid="{00000000-0005-0000-0000-000000040000}"/>
    <cellStyle name="ÄÞ¸¶ [0]_XD±âÁØ " xfId="1146" xr:uid="{00000000-0005-0000-0000-000001040000}"/>
    <cellStyle name="AÞ¸¶ [0]_μðAⓒAIA¤ " xfId="1147" xr:uid="{00000000-0005-0000-0000-000002040000}"/>
    <cellStyle name="AÞ¸¶,_x0005__x0014_" xfId="35" xr:uid="{00000000-0005-0000-0000-000003040000}"/>
    <cellStyle name="ÄÞ¸¶,_x0005__x0014_" xfId="36" xr:uid="{00000000-0005-0000-0000-000004040000}"/>
    <cellStyle name="ÄÞ¸¶,_x0005__x0014_ 2" xfId="1148" xr:uid="{00000000-0005-0000-0000-000005040000}"/>
    <cellStyle name="ÄÞ¸¶,_x0005__x0014__13" xfId="1149" xr:uid="{00000000-0005-0000-0000-000006040000}"/>
    <cellStyle name="AÞ¸¶_          " xfId="3914" xr:uid="{D0D59333-910E-4D78-B347-377AF04A15AF}"/>
    <cellStyle name="ÄÞ¸¶_¡Ú¾ÈÜ¬ Á¾ÇÕºñ±³ " xfId="1150" xr:uid="{00000000-0005-0000-0000-000008040000}"/>
    <cellStyle name="AÞ¸¶_¡U¾EU￢ A¾COºn±³  2" xfId="1151" xr:uid="{00000000-0005-0000-0000-000009040000}"/>
    <cellStyle name="ÄÞ¸¶_´ë¿ìÃâÇÏ¿äÃ» " xfId="37" xr:uid="{00000000-0005-0000-0000-00000A040000}"/>
    <cellStyle name="AÞ¸¶_´e¿iAaCI¿aA≫ " xfId="38" xr:uid="{00000000-0005-0000-0000-00000B040000}"/>
    <cellStyle name="ÄÞ¸¶_´Ü°èº° ±¸Ãà¾È" xfId="1152" xr:uid="{00000000-0005-0000-0000-00000C040000}"/>
    <cellStyle name="AÞ¸¶_´U°eº°¾÷¹≪" xfId="1153" xr:uid="{00000000-0005-0000-0000-00000D040000}"/>
    <cellStyle name="ÄÞ¸¶_¿ù°£" xfId="1154" xr:uid="{00000000-0005-0000-0000-00000E040000}"/>
    <cellStyle name="AÞ¸¶_¿u°￡_laroux" xfId="1155" xr:uid="{00000000-0005-0000-0000-00000F040000}"/>
    <cellStyle name="ÄÞ¸¶_¿ù°£_laroux" xfId="1156" xr:uid="{00000000-0005-0000-0000-000010040000}"/>
    <cellStyle name="AÞ¸¶_¿μ¾÷º¸°i" xfId="1157" xr:uid="{00000000-0005-0000-0000-000011040000}"/>
    <cellStyle name="ÄÞ¸¶_¥±- 2 " xfId="1158" xr:uid="{00000000-0005-0000-0000-000012040000}"/>
    <cellStyle name="AÞ¸¶_¼­½AA¼°e_금형견적" xfId="1159" xr:uid="{00000000-0005-0000-0000-000013040000}"/>
    <cellStyle name="ÄÞ¸¶_¼­½ÄÃ¼01" xfId="1160" xr:uid="{00000000-0005-0000-0000-000014040000}"/>
    <cellStyle name="AÞ¸¶_¼­½AA¼01_금형견적" xfId="1161" xr:uid="{00000000-0005-0000-0000-000015040000}"/>
    <cellStyle name="ÄÞ¸¶_¼­½ÄÀÏ¶÷" xfId="1162" xr:uid="{00000000-0005-0000-0000-000016040000}"/>
    <cellStyle name="AÞ¸¶_¼oAOCaA¤½A≫o " xfId="1163" xr:uid="{00000000-0005-0000-0000-000017040000}"/>
    <cellStyle name="ÄÞ¸¶_¾ç½Ä1" xfId="1164" xr:uid="{00000000-0005-0000-0000-000018040000}"/>
    <cellStyle name="AÞ¸¶_¾c½A2" xfId="1165" xr:uid="{00000000-0005-0000-0000-000019040000}"/>
    <cellStyle name="ÄÞ¸¶_¾ç½Ä2" xfId="1166" xr:uid="{00000000-0005-0000-0000-00001A040000}"/>
    <cellStyle name="AÞ¸¶_¾c½A3" xfId="1167" xr:uid="{00000000-0005-0000-0000-00001B040000}"/>
    <cellStyle name="ÄÞ¸¶_¾ç½Ä3" xfId="1168" xr:uid="{00000000-0005-0000-0000-00001C040000}"/>
    <cellStyle name="AÞ¸¶_1 (2)" xfId="1169" xr:uid="{00000000-0005-0000-0000-00001D040000}"/>
    <cellStyle name="ÄÞ¸¶_1 (2)" xfId="1170" xr:uid="{00000000-0005-0000-0000-00001E040000}"/>
    <cellStyle name="AÞ¸¶_1 (3)" xfId="1171" xr:uid="{00000000-0005-0000-0000-00001F040000}"/>
    <cellStyle name="ÄÞ¸¶_1 (3)" xfId="1172" xr:uid="{00000000-0005-0000-0000-000020040000}"/>
    <cellStyle name="AÞ¸¶_1.±a¾EA≫Ao" xfId="1173" xr:uid="{00000000-0005-0000-0000-000021040000}"/>
    <cellStyle name="ÄÞ¸¶_1.±â¾ÈÁö" xfId="1174" xr:uid="{00000000-0005-0000-0000-000022040000}"/>
    <cellStyle name="AÞ¸¶_1.ÆC¸A½CAu " xfId="1175" xr:uid="{00000000-0005-0000-0000-000023040000}"/>
    <cellStyle name="ÄÞ¸¶_1.ÆÇ¸Å½ÇÀû " xfId="1176" xr:uid="{00000000-0005-0000-0000-000024040000}"/>
    <cellStyle name="AÞ¸¶_1.SUMMARY " xfId="1177" xr:uid="{00000000-0005-0000-0000-000025040000}"/>
    <cellStyle name="ÄÞ¸¶_1.SUMMARY " xfId="1178" xr:uid="{00000000-0005-0000-0000-000026040000}"/>
    <cellStyle name="AÞ¸¶_1.SUMMARY _JM신차보고1203" xfId="1179" xr:uid="{00000000-0005-0000-0000-000027040000}"/>
    <cellStyle name="ÄÞ¸¶_14.¹®¼­¸ñ·Ï" xfId="1180" xr:uid="{00000000-0005-0000-0000-000028040000}"/>
    <cellStyle name="AÞ¸¶_14.¹R¼­¸n·I" xfId="1181" xr:uid="{00000000-0005-0000-0000-000029040000}"/>
    <cellStyle name="ÄÞ¸¶_19.¼­½Äµî·Ï´ëÀå" xfId="1182" xr:uid="{00000000-0005-0000-0000-00002A040000}"/>
    <cellStyle name="AÞ¸¶_19.¼­½Aμi·I´eAa" xfId="1183" xr:uid="{00000000-0005-0000-0000-00002B040000}"/>
    <cellStyle name="ÄÞ¸¶_1TÇ°ÀÇ" xfId="1184" xr:uid="{00000000-0005-0000-0000-00002C040000}"/>
    <cellStyle name="AÞ¸¶_2.´e¿U½ACa" xfId="1185" xr:uid="{00000000-0005-0000-0000-00002D040000}"/>
    <cellStyle name="ÄÞ¸¶_2.´ë¿Ü½ÃÇà" xfId="1186" xr:uid="{00000000-0005-0000-0000-00002E040000}"/>
    <cellStyle name="AÞ¸¶_2.CONCEPT " xfId="1187" xr:uid="{00000000-0005-0000-0000-00002F040000}"/>
    <cellStyle name="ÄÞ¸¶_2.CONCEPT " xfId="1188" xr:uid="{00000000-0005-0000-0000-000030040000}"/>
    <cellStyle name="AÞ¸¶_2.CONCEPT _IR 수입품의" xfId="1189" xr:uid="{00000000-0005-0000-0000-000031040000}"/>
    <cellStyle name="ÄÞ¸¶_21.¿­¶÷Áõ" xfId="1190" xr:uid="{00000000-0005-0000-0000-000032040000}"/>
    <cellStyle name="AÞ¸¶_22.¹R¼­¹YAa" xfId="1191" xr:uid="{00000000-0005-0000-0000-000033040000}"/>
    <cellStyle name="ÄÞ¸¶_3.´ë³»½ÃÇà" xfId="1192" xr:uid="{00000000-0005-0000-0000-000034040000}"/>
    <cellStyle name="AÞ¸¶_3.´e³≫½ACa" xfId="1193" xr:uid="{00000000-0005-0000-0000-000035040000}"/>
    <cellStyle name="ÄÞ¸¶_³»¿ë" xfId="1194" xr:uid="{00000000-0005-0000-0000-000036040000}"/>
    <cellStyle name="AÞ¸¶_³≫¿e" xfId="1195" xr:uid="{00000000-0005-0000-0000-000037040000}"/>
    <cellStyle name="ÄÞ¸¶_3PJTR°èÈ¹ " xfId="1196" xr:uid="{00000000-0005-0000-0000-000038040000}"/>
    <cellStyle name="AÞ¸¶_4 " xfId="1197" xr:uid="{00000000-0005-0000-0000-000039040000}"/>
    <cellStyle name="ÄÞ¸¶_4 " xfId="1198" xr:uid="{00000000-0005-0000-0000-00003A040000}"/>
    <cellStyle name="AÞ¸¶_4 _JM신차보고1203" xfId="1199" xr:uid="{00000000-0005-0000-0000-00003B040000}"/>
    <cellStyle name="ÄÞ¸¶_6.¹ß¼ÛÀÎ" xfId="1200" xr:uid="{00000000-0005-0000-0000-00003C040000}"/>
    <cellStyle name="AÞ¸¶_6-3°æAi·A " xfId="1201" xr:uid="{00000000-0005-0000-0000-00003D040000}"/>
    <cellStyle name="ÄÞ¸¶_6-3°æÀï·Â " xfId="1202" xr:uid="{00000000-0005-0000-0000-00003E040000}"/>
    <cellStyle name="AÞ¸¶_6-3°æAi·A _±¸¸A½CAu " xfId="1203" xr:uid="{00000000-0005-0000-0000-00003F040000}"/>
    <cellStyle name="ÄÞ¸¶_7.MASTER SCHEDULE " xfId="1204" xr:uid="{00000000-0005-0000-0000-000040040000}"/>
    <cellStyle name="AÞ¸¶_7.MASTER SCHEDULE _IR 수입품의" xfId="1205" xr:uid="{00000000-0005-0000-0000-000041040000}"/>
    <cellStyle name="ÄÞ¸¶_8.°£Çà´ëÀå" xfId="1206" xr:uid="{00000000-0005-0000-0000-000042040000}"/>
    <cellStyle name="AÞ¸¶_8.°￡Ca¹°°u¸R´eAa" xfId="1207" xr:uid="{00000000-0005-0000-0000-000043040000}"/>
    <cellStyle name="ÄÞ¸¶_9" xfId="1208" xr:uid="{00000000-0005-0000-0000-000044040000}"/>
    <cellStyle name="AÞ¸¶_9.A￠¼oAI" xfId="1209" xr:uid="{00000000-0005-0000-0000-000045040000}"/>
    <cellStyle name="ÄÞ¸¶_9.Á¢¼öÀÎ" xfId="1210" xr:uid="{00000000-0005-0000-0000-000046040000}"/>
    <cellStyle name="AÞ¸¶_96°eE¹ " xfId="1211" xr:uid="{00000000-0005-0000-0000-000047040000}"/>
    <cellStyle name="ÄÞ¸¶_96°èÈ¹ " xfId="1212" xr:uid="{00000000-0005-0000-0000-000048040000}"/>
    <cellStyle name="AÞ¸¶_96¾Æ½OBD " xfId="1213" xr:uid="{00000000-0005-0000-0000-000049040000}"/>
    <cellStyle name="ÄÞ¸¶_À¯Çüº°ÀüÃ¼(¿ï»ê°øÀå)  " xfId="1214" xr:uid="{00000000-0005-0000-0000-00004A040000}"/>
    <cellStyle name="AÞ¸¶_A÷A¼¼³°e " xfId="1215" xr:uid="{00000000-0005-0000-0000-00004B040000}"/>
    <cellStyle name="ÄÞ¸¶_ÀÎ¿ø°èÈ¹ " xfId="1216" xr:uid="{00000000-0005-0000-0000-00004C040000}"/>
    <cellStyle name="AÞ¸¶_AI¿ø°eE¹ _IR 수입품의" xfId="1217" xr:uid="{00000000-0005-0000-0000-00004D040000}"/>
    <cellStyle name="ÄÞ¸¶_ÀÎ¿ø¹× Á¶Á÷(96.5.2.) " xfId="1218" xr:uid="{00000000-0005-0000-0000-00004E040000}"/>
    <cellStyle name="AÞ¸¶_AI¿ø¹× A¶A÷(96.5.2.) _±¸¸A½CAu " xfId="1219" xr:uid="{00000000-0005-0000-0000-00004F040000}"/>
    <cellStyle name="ÄÞ¸¶_ÀÎÀå±Ô°Ý" xfId="1220" xr:uid="{00000000-0005-0000-0000-000050040000}"/>
    <cellStyle name="AÞ¸¶_AN°yC￥ " xfId="1221" xr:uid="{00000000-0005-0000-0000-000051040000}"/>
    <cellStyle name="ÄÞ¸¶_ÃÑ°ýÇ¥ " xfId="1222" xr:uid="{00000000-0005-0000-0000-000052040000}"/>
    <cellStyle name="AÞ¸¶_AN°yº¸°i-Aß°¡Ay°¨ " xfId="1223" xr:uid="{00000000-0005-0000-0000-000053040000}"/>
    <cellStyle name="ÄÞ¸¶_ÃÖÁ¾ÀÏÁ¤ " xfId="1224" xr:uid="{00000000-0005-0000-0000-000054040000}"/>
    <cellStyle name="AÞ¸¶_AOA¾AIA¤ _IR 수입품의" xfId="1225" xr:uid="{00000000-0005-0000-0000-000055040000}"/>
    <cellStyle name="ÄÞ¸¶_CODE (2)" xfId="1226" xr:uid="{00000000-0005-0000-0000-000056040000}"/>
    <cellStyle name="AÞ¸¶_Cu±a" xfId="1227" xr:uid="{00000000-0005-0000-0000-000057040000}"/>
    <cellStyle name="ÄÞ¸¶_Çù±â" xfId="1228" xr:uid="{00000000-0005-0000-0000-000058040000}"/>
    <cellStyle name="AÞ¸¶_CuA¶Au" xfId="1229" xr:uid="{00000000-0005-0000-0000-000059040000}"/>
    <cellStyle name="ÄÞ¸¶_ÇùÁ¶Àü" xfId="1230" xr:uid="{00000000-0005-0000-0000-00005A040000}"/>
    <cellStyle name="AÞ¸¶_CuA¶Au_96°eE¹ " xfId="1231" xr:uid="{00000000-0005-0000-0000-00005B040000}"/>
    <cellStyle name="ÄÞ¸¶_ÇùÁ¶Àü_96°èÈ¹ " xfId="1232" xr:uid="{00000000-0005-0000-0000-00005C040000}"/>
    <cellStyle name="AÞ¸¶_CuA¶Au_EF. S-ROOF" xfId="1233" xr:uid="{00000000-0005-0000-0000-00005D040000}"/>
    <cellStyle name="ÄÞ¸¶_FLOW" xfId="1234" xr:uid="{00000000-0005-0000-0000-00005E040000}"/>
    <cellStyle name="AÞ¸¶_FO ECO금형비" xfId="1235" xr:uid="{00000000-0005-0000-0000-00005F040000}"/>
    <cellStyle name="ÄÞ¸¶_INQUIRY ¿µ¾÷ÃßÁø " xfId="1236" xr:uid="{00000000-0005-0000-0000-000060040000}"/>
    <cellStyle name="AÞ¸¶_INQUIRY ¿μ¾÷AßAø " xfId="1237" xr:uid="{00000000-0005-0000-0000-000061040000}"/>
    <cellStyle name="ÄÞ¸¶_laroux" xfId="1238" xr:uid="{00000000-0005-0000-0000-000062040000}"/>
    <cellStyle name="AÞ¸¶_laroux_1" xfId="1239" xr:uid="{00000000-0005-0000-0000-000063040000}"/>
    <cellStyle name="ÄÞ¸¶_laroux_1" xfId="1240" xr:uid="{00000000-0005-0000-0000-000064040000}"/>
    <cellStyle name="AÞ¸¶_laroux_1_laroux" xfId="1241" xr:uid="{00000000-0005-0000-0000-000065040000}"/>
    <cellStyle name="ÄÞ¸¶_laroux_1_laroux" xfId="1242" xr:uid="{00000000-0005-0000-0000-000066040000}"/>
    <cellStyle name="AÞ¸¶_lx-taxi _±¸¸A½CAu " xfId="1243" xr:uid="{00000000-0005-0000-0000-000067040000}"/>
    <cellStyle name="ÄÞ¸¶_MHPORTER " xfId="1244" xr:uid="{00000000-0005-0000-0000-000068040000}"/>
    <cellStyle name="AÞ¸¶_MKN-M1.1 " xfId="1245" xr:uid="{00000000-0005-0000-0000-000069040000}"/>
    <cellStyle name="ÄÞ¸¶_MKN-M1.1 " xfId="1246" xr:uid="{00000000-0005-0000-0000-00006A040000}"/>
    <cellStyle name="AÞ¸¶_NF S_BAR MTG" xfId="1247" xr:uid="{00000000-0005-0000-0000-00006B040000}"/>
    <cellStyle name="ÄÞ¸¶_º¯°æ¹®Ã³" xfId="1248" xr:uid="{00000000-0005-0000-0000-00006C040000}"/>
    <cellStyle name="AÞ¸¶_º≫ºIA¶A÷ " xfId="1249" xr:uid="{00000000-0005-0000-0000-00006D040000}"/>
    <cellStyle name="ÄÞ¸¶_ºÐ·ù±â01" xfId="1250" xr:uid="{00000000-0005-0000-0000-00006E040000}"/>
    <cellStyle name="AÞ¸¶_ºÐ·u±a01_금형견적" xfId="1251" xr:uid="{00000000-0005-0000-0000-00006F040000}"/>
    <cellStyle name="ÄÞ¸¶_ºÐ·ù±â02" xfId="1252" xr:uid="{00000000-0005-0000-0000-000070040000}"/>
    <cellStyle name="AÞ¸¶_ºÐ·u±a02_금형견적" xfId="1253" xr:uid="{00000000-0005-0000-0000-000071040000}"/>
    <cellStyle name="ÄÞ¸¶_ºÐ·ù±â03" xfId="1254" xr:uid="{00000000-0005-0000-0000-000072040000}"/>
    <cellStyle name="AÞ¸¶_ºÐ·u±a03_금형견적" xfId="1255" xr:uid="{00000000-0005-0000-0000-000073040000}"/>
    <cellStyle name="ÄÞ¸¶_ºÐ·ù±âÁØ" xfId="1256" xr:uid="{00000000-0005-0000-0000-000074040000}"/>
    <cellStyle name="AÞ¸¶_ºÐ·u±aAØ_금형견적" xfId="1257" xr:uid="{00000000-0005-0000-0000-000075040000}"/>
    <cellStyle name="ÄÞ¸¶_ºÐ·ù±âÈ£" xfId="1258" xr:uid="{00000000-0005-0000-0000-000076040000}"/>
    <cellStyle name="AÞ¸¶_ºÐ·u±aE￡_금형견적" xfId="1259" xr:uid="{00000000-0005-0000-0000-000077040000}"/>
    <cellStyle name="ÄÞ¸¶_ÓÞÁ¦¸ñ" xfId="1260" xr:uid="{00000000-0005-0000-0000-000078040000}"/>
    <cellStyle name="AÞ¸¶_SAMPLE " xfId="1261" xr:uid="{00000000-0005-0000-0000-000079040000}"/>
    <cellStyle name="ÄÞ¸¶_SAMPLE " xfId="1262" xr:uid="{00000000-0005-0000-0000-00007A040000}"/>
    <cellStyle name="AÞ¸¶_SAMPLE _JM신차보고1203" xfId="1263" xr:uid="{00000000-0005-0000-0000-00007B040000}"/>
    <cellStyle name="ÄÞ¸¶_Sheet1" xfId="1264" xr:uid="{00000000-0005-0000-0000-00007C040000}"/>
    <cellStyle name="AÞ¸¶_Sheet1 (2)_1.SUMMARY " xfId="1265" xr:uid="{00000000-0005-0000-0000-00007D040000}"/>
    <cellStyle name="ÄÞ¸¶_Sheet1 (2)_1.SUMMARY " xfId="1266" xr:uid="{00000000-0005-0000-0000-00007E040000}"/>
    <cellStyle name="AÞ¸¶_Sheet1 (2)_1.SUMMARY _IR 수입품의" xfId="1267" xr:uid="{00000000-0005-0000-0000-00007F040000}"/>
    <cellStyle name="ÄÞ¸¶_Sheet1 2" xfId="1268" xr:uid="{00000000-0005-0000-0000-000080040000}"/>
    <cellStyle name="AÞ¸¶_Sheet1_3.MSCHEDULE¿μ¹R " xfId="1269" xr:uid="{00000000-0005-0000-0000-000081040000}"/>
    <cellStyle name="ÄÞ¸¶_Sheet1_ÃÖÁ¾ÀÏÁ¤ " xfId="1270" xr:uid="{00000000-0005-0000-0000-000082040000}"/>
    <cellStyle name="AÞ¸¶_Sheet1_XD AOA¾AIA¤ " xfId="1271" xr:uid="{00000000-0005-0000-0000-000083040000}"/>
    <cellStyle name="ÄÞ¸¶_Sheet1_XD ÃÖÁ¾ÀÏÁ¤ " xfId="1272" xr:uid="{00000000-0005-0000-0000-000084040000}"/>
    <cellStyle name="AÞ¸¶_Sheet4" xfId="1273" xr:uid="{00000000-0005-0000-0000-000085040000}"/>
    <cellStyle name="ÄÞ¸¶_Sheet4" xfId="1274" xr:uid="{00000000-0005-0000-0000-000086040000}"/>
    <cellStyle name="AÞ¸¶_SM ECO금형비" xfId="1275" xr:uid="{00000000-0005-0000-0000-000087040000}"/>
    <cellStyle name="ÄÞ¸¶_SMG-CKD-d1.1 " xfId="1276" xr:uid="{00000000-0005-0000-0000-000088040000}"/>
    <cellStyle name="AÞ¸¶_XD±aAØ " xfId="1277" xr:uid="{00000000-0005-0000-0000-000089040000}"/>
    <cellStyle name="ÄÞ¸¶_XD±âÁØ " xfId="1278" xr:uid="{00000000-0005-0000-0000-00008A040000}"/>
    <cellStyle name="AÞ¸¶_XG¿ø´UA§ " xfId="1279" xr:uid="{00000000-0005-0000-0000-00008B040000}"/>
    <cellStyle name="ÄÞ¸¶_XG¿ø´ÜÀ§ " xfId="1280" xr:uid="{00000000-0005-0000-0000-00008C040000}"/>
    <cellStyle name="AÞ¸¶_μðAⓒAIA¤ " xfId="1281" xr:uid="{00000000-0005-0000-0000-00008D040000}"/>
    <cellStyle name="Bad" xfId="1282" xr:uid="{00000000-0005-0000-0000-00008E040000}"/>
    <cellStyle name="BC형구비조사서" xfId="1283" xr:uid="{00000000-0005-0000-0000-00008F040000}"/>
    <cellStyle name="Body" xfId="1284" xr:uid="{00000000-0005-0000-0000-000090040000}"/>
    <cellStyle name="Bold" xfId="1285" xr:uid="{00000000-0005-0000-0000-000091040000}"/>
    <cellStyle name="Box" xfId="1286" xr:uid="{00000000-0005-0000-0000-000092040000}"/>
    <cellStyle name="C_TITLE" xfId="1287" xr:uid="{00000000-0005-0000-0000-000093040000}"/>
    <cellStyle name="C_TITLE_■EN_BS_비교원가,원재료인상_110621" xfId="1288" xr:uid="{00000000-0005-0000-0000-000094040000}"/>
    <cellStyle name="C_TITLE_■EN_BS_비교원가,원재료인상_110621_7" xfId="1289" xr:uid="{00000000-0005-0000-0000-000095040000}"/>
    <cellStyle name="C_TITLE_■EN_BS_비교원가,원재료인상_110621_8" xfId="1290" xr:uid="{00000000-0005-0000-0000-000096040000}"/>
    <cellStyle name="C_TITLE_■EN_BS_비교원가,원재료인상_110621_중량" xfId="1291" xr:uid="{00000000-0005-0000-0000-000097040000}"/>
    <cellStyle name="C_TITLE_110810_UB_도아_바디웨자_초도가_(화승R&amp;A)" xfId="1292" xr:uid="{00000000-0005-0000-0000-000098040000}"/>
    <cellStyle name="C_TITLE_110810_UB_도아_바디웨자_초도가_(화승R&amp;A)_7" xfId="1293" xr:uid="{00000000-0005-0000-0000-000099040000}"/>
    <cellStyle name="C_TITLE_110810_UB_도아_바디웨자_초도가_(화승R&amp;A)_8" xfId="1294" xr:uid="{00000000-0005-0000-0000-00009A040000}"/>
    <cellStyle name="C_TITLE_110810_UB_도아_바디웨자_초도가_(화승R&amp;A)_중량" xfId="1295" xr:uid="{00000000-0005-0000-0000-00009B040000}"/>
    <cellStyle name="C_TITLE_110810_철판 SCRAP조정_자동_화승R&amp;A" xfId="1296" xr:uid="{00000000-0005-0000-0000-00009C040000}"/>
    <cellStyle name="C_TITLE_110810_철판 SCRAP조정_자동_화승R&amp;A_7" xfId="1297" xr:uid="{00000000-0005-0000-0000-00009D040000}"/>
    <cellStyle name="C_TITLE_110810_철판 SCRAP조정_자동_화승R&amp;A_8" xfId="1298" xr:uid="{00000000-0005-0000-0000-00009E040000}"/>
    <cellStyle name="C_TITLE_110810_철판 SCRAP조정_자동_화승R&amp;A_중량" xfId="1299" xr:uid="{00000000-0005-0000-0000-00009F040000}"/>
    <cellStyle name="C_TITLE_7" xfId="1300" xr:uid="{00000000-0005-0000-0000-0000A0040000}"/>
    <cellStyle name="C_TITLE_8" xfId="1301" xr:uid="{00000000-0005-0000-0000-0000A1040000}"/>
    <cellStyle name="C_TITLE_AM_WS_운반비_110708" xfId="1302" xr:uid="{00000000-0005-0000-0000-0000A2040000}"/>
    <cellStyle name="C_TITLE_AM_WS_운반비_110708_7" xfId="1303" xr:uid="{00000000-0005-0000-0000-0000A3040000}"/>
    <cellStyle name="C_TITLE_AM_WS_운반비_110708_8" xfId="1304" xr:uid="{00000000-0005-0000-0000-0000A4040000}"/>
    <cellStyle name="C_TITLE_AM_WS_운반비_110708_중량" xfId="1305" xr:uid="{00000000-0005-0000-0000-0000A5040000}"/>
    <cellStyle name="C_TITLE_Book2" xfId="1306" xr:uid="{00000000-0005-0000-0000-0000A6040000}"/>
    <cellStyle name="C_TITLE_Book2_7" xfId="1307" xr:uid="{00000000-0005-0000-0000-0000A7040000}"/>
    <cellStyle name="C_TITLE_Book2_8" xfId="1308" xr:uid="{00000000-0005-0000-0000-0000A8040000}"/>
    <cellStyle name="C_TITLE_Book2_중량" xfId="1309" xr:uid="{00000000-0005-0000-0000-0000A9040000}"/>
    <cellStyle name="C_TITLE_KMC_UB_단면적,코팅길이_110218" xfId="1310" xr:uid="{00000000-0005-0000-0000-0000AA040000}"/>
    <cellStyle name="C_TITLE_KMC_UB_단면적,코팅길이_110218_7" xfId="1311" xr:uid="{00000000-0005-0000-0000-0000AB040000}"/>
    <cellStyle name="C_TITLE_KMC_UB_단면적,코팅길이_110218_8" xfId="1312" xr:uid="{00000000-0005-0000-0000-0000AC040000}"/>
    <cellStyle name="C_TITLE_KMC_UB_단면적,코팅길이_110218_중량" xfId="1313" xr:uid="{00000000-0005-0000-0000-0000AD040000}"/>
    <cellStyle name="C_TITLE_KMC_UB_조인트중량,조인트길이_110214" xfId="1314" xr:uid="{00000000-0005-0000-0000-0000AE040000}"/>
    <cellStyle name="C_TITLE_KMC_UB_조인트중량,조인트길이_110214_7" xfId="1315" xr:uid="{00000000-0005-0000-0000-0000AF040000}"/>
    <cellStyle name="C_TITLE_KMC_UB_조인트중량,조인트길이_110214_8" xfId="1316" xr:uid="{00000000-0005-0000-0000-0000B0040000}"/>
    <cellStyle name="C_TITLE_KMC_UB_조인트중량,조인트길이_110214_중량" xfId="1317" xr:uid="{00000000-0005-0000-0000-0000B1040000}"/>
    <cellStyle name="C_TITLE_RBk(5DR)_GR_비교원가,원재료인상_110607" xfId="1318" xr:uid="{00000000-0005-0000-0000-0000B2040000}"/>
    <cellStyle name="C_TITLE_RBk(5DR)_GR_비교원가,원재료인상_110607_7" xfId="1319" xr:uid="{00000000-0005-0000-0000-0000B3040000}"/>
    <cellStyle name="C_TITLE_RBk(5DR)_GR_비교원가,원재료인상_110607_8" xfId="1320" xr:uid="{00000000-0005-0000-0000-0000B4040000}"/>
    <cellStyle name="C_TITLE_RBk(5DR)_GR_비교원가,원재료인상_110607_중량" xfId="1321" xr:uid="{00000000-0005-0000-0000-0000B5040000}"/>
    <cellStyle name="C_TITLE_VIL_WS_비교원가_110708" xfId="1322" xr:uid="{00000000-0005-0000-0000-0000B6040000}"/>
    <cellStyle name="C_TITLE_VIL_WS_비교원가_110708_7" xfId="1323" xr:uid="{00000000-0005-0000-0000-0000B7040000}"/>
    <cellStyle name="C_TITLE_VIL_WS_비교원가_110708_8" xfId="1324" xr:uid="{00000000-0005-0000-0000-0000B8040000}"/>
    <cellStyle name="C_TITLE_VIL_WS_비교원가_110708_중량" xfId="1325" xr:uid="{00000000-0005-0000-0000-0000B9040000}"/>
    <cellStyle name="C_TITLE_중량" xfId="1326" xr:uid="{00000000-0005-0000-0000-0000BA040000}"/>
    <cellStyle name="C¡ERIA￠R¡×¡§¡I_¡ER¡§￠R¡§I¡ERAi¡ERicAc¡ER¡§￠Ri " xfId="1327" xr:uid="{00000000-0005-0000-0000-0000BB040000}"/>
    <cellStyle name="C¡IA¨ª_          " xfId="3915" xr:uid="{55C9264A-4E52-4B2B-ABA5-DACDF2E26506}"/>
    <cellStyle name="C¡ÍA¨ª_C¡¿¢¬n¢¯u¨¬n¢¯e " xfId="1328" xr:uid="{00000000-0005-0000-0000-0000BD040000}"/>
    <cellStyle name="C¡IA¨ª_M105CDT " xfId="1329" xr:uid="{00000000-0005-0000-0000-0000BE040000}"/>
    <cellStyle name="C¡ÍA¨ª_M105CDT " xfId="1330" xr:uid="{00000000-0005-0000-0000-0000BF040000}"/>
    <cellStyle name="C¡IA¨ª_M107CDT " xfId="1331" xr:uid="{00000000-0005-0000-0000-0000C0040000}"/>
    <cellStyle name="C¡ÍA¨ª_M107CDT " xfId="1332" xr:uid="{00000000-0005-0000-0000-0000C1040000}"/>
    <cellStyle name="C￠RIA¡§¨￡_¡E?￠Rⓒ­￠R¨u¡E¡þ¡§uO ￠R¨¡¨I¨￡￠RicCoE¨I¡A " xfId="1333" xr:uid="{00000000-0005-0000-0000-0000C2040000}"/>
    <cellStyle name="C￥AØ_          " xfId="3916" xr:uid="{50446F00-0C18-4166-9972-94A45FBAB0FF}"/>
    <cellStyle name="Ç¥ÁØ_¡ßFO ÅõÀÚºñºñ±³ " xfId="1334" xr:uid="{00000000-0005-0000-0000-0000C4040000}"/>
    <cellStyle name="C￥AØ_¡ßFO AoAUºnºn±³ _1.사전품질확보계획.한국오므론" xfId="1335" xr:uid="{00000000-0005-0000-0000-0000C5040000}"/>
    <cellStyle name="Ç¥ÁØ_´ë¿ìÃâÇÏ¿äÃ» " xfId="39" xr:uid="{00000000-0005-0000-0000-0000C6040000}"/>
    <cellStyle name="C￥AØ_´e¿iAaCI¿aA≫ " xfId="40" xr:uid="{00000000-0005-0000-0000-0000C7040000}"/>
    <cellStyle name="Ç¥ÁØ_´Ü°èº° ±¸Ãà¾È" xfId="1336" xr:uid="{00000000-0005-0000-0000-0000C8040000}"/>
    <cellStyle name="C￥AØ_¸i´U" xfId="1337" xr:uid="{00000000-0005-0000-0000-0000C9040000}"/>
    <cellStyle name="Ç¥ÁØ_¸ñÂ÷ " xfId="1338" xr:uid="{00000000-0005-0000-0000-0000CA040000}"/>
    <cellStyle name="C￥AØ_¸nA÷ _±¸¸A½CAu " xfId="1339" xr:uid="{00000000-0005-0000-0000-0000CB040000}"/>
    <cellStyle name="Ç¥ÁØ_¸ñÂ÷ _2008.11.12 원가 적정성 검증(원가,포장비,물류비)-2" xfId="1340" xr:uid="{00000000-0005-0000-0000-0000CC040000}"/>
    <cellStyle name="C￥AØ_¸nA÷ _FEM_모듈품 (MT.+AC)추정" xfId="1341" xr:uid="{00000000-0005-0000-0000-0000CD040000}"/>
    <cellStyle name="Ç¥ÁØ_¸ñÂ÷ _FEM_모듈품 (MT.+AC)추정" xfId="1342" xr:uid="{00000000-0005-0000-0000-0000CE040000}"/>
    <cellStyle name="C￥AØ_¸nA÷ _JM인상0602(TB보상)" xfId="1343" xr:uid="{00000000-0005-0000-0000-0000CF040000}"/>
    <cellStyle name="Ç¥ÁØ_¸ñÂ÷ _JM인상0602(TB보상)" xfId="1344" xr:uid="{00000000-0005-0000-0000-0000D0040000}"/>
    <cellStyle name="C￥AØ_¸nA÷ _LD-WS-전략구매- 비교원가" xfId="1345" xr:uid="{00000000-0005-0000-0000-0000D1040000}"/>
    <cellStyle name="Ç¥ÁØ_¸ñÂ÷ _PO 차종 분석현황" xfId="1346" xr:uid="{00000000-0005-0000-0000-0000D2040000}"/>
    <cellStyle name="C￥AØ_¸nA÷ _중국ccc견적030522(성우)" xfId="1347" xr:uid="{00000000-0005-0000-0000-0000D3040000}"/>
    <cellStyle name="Ç¥ÁØ_¸ñÂ÷ _중국ccc견적030522(성우)" xfId="1348" xr:uid="{00000000-0005-0000-0000-0000D4040000}"/>
    <cellStyle name="C￥AØ_¸R½º·a" xfId="1349" xr:uid="{00000000-0005-0000-0000-0000D5040000}"/>
    <cellStyle name="Ç¥ÁØ_¿µ¾÷ÇöÈ² " xfId="1350" xr:uid="{00000000-0005-0000-0000-0000D6040000}"/>
    <cellStyle name="C￥AØ_¿i¿μ¾E " xfId="1351" xr:uid="{00000000-0005-0000-0000-0000D7040000}"/>
    <cellStyle name="Ç¥ÁØ_¿ø´ÜÀ§ " xfId="1352" xr:uid="{00000000-0005-0000-0000-0000D8040000}"/>
    <cellStyle name="C￥AØ_¿ø°¡(AU·a¼oAy) " xfId="1353" xr:uid="{00000000-0005-0000-0000-0000D9040000}"/>
    <cellStyle name="Ç¥ÁØ_±â¾È " xfId="1354" xr:uid="{00000000-0005-0000-0000-0000DA040000}"/>
    <cellStyle name="C￥AØ_±a¾E¿eAo_KDº?μ¿ " xfId="1355" xr:uid="{00000000-0005-0000-0000-0000DB040000}"/>
    <cellStyle name="Ç¥ÁØ_±â¾È¿ëÁö_KDº¯µ¿ " xfId="1356" xr:uid="{00000000-0005-0000-0000-0000DC040000}"/>
    <cellStyle name="C￥AØ_±aAØ " xfId="1357" xr:uid="{00000000-0005-0000-0000-0000DD040000}"/>
    <cellStyle name="Ç¥ÁØ_±âÁØ " xfId="1358" xr:uid="{00000000-0005-0000-0000-0000DE040000}"/>
    <cellStyle name="C￥AØ_±aAØ _액센트금형이전계획(0105)-수정2차" xfId="1359" xr:uid="{00000000-0005-0000-0000-0000DF040000}"/>
    <cellStyle name="Ç¥ÁØ_±âÁØ _액센트금형이전계획(0105)-수정2차" xfId="1360" xr:uid="{00000000-0005-0000-0000-0000E0040000}"/>
    <cellStyle name="C￥AØ_±aAØ _카니발부품국산화개발방안-회장님(030616" xfId="1361" xr:uid="{00000000-0005-0000-0000-0000E1040000}"/>
    <cellStyle name="Ç¥ÁØ_±âÁØ _카니발부품국산화개발방안-회장님(030616" xfId="1362" xr:uid="{00000000-0005-0000-0000-0000E2040000}"/>
    <cellStyle name="C￥AØ_±aAØ _카니발부품국산화개발방안-회장님(030616 2" xfId="1363" xr:uid="{00000000-0005-0000-0000-0000E3040000}"/>
    <cellStyle name="Ç¥ÁØ_±âÁØ _카니발부품국산화개발방안-회장님(030616 2" xfId="1364" xr:uid="{00000000-0005-0000-0000-0000E4040000}"/>
    <cellStyle name="C￥AØ_±aAØ _카니발부품국산화개발방안-회장님(030616 3" xfId="1365" xr:uid="{00000000-0005-0000-0000-0000E5040000}"/>
    <cellStyle name="Ç¥ÁØ_±âÁØ _카니발부품국산화개발방안-회장님(030616 3" xfId="1366" xr:uid="{00000000-0005-0000-0000-0000E6040000}"/>
    <cellStyle name="C￥AØ_±aAØ _카니발부품국산화개발방안-회장님(030616 4" xfId="1367" xr:uid="{00000000-0005-0000-0000-0000E7040000}"/>
    <cellStyle name="Ç¥ÁØ_±âÁØ _카니발부품국산화개발방안-회장님(030616 4" xfId="1368" xr:uid="{00000000-0005-0000-0000-0000E8040000}"/>
    <cellStyle name="C￥AØ_±OA¤C￥Ao" xfId="1369" xr:uid="{00000000-0005-0000-0000-0000E9040000}"/>
    <cellStyle name="Ç¥ÁØ_±ÔÁ¤Ç¥Áö" xfId="1370" xr:uid="{00000000-0005-0000-0000-0000EA040000}"/>
    <cellStyle name="C￥AØ_±OA¤C￥Ao_금형견적" xfId="1371" xr:uid="{00000000-0005-0000-0000-0000EB040000}"/>
    <cellStyle name="Ç¥ÁØ_»çÀ¯¾ç½Ä" xfId="1372" xr:uid="{00000000-0005-0000-0000-0000EC040000}"/>
    <cellStyle name="C￥AØ_≫c¾÷°³¹ßÆA_10¿u2WA¸ºI " xfId="1373" xr:uid="{00000000-0005-0000-0000-0000ED040000}"/>
    <cellStyle name="Ç¥ÁØ_°¡¼Ö¸°ÀÏÁ¤_µðÁ©ÀÏÁ¤ " xfId="1374" xr:uid="{00000000-0005-0000-0000-0000EE040000}"/>
    <cellStyle name="C￥AØ_°¡¼O¸°AIA¤_μðAⓒAIA¤ " xfId="1375" xr:uid="{00000000-0005-0000-0000-0000EF040000}"/>
    <cellStyle name="Ç¥ÁØ_°³¹ßÀÏÁ¤ " xfId="1376" xr:uid="{00000000-0005-0000-0000-0000F0040000}"/>
    <cellStyle name="C￥AØ_°³¹ßAIA¤  (2)_°³¹ßAIA¤ " xfId="1377" xr:uid="{00000000-0005-0000-0000-0000F1040000}"/>
    <cellStyle name="Ç¥ÁØ_°³¹ßÀÏÁ¤  (2)_°³¹ßÀÏÁ¤ " xfId="1378" xr:uid="{00000000-0005-0000-0000-0000F2040000}"/>
    <cellStyle name="C￥AØ_°³¹ßAIA¤  (2)_°³¹ßAIA¤  2" xfId="1379" xr:uid="{00000000-0005-0000-0000-0000F3040000}"/>
    <cellStyle name="Ç¥ÁØ_°³¹ßÀÏÁ¤  (2)_°³¹ßÀÏÁ¤  2" xfId="1380" xr:uid="{00000000-0005-0000-0000-0000F4040000}"/>
    <cellStyle name="C￥AØ_°³¹ßAIA¤  (2)_°³¹ßAIA¤  2 2" xfId="1381" xr:uid="{00000000-0005-0000-0000-0000F5040000}"/>
    <cellStyle name="Ç¥ÁØ_°³¹ßÀÏÁ¤  (2)_°³¹ßÀÏÁ¤ _CM2차계산-655E(RR SMBR) 계산내역 3" xfId="1382" xr:uid="{00000000-0005-0000-0000-0000F6040000}"/>
    <cellStyle name="C￥AØ_°³¹ßAIA¤  (2)_°³¹ßAIA¤ _CM2차계산-655E(RR SMBR) 계산내역_■EN_BS_비교원가,원재료인상_110621" xfId="1383" xr:uid="{00000000-0005-0000-0000-0000F7040000}"/>
    <cellStyle name="Ç¥ÁØ_°³¹ßÀÏÁ¤  (2)_°³¹ßÀÏÁ¤ _CM2차계산-655E(RR SMBR) 계산내역_■EN_BS_비교원가,원재료인상_110621" xfId="1384" xr:uid="{00000000-0005-0000-0000-0000F8040000}"/>
    <cellStyle name="C￥AØ_°³¹ßAIA¤  (2)_°³¹ßAIA¤ _CM2차계산-655E(RR SMBR) 계산내역_■EN_BS_비교원가,원재료인상_110621 2" xfId="1385" xr:uid="{00000000-0005-0000-0000-0000F9040000}"/>
    <cellStyle name="Ç¥ÁØ_°³¹ßÀÏÁ¤  (2)_°³¹ßÀÏÁ¤ _CM2차계산-655E(RR SMBR) 계산내역_■EN_BS_비교원가,원재료인상_110621 2" xfId="1386" xr:uid="{00000000-0005-0000-0000-0000FA040000}"/>
    <cellStyle name="C￥AØ_°³¹ßAIA¤  (2)_°³¹ßAIA¤ _CM2차계산-655E(RR SMBR) 계산내역_■EN_BS_비교원가,원재료인상_110621 3" xfId="1387" xr:uid="{00000000-0005-0000-0000-0000FB040000}"/>
    <cellStyle name="Ç¥ÁØ_°³¹ßÀÏÁ¤  (2)_°³¹ßÀÏÁ¤ _CM2차계산-655E(RR SMBR) 계산내역_■EN_BS_비교원가,원재료인상_110621 3" xfId="1388" xr:uid="{00000000-0005-0000-0000-0000FC040000}"/>
    <cellStyle name="C￥AØ_°³¹ßAIA¤  (2)_°³¹ßAIA¤ _CM2차계산-655E(RR SMBR) 계산내역_■EN_BS_비교원가,원재료인상_110621 4" xfId="1389" xr:uid="{00000000-0005-0000-0000-0000FD040000}"/>
    <cellStyle name="Ç¥ÁØ_°³¹ßÀÏÁ¤  (2)_°³¹ßÀÏÁ¤ _CM2차계산-655E(RR SMBR) 계산내역_■EN_BS_비교원가,원재료인상_110621 4" xfId="1390" xr:uid="{00000000-0005-0000-0000-0000FE040000}"/>
    <cellStyle name="C￥AØ_°³¹ßAIA¤  (2)_°³¹ßAIA¤ _CM2차계산-655E(RR SMBR) 계산내역_110810_UB_도아_바디웨자_초도가_(화승R&amp;A)" xfId="1391" xr:uid="{00000000-0005-0000-0000-0000FF040000}"/>
    <cellStyle name="Ç¥ÁØ_°³¹ßÀÏÁ¤  (2)_°³¹ßÀÏÁ¤ _CM2차계산-655E(RR SMBR) 계산내역_110810_UB_도아_바디웨자_초도가_(화승R&amp;A)" xfId="1392" xr:uid="{00000000-0005-0000-0000-000000050000}"/>
    <cellStyle name="C￥AØ_°³¹ßAIA¤  (2)_°³¹ßAIA¤ _CM2차계산-655E(RR SMBR) 계산내역_110810_UB_도아_바디웨자_초도가_(화승R&amp;A) 2" xfId="1393" xr:uid="{00000000-0005-0000-0000-000001050000}"/>
    <cellStyle name="Ç¥ÁØ_°³¹ßÀÏÁ¤  (2)_°³¹ßÀÏÁ¤ _CM2차계산-655E(RR SMBR) 계산내역_AM_WS_운반비_110708 3" xfId="1394" xr:uid="{00000000-0005-0000-0000-000002050000}"/>
    <cellStyle name="C￥AØ_°³¹ßAIA¤  (2)_°³¹ßAIA¤ _CM2차계산-655E(RR SMBR) 계산내역_AM_WS_운반비_110708 4" xfId="1395" xr:uid="{00000000-0005-0000-0000-000003050000}"/>
    <cellStyle name="Ç¥ÁØ_°³¹ßÀÏÁ¤  (2)_°³¹ßÀÏÁ¤ _CM2차계산-655E(RR SMBR) 계산내역_AM_WS_운반비_110708 4" xfId="1396" xr:uid="{00000000-0005-0000-0000-000004050000}"/>
    <cellStyle name="C￥AØ_°³¹ßAIA¤  (2)_°³¹ßAIA¤ _CM2차계산-655E(RR SMBR) 계산내역_Book2" xfId="1397" xr:uid="{00000000-0005-0000-0000-000005050000}"/>
    <cellStyle name="Ç¥ÁØ_°³¹ßÀÏÁ¤  (2)_°³¹ßÀÏÁ¤ _CM2차계산-655E(RR SMBR) 계산내역_Book2" xfId="1398" xr:uid="{00000000-0005-0000-0000-000006050000}"/>
    <cellStyle name="C￥AØ_°³¹ßAIA¤  (2)_°³¹ßAIA¤ _CM2차계산-655E(RR SMBR) 계산내역_Book2 2" xfId="1399" xr:uid="{00000000-0005-0000-0000-000007050000}"/>
    <cellStyle name="Ç¥ÁØ_°³¹ßÀÏÁ¤  (2)_°³¹ßÀÏÁ¤ _CM2차계산-655E(RR SMBR) 계산내역_KMC_UB_단면적,코팅길이_110218" xfId="1400" xr:uid="{00000000-0005-0000-0000-000008050000}"/>
    <cellStyle name="C￥AØ_°³¹ßAIA¤  (2)_°³¹ßAIA¤ _CM2차계산-655E(RR SMBR) 계산내역_KMC_UB_단면적,코팅길이_110218 2" xfId="1401" xr:uid="{00000000-0005-0000-0000-000009050000}"/>
    <cellStyle name="Ç¥ÁØ_°³¹ßÀÏÁ¤  (2)_°³¹ßÀÏÁ¤ _CM2차계산-655E(RR SMBR) 계산내역_KMC_UB_단면적,코팅길이_110218 2" xfId="1402" xr:uid="{00000000-0005-0000-0000-00000A050000}"/>
    <cellStyle name="C￥AØ_°³¹ßAIA¤  (2)_°³¹ßAIA¤ _CM2차계산-655E(RR SMBR) 계산내역_KMC_UB_단면적,코팅길이_110218 3" xfId="1403" xr:uid="{00000000-0005-0000-0000-00000B050000}"/>
    <cellStyle name="Ç¥ÁØ_°³¹ßÀÏÁ¤  (2)_°³¹ßÀÏÁ¤ _CM2차계산-655E(RR SMBR) 계산내역_KMC_UB_단면적,코팅길이_110218 3" xfId="1404" xr:uid="{00000000-0005-0000-0000-00000C050000}"/>
    <cellStyle name="C￥AØ_°³¹ßAIA¤  (2)_°³¹ßAIA¤ _CM2차계산-655E(RR SMBR) 계산내역_KMC_UB_조인트중량,조인트길이_110214" xfId="1405" xr:uid="{00000000-0005-0000-0000-00000D050000}"/>
    <cellStyle name="Ç¥ÁØ_°³¹ßÀÏÁ¤  (2)_°³¹ßÀÏÁ¤ _CM2차계산-655E(RR SMBR) 계산내역_KMC_UB_조인트중량,조인트길이_110214" xfId="1406" xr:uid="{00000000-0005-0000-0000-00000E050000}"/>
    <cellStyle name="C￥AØ_°³¹ßAIA¤  (2)_°³¹ßAIA¤ _CM2차계산-655E(RR SMBR) 계산내역_KMC_UB_조인트중량,조인트길이_110214 2" xfId="1407" xr:uid="{00000000-0005-0000-0000-00000F050000}"/>
    <cellStyle name="Ç¥ÁØ_°³¹ßÀÏÁ¤  (2)_°³¹ßÀÏÁ¤ _CM2차계산-655E(RR SMBR) 계산내역_KMC_UB_조인트중량,조인트길이_110214 2" xfId="1408" xr:uid="{00000000-0005-0000-0000-000010050000}"/>
    <cellStyle name="C￥AØ_°³¹ßAIA¤  (2)_°³¹ßAIA¤ _CM2차계산-655E(RR SMBR) 계산내역_KMC_UB_조인트중량,조인트길이_110214 3" xfId="1409" xr:uid="{00000000-0005-0000-0000-000011050000}"/>
    <cellStyle name="Ç¥ÁØ_°³¹ßÀÏÁ¤  (2)_°³¹ßÀÏÁ¤ _CM2차계산-655E(RR SMBR) 계산내역_KMC_UB_조인트중량,조인트길이_110214 3" xfId="1410" xr:uid="{00000000-0005-0000-0000-000012050000}"/>
    <cellStyle name="C￥AØ_°³¹ßAIA¤  (2)_°³¹ßAIA¤ _CM2차계산-655E(RR SMBR) 계산내역_KMC_UB_조인트중량,조인트길이_110214 4" xfId="1411" xr:uid="{00000000-0005-0000-0000-000013050000}"/>
    <cellStyle name="Ç¥ÁØ_°³¹ßÀÏÁ¤  (2)_°³¹ßÀÏÁ¤ _CM2차계산-655E(RR SMBR) 계산내역_KMC_UB_조인트중량,조인트길이_110214 4" xfId="1412" xr:uid="{00000000-0005-0000-0000-000014050000}"/>
    <cellStyle name="C￥AØ_°³¹ßAIA¤  (2)_°³¹ßAIA¤ _CM2차계산-655E(RR SMBR) 계산내역_RBk(5DR)_GR_비교원가,원재료인상_110607" xfId="1413" xr:uid="{00000000-0005-0000-0000-000015050000}"/>
    <cellStyle name="Ç¥ÁØ_°³¹ßÀÏÁ¤  (2)_°³¹ßÀÏÁ¤ _CM2차계산-655E(RR SMBR) 계산내역_RBk(5DR)_GR_비교원가,원재료인상_110607" xfId="1414" xr:uid="{00000000-0005-0000-0000-000016050000}"/>
    <cellStyle name="C￥AØ_°³¹ßAIA¤  (2)_°³¹ßAIA¤ _CM2차계산-655E(RR SMBR) 계산내역_RBk(5DR)_GR_비교원가,원재료인상_110607 2" xfId="1415" xr:uid="{00000000-0005-0000-0000-000017050000}"/>
    <cellStyle name="Ç¥ÁØ_°³¹ßÀÏÁ¤  (2)_°³¹ßÀÏÁ¤ _CM2차계산-655E(RR SMBR) 계산내역_RBk(5DR)_GR_비교원가,원재료인상_110607 2" xfId="1416" xr:uid="{00000000-0005-0000-0000-000018050000}"/>
    <cellStyle name="C￥AØ_°³¹ßAIA¤  (2)_°³¹ßAIA¤ _CM2차계산-655E(RR SMBR) 계산내역_RBk(5DR)_GR_비교원가,원재료인상_110607 3" xfId="1417" xr:uid="{00000000-0005-0000-0000-000019050000}"/>
    <cellStyle name="Ç¥ÁØ_°³¹ßÀÏÁ¤  (2)_°³¹ßÀÏÁ¤ _CM2차계산-655E(RR SMBR) 계산내역_RBk(5DR)_GR_비교원가,원재료인상_110607 3" xfId="1418" xr:uid="{00000000-0005-0000-0000-00001A050000}"/>
    <cellStyle name="C￥AØ_°³¹ßAIA¤  (2)_°³¹ßAIA¤ _CM2차계산-655E(RR SMBR) 계산내역_RBk(5DR)_GR_비교원가,원재료인상_110607 4" xfId="1419" xr:uid="{00000000-0005-0000-0000-00001B050000}"/>
    <cellStyle name="Ç¥ÁØ_°³¹ßÀÏÁ¤  (2)_°³¹ßÀÏÁ¤ _CM2차계산-655E(RR SMBR) 계산내역_RBk(5DR)_GR_비교원가,원재료인상_110607 4" xfId="1420" xr:uid="{00000000-0005-0000-0000-00001C050000}"/>
    <cellStyle name="C￥AØ_°³¹ßAIA¤  (2)_°³¹ßAIA¤ _CM2차계산-655E(RR SMBR) 계산내역_VIL_WS_비교원가_110708" xfId="1421" xr:uid="{00000000-0005-0000-0000-00001D050000}"/>
    <cellStyle name="Ç¥ÁØ_°³¹ßÀÏÁ¤  (2)_°³¹ßÀÏÁ¤ _CM2차계산-655E(RR SMBR) 계산내역_VIL_WS_비교원가_110708" xfId="1422" xr:uid="{00000000-0005-0000-0000-00001E050000}"/>
    <cellStyle name="C￥AØ_°³¹ßAIA¤  (2)_°³¹ßAIA¤ _CM2차계산-655E(RR SMBR) 계산내역_VIL_WS_비교원가_110708 2" xfId="1423" xr:uid="{00000000-0005-0000-0000-00001F050000}"/>
    <cellStyle name="Ç¥ÁØ_°³¹ßÀÏÁ¤  (2)_°³¹ßÀÏÁ¤ _Dr inr comple 요약" xfId="1424" xr:uid="{00000000-0005-0000-0000-000020050000}"/>
    <cellStyle name="C￥AØ_°³¹ßAIA¤  (2)_°³¹ßAIA¤ _Dr inr comple 요약 2" xfId="1425" xr:uid="{00000000-0005-0000-0000-000021050000}"/>
    <cellStyle name="Ç¥ÁØ_°³¹ßÀÏÁ¤  (2)_°³¹ßÀÏÁ¤ _Dr inr comple 요약 2" xfId="1426" xr:uid="{00000000-0005-0000-0000-000022050000}"/>
    <cellStyle name="C￥AØ_°³¹ßAIA¤  (2)_°³¹ßAIA¤ _Dr inr comple 요약 3" xfId="1427" xr:uid="{00000000-0005-0000-0000-000023050000}"/>
    <cellStyle name="Ç¥ÁØ_°³¹ßÀÏÁ¤  (2)_°³¹ßÀÏÁ¤ _Dr inr comple 요약 3" xfId="1428" xr:uid="{00000000-0005-0000-0000-000024050000}"/>
    <cellStyle name="C￥AØ_°³¹ßAIA¤  (2)_°³¹ßAIA¤ _Dr inr comple 요약_■EN_BS_비교원가,원재료인상_110621" xfId="1429" xr:uid="{00000000-0005-0000-0000-000025050000}"/>
    <cellStyle name="Ç¥ÁØ_°³¹ßÀÏÁ¤  (2)_°³¹ßÀÏÁ¤ _Dr inr comple 요약_■EN_BS_비교원가,원재료인상_110621" xfId="1430" xr:uid="{00000000-0005-0000-0000-000026050000}"/>
    <cellStyle name="C￥AØ_°³¹ßAIA¤  (2)_°³¹ßAIA¤ _Dr inr comple 요약_■EN_BS_비교원가,원재료인상_110621 2" xfId="1431" xr:uid="{00000000-0005-0000-0000-000027050000}"/>
    <cellStyle name="Ç¥ÁØ_°³¹ßÀÏÁ¤  (2)_°³¹ßÀÏÁ¤ _Dr inr comple 요약_■EN_BS_비교원가,원재료인상_110621 2" xfId="1432" xr:uid="{00000000-0005-0000-0000-000028050000}"/>
    <cellStyle name="C￥AØ_°³¹ßAIA¤  (2)_°³¹ßAIA¤ _Dr inr comple 요약_■EN_BS_비교원가,원재료인상_110621 3" xfId="1433" xr:uid="{00000000-0005-0000-0000-000029050000}"/>
    <cellStyle name="Ç¥ÁØ_°³¹ßÀÏÁ¤  (2)_°³¹ßÀÏÁ¤ _Dr inr comple 요약_■EN_BS_비교원가,원재료인상_110621 3" xfId="1434" xr:uid="{00000000-0005-0000-0000-00002A050000}"/>
    <cellStyle name="C￥AØ_°³¹ßAIA¤  (2)_°³¹ßAIA¤ _Dr inr comple 요약_■EN_BS_비교원가,원재료인상_110621 4" xfId="1435" xr:uid="{00000000-0005-0000-0000-00002B050000}"/>
    <cellStyle name="Ç¥ÁØ_°³¹ßÀÏÁ¤  (2)_°³¹ßÀÏÁ¤ _Dr inr comple 요약_■EN_BS_비교원가,원재료인상_110621 4" xfId="1436" xr:uid="{00000000-0005-0000-0000-00002C050000}"/>
    <cellStyle name="C￥AØ_°³¹ßAIA¤  (2)_°³¹ßAIA¤ _Dr inr comple 요약_110810_UB_도아_바디웨자_초도가_(화승R&amp;A)" xfId="1437" xr:uid="{00000000-0005-0000-0000-00002D050000}"/>
    <cellStyle name="Ç¥ÁØ_°³¹ßÀÏÁ¤  (2)_°³¹ßÀÏÁ¤ _Dr inr comple 요약_110810_UB_도아_바디웨자_초도가_(화승R&amp;A)" xfId="1438" xr:uid="{00000000-0005-0000-0000-00002E050000}"/>
    <cellStyle name="C￥AØ_°³¹ßAIA¤  (2)_°³¹ßAIA¤ _Dr inr comple 요약_110810_UB_도아_바디웨자_초도가_(화승R&amp;A) 2" xfId="1439" xr:uid="{00000000-0005-0000-0000-00002F050000}"/>
    <cellStyle name="Ç¥ÁØ_°³¹ßÀÏÁ¤  (2)_°³¹ßÀÏÁ¤ _Dr inr comple 요약_AM_WS_운반비_110708 3" xfId="1440" xr:uid="{00000000-0005-0000-0000-000030050000}"/>
    <cellStyle name="C￥AØ_°³¹ßAIA¤  (2)_°³¹ßAIA¤ _Dr inr comple 요약_AM_WS_운반비_110708 4" xfId="1441" xr:uid="{00000000-0005-0000-0000-000031050000}"/>
    <cellStyle name="Ç¥ÁØ_°³¹ßÀÏÁ¤  (2)_°³¹ßÀÏÁ¤ _Dr inr comple 요약_AM_WS_운반비_110708 4" xfId="1442" xr:uid="{00000000-0005-0000-0000-000032050000}"/>
    <cellStyle name="C￥AØ_°³¹ßAIA¤  (2)_°³¹ßAIA¤ _Dr inr comple 요약_Book2" xfId="1443" xr:uid="{00000000-0005-0000-0000-000033050000}"/>
    <cellStyle name="Ç¥ÁØ_°³¹ßÀÏÁ¤  (2)_°³¹ßÀÏÁ¤ _Dr inr comple 요약_Book2" xfId="1444" xr:uid="{00000000-0005-0000-0000-000034050000}"/>
    <cellStyle name="C￥AØ_°³¹ßAIA¤  (2)_°³¹ßAIA¤ _Dr inr comple 요약_Book2 2" xfId="1445" xr:uid="{00000000-0005-0000-0000-000035050000}"/>
    <cellStyle name="Ç¥ÁØ_°³¹ßÀÏÁ¤  (2)_°³¹ßÀÏÁ¤ _Dr inr comple 요약_KMC_UB_단면적,코팅길이_110218" xfId="1446" xr:uid="{00000000-0005-0000-0000-000036050000}"/>
    <cellStyle name="C￥AØ_°³¹ßAIA¤  (2)_°³¹ßAIA¤ _Dr inr comple 요약_KMC_UB_단면적,코팅길이_110218 2" xfId="1447" xr:uid="{00000000-0005-0000-0000-000037050000}"/>
    <cellStyle name="Ç¥ÁØ_°³¹ßÀÏÁ¤  (2)_°³¹ßÀÏÁ¤ _Dr inr comple 요약_KMC_UB_단면적,코팅길이_110218 2" xfId="1448" xr:uid="{00000000-0005-0000-0000-000038050000}"/>
    <cellStyle name="C￥AØ_°³¹ßAIA¤  (2)_°³¹ßAIA¤ _Dr inr comple 요약_KMC_UB_단면적,코팅길이_110218 3" xfId="1449" xr:uid="{00000000-0005-0000-0000-000039050000}"/>
    <cellStyle name="Ç¥ÁØ_°³¹ßÀÏÁ¤  (2)_°³¹ßÀÏÁ¤ _Dr inr comple 요약_KMC_UB_단면적,코팅길이_110218 3" xfId="1450" xr:uid="{00000000-0005-0000-0000-00003A050000}"/>
    <cellStyle name="C￥AØ_°³¹ßAIA¤  (2)_°³¹ßAIA¤ _Dr inr comple 요약_KMC_UB_조인트중량,조인트길이_110214" xfId="1451" xr:uid="{00000000-0005-0000-0000-00003B050000}"/>
    <cellStyle name="Ç¥ÁØ_°³¹ßÀÏÁ¤  (2)_°³¹ßÀÏÁ¤ _Dr inr comple 요약_KMC_UB_조인트중량,조인트길이_110214" xfId="1452" xr:uid="{00000000-0005-0000-0000-00003C050000}"/>
    <cellStyle name="C￥AØ_°³¹ßAIA¤  (2)_°³¹ßAIA¤ _Dr inr comple 요약_KMC_UB_조인트중량,조인트길이_110214 2" xfId="1453" xr:uid="{00000000-0005-0000-0000-00003D050000}"/>
    <cellStyle name="Ç¥ÁØ_°³¹ßÀÏÁ¤  (2)_°³¹ßÀÏÁ¤ _Dr inr comple 요약_KMC_UB_조인트중량,조인트길이_110214 2" xfId="1454" xr:uid="{00000000-0005-0000-0000-00003E050000}"/>
    <cellStyle name="C￥AØ_°³¹ßAIA¤  (2)_°³¹ßAIA¤ _Dr inr comple 요약_KMC_UB_조인트중량,조인트길이_110214 3" xfId="1455" xr:uid="{00000000-0005-0000-0000-00003F050000}"/>
    <cellStyle name="Ç¥ÁØ_°³¹ßÀÏÁ¤  (2)_°³¹ßÀÏÁ¤ _Dr inr comple 요약_KMC_UB_조인트중량,조인트길이_110214 3" xfId="1456" xr:uid="{00000000-0005-0000-0000-000040050000}"/>
    <cellStyle name="C￥AØ_°³¹ßAIA¤  (2)_°³¹ßAIA¤ _Dr inr comple 요약_KMC_UB_조인트중량,조인트길이_110214 4" xfId="1457" xr:uid="{00000000-0005-0000-0000-000041050000}"/>
    <cellStyle name="Ç¥ÁØ_°³¹ßÀÏÁ¤  (2)_°³¹ßÀÏÁ¤ _Dr inr comple 요약_KMC_UB_조인트중량,조인트길이_110214 4" xfId="1458" xr:uid="{00000000-0005-0000-0000-000042050000}"/>
    <cellStyle name="C￥AØ_°³¹ßAIA¤  (2)_°³¹ßAIA¤ _Dr inr comple 요약_RBk(5DR)_GR_비교원가,원재료인상_110607" xfId="1459" xr:uid="{00000000-0005-0000-0000-000043050000}"/>
    <cellStyle name="Ç¥ÁØ_°³¹ßÀÏÁ¤  (2)_°³¹ßÀÏÁ¤ _Dr inr comple 요약_RBk(5DR)_GR_비교원가,원재료인상_110607" xfId="1460" xr:uid="{00000000-0005-0000-0000-000044050000}"/>
    <cellStyle name="C￥AØ_°³¹ßAIA¤  (2)_°³¹ßAIA¤ _Dr inr comple 요약_RBk(5DR)_GR_비교원가,원재료인상_110607 2" xfId="1461" xr:uid="{00000000-0005-0000-0000-000045050000}"/>
    <cellStyle name="Ç¥ÁØ_°³¹ßÀÏÁ¤  (2)_°³¹ßÀÏÁ¤ _Dr inr comple 요약_RBk(5DR)_GR_비교원가,원재료인상_110607 2" xfId="1462" xr:uid="{00000000-0005-0000-0000-000046050000}"/>
    <cellStyle name="C￥AØ_°³¹ßAIA¤  (2)_°³¹ßAIA¤ _Dr inr comple 요약_RBk(5DR)_GR_비교원가,원재료인상_110607 3" xfId="1463" xr:uid="{00000000-0005-0000-0000-000047050000}"/>
    <cellStyle name="Ç¥ÁØ_°³¹ßÀÏÁ¤  (2)_°³¹ßÀÏÁ¤ _Dr inr comple 요약_RBk(5DR)_GR_비교원가,원재료인상_110607 3" xfId="1464" xr:uid="{00000000-0005-0000-0000-000048050000}"/>
    <cellStyle name="C￥AØ_°³¹ßAIA¤  (2)_°³¹ßAIA¤ _Dr inr comple 요약_RBk(5DR)_GR_비교원가,원재료인상_110607 4" xfId="1465" xr:uid="{00000000-0005-0000-0000-000049050000}"/>
    <cellStyle name="Ç¥ÁØ_°³¹ßÀÏÁ¤  (2)_°³¹ßÀÏÁ¤ _Dr inr comple 요약_RBk(5DR)_GR_비교원가,원재료인상_110607 4" xfId="1466" xr:uid="{00000000-0005-0000-0000-00004A050000}"/>
    <cellStyle name="C￥AØ_°³¹ßAIA¤  (2)_°³¹ßAIA¤ _Dr inr comple 요약_VIL_WS_비교원가_110708" xfId="1467" xr:uid="{00000000-0005-0000-0000-00004B050000}"/>
    <cellStyle name="Ç¥ÁØ_°³¹ßÀÏÁ¤  (2)_°³¹ßÀÏÁ¤ _Dr inr comple 요약_VIL_WS_비교원가_110708" xfId="1468" xr:uid="{00000000-0005-0000-0000-00004C050000}"/>
    <cellStyle name="C￥AØ_°³¹ßAIA¤  (2)_°³¹ßAIA¤ _Dr inr comple 요약_VIL_WS_비교원가_110708 2" xfId="1469" xr:uid="{00000000-0005-0000-0000-00004D050000}"/>
    <cellStyle name="Ç¥ÁØ_°³¹ßÀÏÁ¤  (2)_°³¹ßÀÏÁ¤ _FEM_모듈품 (MT.+AC)추정" xfId="1470" xr:uid="{00000000-0005-0000-0000-00004E050000}"/>
    <cellStyle name="C￥AØ_°³¹ßAIA¤  (2)_°³¹ßAIA¤ _FEM_모듈품 (MT.+AC)추정 2" xfId="1471" xr:uid="{00000000-0005-0000-0000-00004F050000}"/>
    <cellStyle name="Ç¥ÁØ_°³¹ßÀÏÁ¤  (2)_°³¹ßÀÏÁ¤ _JB 차체부품 원가계산 대책(보고完-04.10.04)" xfId="1472" xr:uid="{00000000-0005-0000-0000-000050050000}"/>
    <cellStyle name="C￥AØ_°³¹ßAIA¤  (2)_°³¹ßAIA¤ _JB 차체부품 원가계산 대책(보고完-04.10.04) 2" xfId="1473" xr:uid="{00000000-0005-0000-0000-000051050000}"/>
    <cellStyle name="Ç¥ÁØ_°³¹ßÀÏÁ¤  (2)_°³¹ßÀÏÁ¤ _MC2차계산-비교원가 양식" xfId="1474" xr:uid="{00000000-0005-0000-0000-000052050000}"/>
    <cellStyle name="C￥AØ_°³¹ßAIA¤  (2)_°³¹ßAIA¤ _MC2차계산-비교원가 양식 2" xfId="1475" xr:uid="{00000000-0005-0000-0000-000053050000}"/>
    <cellStyle name="Ç¥ÁØ_°³¹ßÀÏÁ¤  (2)_°³¹ßÀÏÁ¤ _MC2차계산-비교원가 양식 2" xfId="1476" xr:uid="{00000000-0005-0000-0000-000054050000}"/>
    <cellStyle name="C￥AØ_°³¹ßAIA¤  (2)_°³¹ßAIA¤ _MC2차계산-비교원가 양식 3" xfId="1477" xr:uid="{00000000-0005-0000-0000-000055050000}"/>
    <cellStyle name="Ç¥ÁØ_°³¹ßÀÏÁ¤  (2)_°³¹ßÀÏÁ¤ _MC2차계산-비교원가 양식 3" xfId="1478" xr:uid="{00000000-0005-0000-0000-000056050000}"/>
    <cellStyle name="C￥AØ_°³¹ßAIA¤  (2)_°³¹ßAIA¤ _MC2차계산-비교원가 양식_■EN_BS_비교원가,원재료인상_110621" xfId="1479" xr:uid="{00000000-0005-0000-0000-000057050000}"/>
    <cellStyle name="Ç¥ÁØ_°³¹ßÀÏÁ¤  (2)_°³¹ßÀÏÁ¤ _MC2차계산-비교원가 양식_■EN_BS_비교원가,원재료인상_110621" xfId="1480" xr:uid="{00000000-0005-0000-0000-000058050000}"/>
    <cellStyle name="C￥AØ_°³¹ßAIA¤  (2)_°³¹ßAIA¤ _MC2차계산-비교원가 양식_■EN_BS_비교원가,원재료인상_110621 2" xfId="1481" xr:uid="{00000000-0005-0000-0000-000059050000}"/>
    <cellStyle name="Ç¥ÁØ_°³¹ßÀÏÁ¤  (2)_°³¹ßÀÏÁ¤ _MC2차계산-비교원가 양식_■EN_BS_비교원가,원재료인상_110621 2" xfId="1482" xr:uid="{00000000-0005-0000-0000-00005A050000}"/>
    <cellStyle name="C￥AØ_°³¹ßAIA¤  (2)_°³¹ßAIA¤ _MC2차계산-비교원가 양식_■EN_BS_비교원가,원재료인상_110621 3" xfId="1483" xr:uid="{00000000-0005-0000-0000-00005B050000}"/>
    <cellStyle name="Ç¥ÁØ_°³¹ßÀÏÁ¤  (2)_°³¹ßÀÏÁ¤ _MC2차계산-비교원가 양식_■EN_BS_비교원가,원재료인상_110621 3" xfId="1484" xr:uid="{00000000-0005-0000-0000-00005C050000}"/>
    <cellStyle name="C￥AØ_°³¹ßAIA¤  (2)_°³¹ßAIA¤ _MC2차계산-비교원가 양식_■EN_BS_비교원가,원재료인상_110621 4" xfId="1485" xr:uid="{00000000-0005-0000-0000-00005D050000}"/>
    <cellStyle name="Ç¥ÁØ_°³¹ßÀÏÁ¤  (2)_°³¹ßÀÏÁ¤ _MC2차계산-비교원가 양식_■EN_BS_비교원가,원재료인상_110621 4" xfId="1486" xr:uid="{00000000-0005-0000-0000-00005E050000}"/>
    <cellStyle name="C￥AØ_°³¹ßAIA¤  (2)_°³¹ßAIA¤ _MC2차계산-비교원가 양식_110810_UB_도아_바디웨자_초도가_(화승R&amp;A)" xfId="1487" xr:uid="{00000000-0005-0000-0000-00005F050000}"/>
    <cellStyle name="Ç¥ÁØ_°³¹ßÀÏÁ¤  (2)_°³¹ßÀÏÁ¤ _MC2차계산-비교원가 양식_110810_UB_도아_바디웨자_초도가_(화승R&amp;A)" xfId="1488" xr:uid="{00000000-0005-0000-0000-000060050000}"/>
    <cellStyle name="C￥AØ_°³¹ßAIA¤  (2)_°³¹ßAIA¤ _MC2차계산-비교원가 양식_110810_UB_도아_바디웨자_초도가_(화승R&amp;A) 2" xfId="1489" xr:uid="{00000000-0005-0000-0000-000061050000}"/>
    <cellStyle name="Ç¥ÁØ_°³¹ßÀÏÁ¤  (2)_°³¹ßÀÏÁ¤ _MC2차계산-비교원가 양식_AM_WS_운반비_110708 3" xfId="1490" xr:uid="{00000000-0005-0000-0000-000062050000}"/>
    <cellStyle name="C￥AØ_°³¹ßAIA¤  (2)_°³¹ßAIA¤ _MC2차계산-비교원가 양식_AM_WS_운반비_110708 4" xfId="1491" xr:uid="{00000000-0005-0000-0000-000063050000}"/>
    <cellStyle name="Ç¥ÁØ_°³¹ßÀÏÁ¤  (2)_°³¹ßÀÏÁ¤ _MC2차계산-비교원가 양식_AM_WS_운반비_110708 4" xfId="1492" xr:uid="{00000000-0005-0000-0000-000064050000}"/>
    <cellStyle name="C￥AØ_°³¹ßAIA¤  (2)_°³¹ßAIA¤ _MC2차계산-비교원가 양식_Book2" xfId="1493" xr:uid="{00000000-0005-0000-0000-000065050000}"/>
    <cellStyle name="Ç¥ÁØ_°³¹ßÀÏÁ¤  (2)_°³¹ßÀÏÁ¤ _MC2차계산-비교원가 양식_Book2" xfId="1494" xr:uid="{00000000-0005-0000-0000-000066050000}"/>
    <cellStyle name="C￥AØ_°³¹ßAIA¤  (2)_°³¹ßAIA¤ _MC2차계산-비교원가 양식_Book2 2" xfId="1495" xr:uid="{00000000-0005-0000-0000-000067050000}"/>
    <cellStyle name="Ç¥ÁØ_°³¹ßÀÏÁ¤  (2)_°³¹ßÀÏÁ¤ _MC2차계산-비교원가 양식_KMC_UB_단면적,코팅길이_110218" xfId="1496" xr:uid="{00000000-0005-0000-0000-000068050000}"/>
    <cellStyle name="C￥AØ_°³¹ßAIA¤  (2)_°³¹ßAIA¤ _MC2차계산-비교원가 양식_KMC_UB_단면적,코팅길이_110218 2" xfId="1497" xr:uid="{00000000-0005-0000-0000-000069050000}"/>
    <cellStyle name="Ç¥ÁØ_°³¹ßÀÏÁ¤  (2)_°³¹ßÀÏÁ¤ _MC2차계산-비교원가 양식_KMC_UB_단면적,코팅길이_110218 2" xfId="1498" xr:uid="{00000000-0005-0000-0000-00006A050000}"/>
    <cellStyle name="C￥AØ_°³¹ßAIA¤  (2)_°³¹ßAIA¤ _MC2차계산-비교원가 양식_KMC_UB_단면적,코팅길이_110218 3" xfId="1499" xr:uid="{00000000-0005-0000-0000-00006B050000}"/>
    <cellStyle name="Ç¥ÁØ_°³¹ßÀÏÁ¤  (2)_°³¹ßÀÏÁ¤ _MC2차계산-비교원가 양식_KMC_UB_단면적,코팅길이_110218 3" xfId="1500" xr:uid="{00000000-0005-0000-0000-00006C050000}"/>
    <cellStyle name="C￥AØ_°³¹ßAIA¤  (2)_°³¹ßAIA¤ _MC2차계산-비교원가 양식_KMC_UB_조인트중량,조인트길이_110214" xfId="1501" xr:uid="{00000000-0005-0000-0000-00006D050000}"/>
    <cellStyle name="Ç¥ÁØ_°³¹ßÀÏÁ¤  (2)_°³¹ßÀÏÁ¤ _MC2차계산-비교원가 양식_KMC_UB_조인트중량,조인트길이_110214" xfId="1502" xr:uid="{00000000-0005-0000-0000-00006E050000}"/>
    <cellStyle name="C￥AØ_°³¹ßAIA¤  (2)_°³¹ßAIA¤ _MC2차계산-비교원가 양식_KMC_UB_조인트중량,조인트길이_110214 2" xfId="1503" xr:uid="{00000000-0005-0000-0000-00006F050000}"/>
    <cellStyle name="Ç¥ÁØ_°³¹ßÀÏÁ¤  (2)_°³¹ßÀÏÁ¤ _MC2차계산-비교원가 양식_KMC_UB_조인트중량,조인트길이_110214 2" xfId="1504" xr:uid="{00000000-0005-0000-0000-000070050000}"/>
    <cellStyle name="C￥AØ_°³¹ßAIA¤  (2)_°³¹ßAIA¤ _MC2차계산-비교원가 양식_KMC_UB_조인트중량,조인트길이_110214 3" xfId="1505" xr:uid="{00000000-0005-0000-0000-000071050000}"/>
    <cellStyle name="Ç¥ÁØ_°³¹ßÀÏÁ¤  (2)_°³¹ßÀÏÁ¤ _MC2차계산-비교원가 양식_KMC_UB_조인트중량,조인트길이_110214 3" xfId="1506" xr:uid="{00000000-0005-0000-0000-000072050000}"/>
    <cellStyle name="C￥AØ_°³¹ßAIA¤  (2)_°³¹ßAIA¤ _MC2차계산-비교원가 양식_KMC_UB_조인트중량,조인트길이_110214 4" xfId="1507" xr:uid="{00000000-0005-0000-0000-000073050000}"/>
    <cellStyle name="Ç¥ÁØ_°³¹ßÀÏÁ¤  (2)_°³¹ßÀÏÁ¤ _MC2차계산-비교원가 양식_KMC_UB_조인트중량,조인트길이_110214 4" xfId="1508" xr:uid="{00000000-0005-0000-0000-000074050000}"/>
    <cellStyle name="C￥AØ_°³¹ßAIA¤  (2)_°³¹ßAIA¤ _MC2차계산-비교원가 양식_RBk(5DR)_GR_비교원가,원재료인상_110607" xfId="1509" xr:uid="{00000000-0005-0000-0000-000075050000}"/>
    <cellStyle name="Ç¥ÁØ_°³¹ßÀÏÁ¤  (2)_°³¹ßÀÏÁ¤ _MC2차계산-비교원가 양식_RBk(5DR)_GR_비교원가,원재료인상_110607" xfId="1510" xr:uid="{00000000-0005-0000-0000-000076050000}"/>
    <cellStyle name="C￥AØ_°³¹ßAIA¤  (2)_°³¹ßAIA¤ _MC2차계산-비교원가 양식_RBk(5DR)_GR_비교원가,원재료인상_110607 2" xfId="1511" xr:uid="{00000000-0005-0000-0000-000077050000}"/>
    <cellStyle name="Ç¥ÁØ_°³¹ßÀÏÁ¤  (2)_°³¹ßÀÏÁ¤ _MC2차계산-비교원가 양식_RBk(5DR)_GR_비교원가,원재료인상_110607 2" xfId="1512" xr:uid="{00000000-0005-0000-0000-000078050000}"/>
    <cellStyle name="C￥AØ_°³¹ßAIA¤  (2)_°³¹ßAIA¤ _MC2차계산-비교원가 양식_RBk(5DR)_GR_비교원가,원재료인상_110607 3" xfId="1513" xr:uid="{00000000-0005-0000-0000-000079050000}"/>
    <cellStyle name="Ç¥ÁØ_°³¹ßÀÏÁ¤  (2)_°³¹ßÀÏÁ¤ _MC2차계산-비교원가 양식_RBk(5DR)_GR_비교원가,원재료인상_110607 3" xfId="1514" xr:uid="{00000000-0005-0000-0000-00007A050000}"/>
    <cellStyle name="C￥AØ_°³¹ßAIA¤  (2)_°³¹ßAIA¤ _MC2차계산-비교원가 양식_RBk(5DR)_GR_비교원가,원재료인상_110607 4" xfId="1515" xr:uid="{00000000-0005-0000-0000-00007B050000}"/>
    <cellStyle name="Ç¥ÁØ_°³¹ßÀÏÁ¤  (2)_°³¹ßÀÏÁ¤ _MC2차계산-비교원가 양식_RBk(5DR)_GR_비교원가,원재료인상_110607 4" xfId="1516" xr:uid="{00000000-0005-0000-0000-00007C050000}"/>
    <cellStyle name="C￥AØ_°³¹ßAIA¤  (2)_°³¹ßAIA¤ _MC2차계산-비교원가 양식_VIL_WS_비교원가_110708" xfId="1517" xr:uid="{00000000-0005-0000-0000-00007D050000}"/>
    <cellStyle name="Ç¥ÁØ_°³¹ßÀÏÁ¤  (2)_°³¹ßÀÏÁ¤ _MC2차계산-비교원가 양식_VIL_WS_비교원가_110708" xfId="1518" xr:uid="{00000000-0005-0000-0000-00007E050000}"/>
    <cellStyle name="C￥AØ_°³¹ßAIA¤  (2)_°³¹ßAIA¤ _MC2차계산-비교원가 양식_VIL_WS_비교원가_110708 2" xfId="1519" xr:uid="{00000000-0005-0000-0000-00007F050000}"/>
    <cellStyle name="Ç¥ÁØ_°³¹ßÀÏÁ¤  (2)_°³¹ßÀÏÁ¤ _TB차체부품외주화원가검토0007" xfId="1520" xr:uid="{00000000-0005-0000-0000-000080050000}"/>
    <cellStyle name="C￥AØ_°³¹ßAIA¤  (2)_°³¹ßAIA¤ _TB차체부품외주화원가검토0007 2" xfId="1521" xr:uid="{00000000-0005-0000-0000-000081050000}"/>
    <cellStyle name="Ç¥ÁØ_°³¹ßÀÏÁ¤  (2)_°³¹ßÀÏÁ¤ _선투자 합의자료(최종)" xfId="1522" xr:uid="{00000000-0005-0000-0000-000082050000}"/>
    <cellStyle name="C￥AØ_°³¹ßAIA¤  (2)_°³¹ßAIA¤ _설비현황" xfId="1523" xr:uid="{00000000-0005-0000-0000-000083050000}"/>
    <cellStyle name="Ç¥ÁØ_°³¹ßÀÏÁ¤  (2)_°³¹ßÀÏÁ¤ _설비현황" xfId="1524" xr:uid="{00000000-0005-0000-0000-000084050000}"/>
    <cellStyle name="C￥AØ_°³¹ßAIA¤  (2)_°³¹ßAIA¤ _설비현황 2" xfId="1525" xr:uid="{00000000-0005-0000-0000-000085050000}"/>
    <cellStyle name="Ç¥ÁØ_°³¹ßÀÏÁ¤  (2)_°³¹ßÀÏÁ¤ _수정북경사업계획서(040615)" xfId="1526" xr:uid="{00000000-0005-0000-0000-000086050000}"/>
    <cellStyle name="C￥AØ_°³¹ßAIA¤  (2)_°³¹ßAIA¤ _수정북경사업계획서(040615) 2" xfId="1527" xr:uid="{00000000-0005-0000-0000-000087050000}"/>
    <cellStyle name="Ç¥ÁØ_°³¹ßÀÏÁ¤  (2)_°³¹ßÀÏÁ¤ _수정북경사업계획서(040615) 2" xfId="1528" xr:uid="{00000000-0005-0000-0000-000088050000}"/>
    <cellStyle name="C￥AØ_°³¹ßAIA¤  (2)_°³¹ßAIA¤ _수정북경사업계획서(040615) 3" xfId="1529" xr:uid="{00000000-0005-0000-0000-000089050000}"/>
    <cellStyle name="Ç¥ÁØ_°³¹ßÀÏÁ¤  (2)_°³¹ßÀÏÁ¤ _수정북경사업계획서(040615) 3" xfId="1530" xr:uid="{00000000-0005-0000-0000-00008A050000}"/>
    <cellStyle name="C￥AØ_°³¹ßAIA¤  (2)_°³¹ßAIA¤ _열달재료비021205(최종단가조사)" xfId="1531" xr:uid="{00000000-0005-0000-0000-00008B050000}"/>
    <cellStyle name="Ç¥ÁØ_°³¹ßÀÏÁ¤  (2)_°³¹ßÀÏÁ¤ _열달재료비021205(최종단가조사)" xfId="1532" xr:uid="{00000000-0005-0000-0000-00008C050000}"/>
    <cellStyle name="C￥AØ_°³¹ßAIA¤  (2)_°³¹ßAIA¤ _열달재료비021205(최종단가조사) 2" xfId="1533" xr:uid="{00000000-0005-0000-0000-00008D050000}"/>
    <cellStyle name="Ç¥ÁØ_°³¹ßÀÏÁ¤  (2)_°³¹ßÀÏÁ¤ _열달재료비021205(최종단가조사) 2" xfId="1534" xr:uid="{00000000-0005-0000-0000-00008E050000}"/>
    <cellStyle name="C￥AØ_°³¹ßAIA¤  (2)_°³¹ßAIA¤ _열달재료비021205(최종단가조사) 3" xfId="1535" xr:uid="{00000000-0005-0000-0000-00008F050000}"/>
    <cellStyle name="Ç¥ÁØ_°³¹ßÀÏÁ¤  (2)_°³¹ßÀÏÁ¤ _열달재료비021205(최종단가조사) 3" xfId="1536" xr:uid="{00000000-0005-0000-0000-000090050000}"/>
    <cellStyle name="C￥AØ_°³¹ßAIA¤  (2)_°³¹ßAIA¤ _열달재료비021205(최종단가조사) 4" xfId="1537" xr:uid="{00000000-0005-0000-0000-000091050000}"/>
    <cellStyle name="Ç¥ÁØ_°³¹ßÀÏÁ¤  (2)_°³¹ßÀÏÁ¤ _열달재료비021205(최종단가조사) 4" xfId="1538" xr:uid="{00000000-0005-0000-0000-000092050000}"/>
    <cellStyle name="C￥AØ_1.±a¾EAo_금형견적" xfId="1539" xr:uid="{00000000-0005-0000-0000-000093050000}"/>
    <cellStyle name="Ç¥ÁØ_1.ÆÇ¸Å½ÇÀû " xfId="1540" xr:uid="{00000000-0005-0000-0000-000094050000}"/>
    <cellStyle name="C￥AØ_1.SUMMARY " xfId="1541" xr:uid="{00000000-0005-0000-0000-000095050000}"/>
    <cellStyle name="Ç¥ÁØ_1.SUMMARY " xfId="1542" xr:uid="{00000000-0005-0000-0000-000096050000}"/>
    <cellStyle name="C￥AØ_10+10 " xfId="1543" xr:uid="{00000000-0005-0000-0000-000097050000}"/>
    <cellStyle name="Ç¥ÁØ_10+10 " xfId="1544" xr:uid="{00000000-0005-0000-0000-000098050000}"/>
    <cellStyle name="C￥AØ_1112_10¿u2WA¸ºI " xfId="1545" xr:uid="{00000000-0005-0000-0000-000099050000}"/>
    <cellStyle name="Ç¥ÁØ_1Â÷ ¼³°è¿ø°¡ºÐ¼®_KDº¯µ¿ " xfId="1546" xr:uid="{00000000-0005-0000-0000-00009A050000}"/>
    <cellStyle name="C￥AØ_1A÷ ¼³°e¿ø°¡ºÐ¼R_KDº?μ¿ " xfId="1547" xr:uid="{00000000-0005-0000-0000-00009B050000}"/>
    <cellStyle name="Ç¥ÁØ_2.´ë¿Ü½ÃÇà" xfId="1548" xr:uid="{00000000-0005-0000-0000-00009C050000}"/>
    <cellStyle name="C￥AØ_2.´e¿U½ACa_금형견적" xfId="1549" xr:uid="{00000000-0005-0000-0000-00009D050000}"/>
    <cellStyle name="Ç¥ÁØ_2.0GLS_¿ø´ÜÀ§ " xfId="1550" xr:uid="{00000000-0005-0000-0000-00009E050000}"/>
    <cellStyle name="C￥AØ_2.5GLS_¿ø´UA§ " xfId="1551" xr:uid="{00000000-0005-0000-0000-00009F050000}"/>
    <cellStyle name="Ç¥ÁØ_2.5GLS_¿ø´ÜÀ§ " xfId="1552" xr:uid="{00000000-0005-0000-0000-0000A0050000}"/>
    <cellStyle name="C￥AØ_2.5GLS_¿ø´UA§ _Book2" xfId="1553" xr:uid="{00000000-0005-0000-0000-0000A1050000}"/>
    <cellStyle name="Ç¥ÁØ_2.5GLS_¿ø´ÜÀ§ _Book2" xfId="1554" xr:uid="{00000000-0005-0000-0000-0000A2050000}"/>
    <cellStyle name="C￥AØ_2.5GLS_¿ø´UA§ _Dr inr comple 요약" xfId="1555" xr:uid="{00000000-0005-0000-0000-0000A3050000}"/>
    <cellStyle name="Ç¥ÁØ_2.5GLS_¿ø´ÜÀ§ _Dr inr comple 요약" xfId="1556" xr:uid="{00000000-0005-0000-0000-0000A4050000}"/>
    <cellStyle name="C￥AØ_2.5GLS_¿ø´UA§ _Dr inr comple 요약 2" xfId="1557" xr:uid="{00000000-0005-0000-0000-0000A5050000}"/>
    <cellStyle name="Ç¥ÁØ_2.5GLS_¿ø´ÜÀ§ _Dr inr comple 요약 2" xfId="1558" xr:uid="{00000000-0005-0000-0000-0000A6050000}"/>
    <cellStyle name="C￥AØ_2.5GLS_¿ø´UA§ _Dr inr comple 요약 3" xfId="1559" xr:uid="{00000000-0005-0000-0000-0000A7050000}"/>
    <cellStyle name="Ç¥ÁØ_2.5GLS_¿ø´ÜÀ§ _Dr inr comple 요약 3" xfId="1560" xr:uid="{00000000-0005-0000-0000-0000A8050000}"/>
    <cellStyle name="C￥AØ_2.5GLS_¿ø´UA§ _Dr inr comple 요약 4" xfId="1561" xr:uid="{00000000-0005-0000-0000-0000A9050000}"/>
    <cellStyle name="Ç¥ÁØ_2.5GLS_¿ø´ÜÀ§ _Dr inr comple 요약 4" xfId="1562" xr:uid="{00000000-0005-0000-0000-0000AA050000}"/>
    <cellStyle name="C￥AØ_2.5GLS_¿ø´UA§ _Dr inr comple 요약_■EN_BS_비교원가,원재료인상_110621" xfId="1563" xr:uid="{00000000-0005-0000-0000-0000AB050000}"/>
    <cellStyle name="Ç¥ÁØ_2.5GLS_¿ø´ÜÀ§ _Dr inr comple 요약_■EN_BS_비교원가,원재료인상_110621" xfId="1564" xr:uid="{00000000-0005-0000-0000-0000AC050000}"/>
    <cellStyle name="C￥AØ_2.5GLS_¿ø´UA§ _Dr inr comple 요약_■EN_BS_비교원가,원재료인상_110621 2" xfId="1565" xr:uid="{00000000-0005-0000-0000-0000AD050000}"/>
    <cellStyle name="Ç¥ÁØ_2.5GLS_¿ø´ÜÀ§ _Dr inr comple 요약_■EN_BS_비교원가,원재료인상_110621 2" xfId="1566" xr:uid="{00000000-0005-0000-0000-0000AE050000}"/>
    <cellStyle name="C￥AØ_2.5GLS_¿ø´UA§ _Dr inr comple 요약_■EN_BS_비교원가,원재료인상_110621 3" xfId="1567" xr:uid="{00000000-0005-0000-0000-0000AF050000}"/>
    <cellStyle name="Ç¥ÁØ_2.5GLS_¿ø´ÜÀ§ _Dr inr comple 요약_■EN_BS_비교원가,원재료인상_110621 3" xfId="1568" xr:uid="{00000000-0005-0000-0000-0000B0050000}"/>
    <cellStyle name="C￥AØ_2.5GLS_¿ø´UA§ _Dr inr comple 요약_■EN_BS_비교원가,원재료인상_110621 4" xfId="1569" xr:uid="{00000000-0005-0000-0000-0000B1050000}"/>
    <cellStyle name="Ç¥ÁØ_2.5GLS_¿ø´ÜÀ§ _Dr inr comple 요약_■EN_BS_비교원가,원재료인상_110621 4" xfId="1570" xr:uid="{00000000-0005-0000-0000-0000B2050000}"/>
    <cellStyle name="C￥AØ_2.5GLS_¿ø´UA§ _Dr inr comple 요약_110810_UB_도아_바디웨자_초도가_(화승R&amp;A)" xfId="1571" xr:uid="{00000000-0005-0000-0000-0000B3050000}"/>
    <cellStyle name="Ç¥ÁØ_2.5GLS_¿ø´ÜÀ§ _Dr inr comple 요약_110810_UB_도아_바디웨자_초도가_(화승R&amp;A)" xfId="1572" xr:uid="{00000000-0005-0000-0000-0000B4050000}"/>
    <cellStyle name="C￥AØ_2.5GLS_¿ø´UA§ _Dr inr comple 요약_110810_철판 SCRAP조정_자동_화승R&amp;A" xfId="1573" xr:uid="{00000000-0005-0000-0000-0000B5050000}"/>
    <cellStyle name="Ç¥ÁØ_2.5GLS_¿ø´ÜÀ§ _Dr inr comple 요약_110810_철판 SCRAP조정_자동_화승R&amp;A" xfId="1574" xr:uid="{00000000-0005-0000-0000-0000B6050000}"/>
    <cellStyle name="C￥AØ_2.5GLS_¿ø´UA§ _Dr inr comple 요약_110810_철판 SCRAP조정_자동_화승R&amp;A 2" xfId="1575" xr:uid="{00000000-0005-0000-0000-0000B7050000}"/>
    <cellStyle name="Ç¥ÁØ_2.5GLS_¿ø´ÜÀ§ _Dr inr comple 요약_110810_철판 SCRAP조정_자동_화승R&amp;A 2" xfId="1576" xr:uid="{00000000-0005-0000-0000-0000B8050000}"/>
    <cellStyle name="C￥AØ_2.5GLS_¿ø´UA§ _Dr inr comple 요약_110810_철판 SCRAP조정_자동_화승R&amp;A 3" xfId="1577" xr:uid="{00000000-0005-0000-0000-0000B9050000}"/>
    <cellStyle name="Ç¥ÁØ_2.5GLS_¿ø´ÜÀ§ _Dr inr comple 요약_110810_철판 SCRAP조정_자동_화승R&amp;A 3" xfId="1578" xr:uid="{00000000-0005-0000-0000-0000BA050000}"/>
    <cellStyle name="C￥AØ_2.5GLS_¿ø´UA§ _Dr inr comple 요약_110810_철판 SCRAP조정_자동_화승R&amp;A 4" xfId="1579" xr:uid="{00000000-0005-0000-0000-0000BB050000}"/>
    <cellStyle name="Ç¥ÁØ_2.5GLS_¿ø´ÜÀ§ _Dr inr comple 요약_110810_철판 SCRAP조정_자동_화승R&amp;A 4" xfId="1580" xr:uid="{00000000-0005-0000-0000-0000BC050000}"/>
    <cellStyle name="C￥AØ_2.5GLS_¿ø´UA§ _Dr inr comple 요약_AM_WS_운반비_110708" xfId="1581" xr:uid="{00000000-0005-0000-0000-0000BD050000}"/>
    <cellStyle name="Ç¥ÁØ_2.5GLS_¿ø´ÜÀ§ _Dr inr comple 요약_AM_WS_운반비_110708" xfId="1582" xr:uid="{00000000-0005-0000-0000-0000BE050000}"/>
    <cellStyle name="C￥AØ_2.5GLS_¿ø´UA§ _Dr inr comple 요약_AM_WS_운반비_110708 2" xfId="1583" xr:uid="{00000000-0005-0000-0000-0000BF050000}"/>
    <cellStyle name="Ç¥ÁØ_2.5GLS_¿ø´ÜÀ§ _Dr inr comple 요약_AM_WS_운반비_110708 2" xfId="1584" xr:uid="{00000000-0005-0000-0000-0000C0050000}"/>
    <cellStyle name="C￥AØ_2.5GLS_¿ø´UA§ _Dr inr comple 요약_AM_WS_운반비_110708 3" xfId="1585" xr:uid="{00000000-0005-0000-0000-0000C1050000}"/>
    <cellStyle name="Ç¥ÁØ_2.5GLS_¿ø´ÜÀ§ _Dr inr comple 요약_AM_WS_운반비_110708 3" xfId="1586" xr:uid="{00000000-0005-0000-0000-0000C2050000}"/>
    <cellStyle name="C￥AØ_2.5GLS_¿ø´UA§ _Dr inr comple 요약_AM_WS_운반비_110708 4" xfId="1587" xr:uid="{00000000-0005-0000-0000-0000C3050000}"/>
    <cellStyle name="Ç¥ÁØ_2.5GLS_¿ø´ÜÀ§ _Dr inr comple 요약_AM_WS_운반비_110708 4" xfId="1588" xr:uid="{00000000-0005-0000-0000-0000C4050000}"/>
    <cellStyle name="C￥AØ_2.5GLS_¿ø´UA§ _Dr inr comple 요약_Book2" xfId="1589" xr:uid="{00000000-0005-0000-0000-0000C5050000}"/>
    <cellStyle name="Ç¥ÁØ_2.5GLS_¿ø´ÜÀ§ _Dr inr comple 요약_Book2" xfId="1590" xr:uid="{00000000-0005-0000-0000-0000C6050000}"/>
    <cellStyle name="C￥AØ_2.5GLS_¿ø´UA§ _Dr inr comple 요약_KMC_UB_단면적,코팅길이_110218" xfId="1591" xr:uid="{00000000-0005-0000-0000-0000C7050000}"/>
    <cellStyle name="Ç¥ÁØ_2.5GLS_¿ø´ÜÀ§ _Dr inr comple 요약_KMC_UB_단면적,코팅길이_110218" xfId="1592" xr:uid="{00000000-0005-0000-0000-0000C8050000}"/>
    <cellStyle name="C￥AØ_2.5GLS_¿ø´UA§ _Dr inr comple 요약_KMC_UB_단면적,코팅길이_110218 2" xfId="1593" xr:uid="{00000000-0005-0000-0000-0000C9050000}"/>
    <cellStyle name="Ç¥ÁØ_2.5GLS_¿ø´ÜÀ§ _Dr inr comple 요약_KMC_UB_단면적,코팅길이_110218 2" xfId="1594" xr:uid="{00000000-0005-0000-0000-0000CA050000}"/>
    <cellStyle name="C￥AØ_2.5GLS_¿ø´UA§ _Dr inr comple 요약_KMC_UB_단면적,코팅길이_110218 3" xfId="1595" xr:uid="{00000000-0005-0000-0000-0000CB050000}"/>
    <cellStyle name="Ç¥ÁØ_2.5GLS_¿ø´ÜÀ§ _Dr inr comple 요약_KMC_UB_단면적,코팅길이_110218 3" xfId="1596" xr:uid="{00000000-0005-0000-0000-0000CC050000}"/>
    <cellStyle name="C￥AØ_2.5GLS_¿ø´UA§ _Dr inr comple 요약_KMC_UB_단면적,코팅길이_110218 4" xfId="1597" xr:uid="{00000000-0005-0000-0000-0000CD050000}"/>
    <cellStyle name="Ç¥ÁØ_2.5GLS_¿ø´ÜÀ§ _Dr inr comple 요약_KMC_UB_단면적,코팅길이_110218 4" xfId="1598" xr:uid="{00000000-0005-0000-0000-0000CE050000}"/>
    <cellStyle name="C￥AØ_2.5GLS_¿ø´UA§ _Dr inr comple 요약_KMC_UB_조인트중량,조인트길이_110214" xfId="1599" xr:uid="{00000000-0005-0000-0000-0000CF050000}"/>
    <cellStyle name="Ç¥ÁØ_2.5GLS_¿ø´ÜÀ§ _Dr inr comple 요약_KMC_UB_조인트중량,조인트길이_110214" xfId="1600" xr:uid="{00000000-0005-0000-0000-0000D0050000}"/>
    <cellStyle name="C￥AØ_2.5GLS_¿ø´UA§ _Dr inr comple 요약_KMC_UB_조인트중량,조인트길이_110214 2" xfId="1601" xr:uid="{00000000-0005-0000-0000-0000D1050000}"/>
    <cellStyle name="Ç¥ÁØ_2.5GLS_¿ø´ÜÀ§ _Dr inr comple 요약_KMC_UB_조인트중량,조인트길이_110214 2" xfId="1602" xr:uid="{00000000-0005-0000-0000-0000D2050000}"/>
    <cellStyle name="C￥AØ_2.5GLS_¿ø´UA§ _Dr inr comple 요약_KMC_UB_조인트중량,조인트길이_110214 3" xfId="1603" xr:uid="{00000000-0005-0000-0000-0000D3050000}"/>
    <cellStyle name="Ç¥ÁØ_2.5GLS_¿ø´ÜÀ§ _Dr inr comple 요약_KMC_UB_조인트중량,조인트길이_110214 3" xfId="1604" xr:uid="{00000000-0005-0000-0000-0000D4050000}"/>
    <cellStyle name="C￥AØ_2.5GLS_¿ø´UA§ _Dr inr comple 요약_KMC_UB_조인트중량,조인트길이_110214 4" xfId="1605" xr:uid="{00000000-0005-0000-0000-0000D5050000}"/>
    <cellStyle name="Ç¥ÁØ_2.5GLS_¿ø´ÜÀ§ _Dr inr comple 요약_KMC_UB_조인트중량,조인트길이_110214 4" xfId="1606" xr:uid="{00000000-0005-0000-0000-0000D6050000}"/>
    <cellStyle name="C￥AØ_2.5GLS_¿ø´UA§ _Dr inr comple 요약_RBk(5DR)_GR_비교원가,원재료인상_110607" xfId="1607" xr:uid="{00000000-0005-0000-0000-0000D7050000}"/>
    <cellStyle name="Ç¥ÁØ_2.5GLS_¿ø´ÜÀ§ _Dr inr comple 요약_RBk(5DR)_GR_비교원가,원재료인상_110607" xfId="1608" xr:uid="{00000000-0005-0000-0000-0000D8050000}"/>
    <cellStyle name="C￥AØ_2.5GLS_¿ø´UA§ _Dr inr comple 요약_RBk(5DR)_GR_비교원가,원재료인상_110607 2" xfId="1609" xr:uid="{00000000-0005-0000-0000-0000D9050000}"/>
    <cellStyle name="Ç¥ÁØ_2.5GLS_¿ø´ÜÀ§ _Dr inr comple 요약_RBk(5DR)_GR_비교원가,원재료인상_110607 2" xfId="1610" xr:uid="{00000000-0005-0000-0000-0000DA050000}"/>
    <cellStyle name="C￥AØ_2.5GLS_¿ø´UA§ _Dr inr comple 요약_RBk(5DR)_GR_비교원가,원재료인상_110607 3" xfId="1611" xr:uid="{00000000-0005-0000-0000-0000DB050000}"/>
    <cellStyle name="Ç¥ÁØ_2.5GLS_¿ø´ÜÀ§ _Dr inr comple 요약_RBk(5DR)_GR_비교원가,원재료인상_110607 3" xfId="1612" xr:uid="{00000000-0005-0000-0000-0000DC050000}"/>
    <cellStyle name="C￥AØ_2.5GLS_¿ø´UA§ _Dr inr comple 요약_RBk(5DR)_GR_비교원가,원재료인상_110607 4" xfId="1613" xr:uid="{00000000-0005-0000-0000-0000DD050000}"/>
    <cellStyle name="Ç¥ÁØ_2.5GLS_¿ø´ÜÀ§ _Dr inr comple 요약_RBk(5DR)_GR_비교원가,원재료인상_110607 4" xfId="1614" xr:uid="{00000000-0005-0000-0000-0000DE050000}"/>
    <cellStyle name="C￥AØ_2.5GLS_¿ø´UA§ _Dr inr comple 요약_VIL_WS_비교원가_110708" xfId="1615" xr:uid="{00000000-0005-0000-0000-0000DF050000}"/>
    <cellStyle name="Ç¥ÁØ_2.5GLS_¿ø´ÜÀ§ _Dr inr comple 요약_VIL_WS_비교원가_110708" xfId="1616" xr:uid="{00000000-0005-0000-0000-0000E0050000}"/>
    <cellStyle name="C￥AØ_2.5GLS_¿ø´UA§ _JB 차체부품 원가계산 대책(보고完-04.10.04)" xfId="1617" xr:uid="{00000000-0005-0000-0000-0000E1050000}"/>
    <cellStyle name="Ç¥ÁØ_2.5GLS_¿ø´ÜÀ§ _JB 차체부품 원가계산 대책(보고完-04.10.04)" xfId="1618" xr:uid="{00000000-0005-0000-0000-0000E2050000}"/>
    <cellStyle name="C￥AØ_2.5GLS_¿ø´UA§ _TB차체부품외주화원가검토0007" xfId="1619" xr:uid="{00000000-0005-0000-0000-0000E3050000}"/>
    <cellStyle name="Ç¥ÁØ_2.5GLS_¿ø´ÜÀ§ _TB차체부품외주화원가검토0007" xfId="1620" xr:uid="{00000000-0005-0000-0000-0000E4050000}"/>
    <cellStyle name="C￥AØ_2.5GLS_¿ø´UA§ _카니발부품국산화개발방안-회장님(030616" xfId="1621" xr:uid="{00000000-0005-0000-0000-0000E5050000}"/>
    <cellStyle name="Ç¥ÁØ_2.5GLS_¿ø´ÜÀ§ _카니발부품국산화개발방안-회장님(030616" xfId="1622" xr:uid="{00000000-0005-0000-0000-0000E6050000}"/>
    <cellStyle name="C￥AØ_2.5GLS_¿ø´UA§ _카니발부품국산화개발방안-회장님(030616 2" xfId="1623" xr:uid="{00000000-0005-0000-0000-0000E7050000}"/>
    <cellStyle name="Ç¥ÁØ_2.5GLS_¿ø´ÜÀ§ _카니발부품국산화개발방안-회장님(030616 2" xfId="1624" xr:uid="{00000000-0005-0000-0000-0000E8050000}"/>
    <cellStyle name="C￥AØ_2.5GLS_¿ø´UA§ _카니발부품국산화개발방안-회장님(030616 3" xfId="1625" xr:uid="{00000000-0005-0000-0000-0000E9050000}"/>
    <cellStyle name="Ç¥ÁØ_2.5GLS_¿ø´ÜÀ§ _카니발부품국산화개발방안-회장님(030616 3" xfId="1626" xr:uid="{00000000-0005-0000-0000-0000EA050000}"/>
    <cellStyle name="C￥AØ_2.5GLS_¿ø´UA§ _카니발부품국산화개발방안-회장님(030616 4" xfId="1627" xr:uid="{00000000-0005-0000-0000-0000EB050000}"/>
    <cellStyle name="Ç¥ÁØ_2.5GLS_¿ø´ÜÀ§ _카니발부품국산화개발방안-회장님(030616 4" xfId="1628" xr:uid="{00000000-0005-0000-0000-0000EC050000}"/>
    <cellStyle name="C￥AØ_2.CONCEPT " xfId="1629" xr:uid="{00000000-0005-0000-0000-0000ED050000}"/>
    <cellStyle name="Ç¥ÁØ_2.CONCEPT " xfId="1630" xr:uid="{00000000-0005-0000-0000-0000EE050000}"/>
    <cellStyle name="C￥AØ_2¿uA¶¸³ " xfId="1631" xr:uid="{00000000-0005-0000-0000-0000EF050000}"/>
    <cellStyle name="Ç¥ÁØ_3.´ë³»½ÃÇà" xfId="1632" xr:uid="{00000000-0005-0000-0000-0000F0050000}"/>
    <cellStyle name="C￥AØ_3.´e³≫½ACa" xfId="1633" xr:uid="{00000000-0005-0000-0000-0000F1050000}"/>
    <cellStyle name="Ç¥ÁØ_3.MSCHEDULE¿µ¹® " xfId="1634" xr:uid="{00000000-0005-0000-0000-0000F2050000}"/>
    <cellStyle name="C￥AØ_3.MSCHEDULE¿μ¹R " xfId="1635" xr:uid="{00000000-0005-0000-0000-0000F3050000}"/>
    <cellStyle name="Ç¥ÁØ_3PJTR°èÈ¹ " xfId="1636" xr:uid="{00000000-0005-0000-0000-0000F4050000}"/>
    <cellStyle name="C￥AØ_4 " xfId="1637" xr:uid="{00000000-0005-0000-0000-0000F5050000}"/>
    <cellStyle name="Ç¥ÁØ_4 " xfId="1638" xr:uid="{00000000-0005-0000-0000-0000F6050000}"/>
    <cellStyle name="C￥AØ_5-1±¤°i " xfId="1639" xr:uid="{00000000-0005-0000-0000-0000F7050000}"/>
    <cellStyle name="Ç¥ÁØ_5-1±¤°í " xfId="1640" xr:uid="{00000000-0005-0000-0000-0000F8050000}"/>
    <cellStyle name="C￥AØ_5-1±¤°i _¹≪¿ª10¿u " xfId="1641" xr:uid="{00000000-0005-0000-0000-0000F9050000}"/>
    <cellStyle name="Ç¥ÁØ_5-1±¤°í _Book2" xfId="1642" xr:uid="{00000000-0005-0000-0000-0000FA050000}"/>
    <cellStyle name="C￥AØ_5-3-3-1-1.≫y≫e±¸A¶ºÐ¼R-MAT'L¡­ " xfId="1643" xr:uid="{00000000-0005-0000-0000-0000FB050000}"/>
    <cellStyle name="Ç¥ÁØ_6-3°æÀï·Â " xfId="1644" xr:uid="{00000000-0005-0000-0000-0000FC050000}"/>
    <cellStyle name="C￥AØ_6-3°æAi·A _±¸¸A½CAu " xfId="1645" xr:uid="{00000000-0005-0000-0000-0000FD050000}"/>
    <cellStyle name="Ç¥ÁØ_6-3°æÀï·Â _FEM_모듈품 (MT.+AC)추정" xfId="1646" xr:uid="{00000000-0005-0000-0000-0000FE050000}"/>
    <cellStyle name="C￥AØ_6-3°æAi·A _TB차체부품외주화원가검토0007" xfId="1647" xr:uid="{00000000-0005-0000-0000-0000FF050000}"/>
    <cellStyle name="Ç¥ÁØ_6-3°æÀï·Â _TB차체부품외주화원가검토0007" xfId="1648" xr:uid="{00000000-0005-0000-0000-000000060000}"/>
    <cellStyle name="C￥AØ_7.MASTER SCHEDULE " xfId="1649" xr:uid="{00000000-0005-0000-0000-000001060000}"/>
    <cellStyle name="Ç¥ÁØ_7.MASTER SCHEDULE " xfId="1650" xr:uid="{00000000-0005-0000-0000-000002060000}"/>
    <cellStyle name="C￥AØ_8HR " xfId="1651" xr:uid="{00000000-0005-0000-0000-000003060000}"/>
    <cellStyle name="Ç¥ÁØ_8HR " xfId="1652" xr:uid="{00000000-0005-0000-0000-000004060000}"/>
    <cellStyle name="C￥AØ_8HR _Book2" xfId="1653" xr:uid="{00000000-0005-0000-0000-000005060000}"/>
    <cellStyle name="Ç¥ÁØ_8HR _Book2" xfId="1654" xr:uid="{00000000-0005-0000-0000-000006060000}"/>
    <cellStyle name="C￥AØ_8HR _Dr inr comple 요약" xfId="1655" xr:uid="{00000000-0005-0000-0000-000007060000}"/>
    <cellStyle name="Ç¥ÁØ_8HR _Dr inr comple 요약" xfId="1656" xr:uid="{00000000-0005-0000-0000-000008060000}"/>
    <cellStyle name="C￥AØ_8HR _Dr inr comple 요약 2" xfId="1657" xr:uid="{00000000-0005-0000-0000-000009060000}"/>
    <cellStyle name="Ç¥ÁØ_8HR _Dr inr comple 요약 2" xfId="1658" xr:uid="{00000000-0005-0000-0000-00000A060000}"/>
    <cellStyle name="C￥AØ_8HR _Dr inr comple 요약 3" xfId="1659" xr:uid="{00000000-0005-0000-0000-00000B060000}"/>
    <cellStyle name="Ç¥ÁØ_8HR _Dr inr comple 요약 3" xfId="1660" xr:uid="{00000000-0005-0000-0000-00000C060000}"/>
    <cellStyle name="C￥AØ_8HR _Dr inr comple 요약 4" xfId="1661" xr:uid="{00000000-0005-0000-0000-00000D060000}"/>
    <cellStyle name="Ç¥ÁØ_8HR _Dr inr comple 요약 4" xfId="1662" xr:uid="{00000000-0005-0000-0000-00000E060000}"/>
    <cellStyle name="C￥AØ_8HR _Dr inr comple 요약_■EN_BS_비교원가,원재료인상_110621" xfId="1663" xr:uid="{00000000-0005-0000-0000-00000F060000}"/>
    <cellStyle name="Ç¥ÁØ_8HR _Dr inr comple 요약_■EN_BS_비교원가,원재료인상_110621" xfId="1664" xr:uid="{00000000-0005-0000-0000-000010060000}"/>
    <cellStyle name="C￥AØ_8HR _Dr inr comple 요약_■EN_BS_비교원가,원재료인상_110621 2" xfId="1665" xr:uid="{00000000-0005-0000-0000-000011060000}"/>
    <cellStyle name="Ç¥ÁØ_8HR _Dr inr comple 요약_■EN_BS_비교원가,원재료인상_110621 2" xfId="1666" xr:uid="{00000000-0005-0000-0000-000012060000}"/>
    <cellStyle name="C￥AØ_8HR _Dr inr comple 요약_■EN_BS_비교원가,원재료인상_110621 3" xfId="1667" xr:uid="{00000000-0005-0000-0000-000013060000}"/>
    <cellStyle name="Ç¥ÁØ_8HR _Dr inr comple 요약_■EN_BS_비교원가,원재료인상_110621 3" xfId="1668" xr:uid="{00000000-0005-0000-0000-000014060000}"/>
    <cellStyle name="C￥AØ_8HR _Dr inr comple 요약_■EN_BS_비교원가,원재료인상_110621 4" xfId="1669" xr:uid="{00000000-0005-0000-0000-000015060000}"/>
    <cellStyle name="Ç¥ÁØ_8HR _Dr inr comple 요약_■EN_BS_비교원가,원재료인상_110621 4" xfId="1670" xr:uid="{00000000-0005-0000-0000-000016060000}"/>
    <cellStyle name="C￥AØ_8HR _Dr inr comple 요약_110810_UB_도아_바디웨자_초도가_(화승R&amp;A)" xfId="1671" xr:uid="{00000000-0005-0000-0000-000017060000}"/>
    <cellStyle name="Ç¥ÁØ_8HR _Dr inr comple 요약_110810_UB_도아_바디웨자_초도가_(화승R&amp;A)" xfId="1672" xr:uid="{00000000-0005-0000-0000-000018060000}"/>
    <cellStyle name="C￥AØ_8HR _Dr inr comple 요약_110810_철판 SCRAP조정_자동_화승R&amp;A" xfId="1673" xr:uid="{00000000-0005-0000-0000-000019060000}"/>
    <cellStyle name="Ç¥ÁØ_8HR _Dr inr comple 요약_110810_철판 SCRAP조정_자동_화승R&amp;A" xfId="1674" xr:uid="{00000000-0005-0000-0000-00001A060000}"/>
    <cellStyle name="C￥AØ_8HR _Dr inr comple 요약_110810_철판 SCRAP조정_자동_화승R&amp;A 2" xfId="1675" xr:uid="{00000000-0005-0000-0000-00001B060000}"/>
    <cellStyle name="Ç¥ÁØ_8HR _Dr inr comple 요약_110810_철판 SCRAP조정_자동_화승R&amp;A 2" xfId="1676" xr:uid="{00000000-0005-0000-0000-00001C060000}"/>
    <cellStyle name="C￥AØ_8HR _Dr inr comple 요약_110810_철판 SCRAP조정_자동_화승R&amp;A 3" xfId="1677" xr:uid="{00000000-0005-0000-0000-00001D060000}"/>
    <cellStyle name="Ç¥ÁØ_8HR _Dr inr comple 요약_110810_철판 SCRAP조정_자동_화승R&amp;A 3" xfId="1678" xr:uid="{00000000-0005-0000-0000-00001E060000}"/>
    <cellStyle name="C￥AØ_8HR _Dr inr comple 요약_110810_철판 SCRAP조정_자동_화승R&amp;A 4" xfId="1679" xr:uid="{00000000-0005-0000-0000-00001F060000}"/>
    <cellStyle name="Ç¥ÁØ_8HR _Dr inr comple 요약_110810_철판 SCRAP조정_자동_화승R&amp;A 4" xfId="1680" xr:uid="{00000000-0005-0000-0000-000020060000}"/>
    <cellStyle name="C￥AØ_8HR _Dr inr comple 요약_AM_WS_운반비_110708" xfId="1681" xr:uid="{00000000-0005-0000-0000-000021060000}"/>
    <cellStyle name="Ç¥ÁØ_8HR _Dr inr comple 요약_AM_WS_운반비_110708" xfId="1682" xr:uid="{00000000-0005-0000-0000-000022060000}"/>
    <cellStyle name="C￥AØ_8HR _Dr inr comple 요약_AM_WS_운반비_110708 2" xfId="1683" xr:uid="{00000000-0005-0000-0000-000023060000}"/>
    <cellStyle name="Ç¥ÁØ_8HR _Dr inr comple 요약_AM_WS_운반비_110708 2" xfId="1684" xr:uid="{00000000-0005-0000-0000-000024060000}"/>
    <cellStyle name="C￥AØ_8HR _Dr inr comple 요약_AM_WS_운반비_110708 3" xfId="1685" xr:uid="{00000000-0005-0000-0000-000025060000}"/>
    <cellStyle name="Ç¥ÁØ_8HR _Dr inr comple 요약_AM_WS_운반비_110708 3" xfId="1686" xr:uid="{00000000-0005-0000-0000-000026060000}"/>
    <cellStyle name="C￥AØ_8HR _Dr inr comple 요약_AM_WS_운반비_110708 4" xfId="1687" xr:uid="{00000000-0005-0000-0000-000027060000}"/>
    <cellStyle name="Ç¥ÁØ_8HR _Dr inr comple 요약_AM_WS_운반비_110708 4" xfId="1688" xr:uid="{00000000-0005-0000-0000-000028060000}"/>
    <cellStyle name="C￥AØ_8HR _Dr inr comple 요약_Book2" xfId="1689" xr:uid="{00000000-0005-0000-0000-000029060000}"/>
    <cellStyle name="Ç¥ÁØ_8HR _Dr inr comple 요약_Book2" xfId="1690" xr:uid="{00000000-0005-0000-0000-00002A060000}"/>
    <cellStyle name="C￥AØ_8HR _Dr inr comple 요약_KMC_UB_단면적,코팅길이_110218" xfId="1691" xr:uid="{00000000-0005-0000-0000-00002B060000}"/>
    <cellStyle name="Ç¥ÁØ_8HR _Dr inr comple 요약_KMC_UB_단면적,코팅길이_110218" xfId="1692" xr:uid="{00000000-0005-0000-0000-00002C060000}"/>
    <cellStyle name="C￥AØ_8HR _Dr inr comple 요약_KMC_UB_단면적,코팅길이_110218 2" xfId="1693" xr:uid="{00000000-0005-0000-0000-00002D060000}"/>
    <cellStyle name="Ç¥ÁØ_8HR _Dr inr comple 요약_KMC_UB_단면적,코팅길이_110218 2" xfId="1694" xr:uid="{00000000-0005-0000-0000-00002E060000}"/>
    <cellStyle name="C￥AØ_8HR _Dr inr comple 요약_KMC_UB_단면적,코팅길이_110218 3" xfId="1695" xr:uid="{00000000-0005-0000-0000-00002F060000}"/>
    <cellStyle name="Ç¥ÁØ_8HR _Dr inr comple 요약_KMC_UB_단면적,코팅길이_110218 3" xfId="1696" xr:uid="{00000000-0005-0000-0000-000030060000}"/>
    <cellStyle name="C￥AØ_8HR _Dr inr comple 요약_KMC_UB_단면적,코팅길이_110218 4" xfId="1697" xr:uid="{00000000-0005-0000-0000-000031060000}"/>
    <cellStyle name="Ç¥ÁØ_8HR _Dr inr comple 요약_KMC_UB_단면적,코팅길이_110218 4" xfId="1698" xr:uid="{00000000-0005-0000-0000-000032060000}"/>
    <cellStyle name="C￥AØ_8HR _Dr inr comple 요약_KMC_UB_조인트중량,조인트길이_110214" xfId="1699" xr:uid="{00000000-0005-0000-0000-000033060000}"/>
    <cellStyle name="Ç¥ÁØ_8HR _Dr inr comple 요약_KMC_UB_조인트중량,조인트길이_110214" xfId="1700" xr:uid="{00000000-0005-0000-0000-000034060000}"/>
    <cellStyle name="C￥AØ_8HR _Dr inr comple 요약_KMC_UB_조인트중량,조인트길이_110214 2" xfId="1701" xr:uid="{00000000-0005-0000-0000-000035060000}"/>
    <cellStyle name="Ç¥ÁØ_8HR _Dr inr comple 요약_KMC_UB_조인트중량,조인트길이_110214 2" xfId="1702" xr:uid="{00000000-0005-0000-0000-000036060000}"/>
    <cellStyle name="C￥AØ_8HR _Dr inr comple 요약_KMC_UB_조인트중량,조인트길이_110214 3" xfId="1703" xr:uid="{00000000-0005-0000-0000-000037060000}"/>
    <cellStyle name="Ç¥ÁØ_8HR _Dr inr comple 요약_KMC_UB_조인트중량,조인트길이_110214 3" xfId="1704" xr:uid="{00000000-0005-0000-0000-000038060000}"/>
    <cellStyle name="C￥AØ_8HR _Dr inr comple 요약_KMC_UB_조인트중량,조인트길이_110214 4" xfId="1705" xr:uid="{00000000-0005-0000-0000-000039060000}"/>
    <cellStyle name="Ç¥ÁØ_8HR _Dr inr comple 요약_KMC_UB_조인트중량,조인트길이_110214 4" xfId="1706" xr:uid="{00000000-0005-0000-0000-00003A060000}"/>
    <cellStyle name="C￥AØ_8HR _Dr inr comple 요약_RBk(5DR)_GR_비교원가,원재료인상_110607" xfId="1707" xr:uid="{00000000-0005-0000-0000-00003B060000}"/>
    <cellStyle name="Ç¥ÁØ_8HR _Dr inr comple 요약_RBk(5DR)_GR_비교원가,원재료인상_110607" xfId="1708" xr:uid="{00000000-0005-0000-0000-00003C060000}"/>
    <cellStyle name="C￥AØ_8HR _Dr inr comple 요약_RBk(5DR)_GR_비교원가,원재료인상_110607 2" xfId="1709" xr:uid="{00000000-0005-0000-0000-00003D060000}"/>
    <cellStyle name="Ç¥ÁØ_8HR _Dr inr comple 요약_RBk(5DR)_GR_비교원가,원재료인상_110607 2" xfId="1710" xr:uid="{00000000-0005-0000-0000-00003E060000}"/>
    <cellStyle name="C￥AØ_8HR _Dr inr comple 요약_RBk(5DR)_GR_비교원가,원재료인상_110607 3" xfId="1711" xr:uid="{00000000-0005-0000-0000-00003F060000}"/>
    <cellStyle name="Ç¥ÁØ_8HR _Dr inr comple 요약_RBk(5DR)_GR_비교원가,원재료인상_110607 3" xfId="1712" xr:uid="{00000000-0005-0000-0000-000040060000}"/>
    <cellStyle name="C￥AØ_8HR _Dr inr comple 요약_RBk(5DR)_GR_비교원가,원재료인상_110607 4" xfId="1713" xr:uid="{00000000-0005-0000-0000-000041060000}"/>
    <cellStyle name="Ç¥ÁØ_8HR _Dr inr comple 요약_RBk(5DR)_GR_비교원가,원재료인상_110607 4" xfId="1714" xr:uid="{00000000-0005-0000-0000-000042060000}"/>
    <cellStyle name="C￥AØ_8HR _Dr inr comple 요약_VIL_WS_비교원가_110708" xfId="1715" xr:uid="{00000000-0005-0000-0000-000043060000}"/>
    <cellStyle name="Ç¥ÁØ_8HR _Dr inr comple 요약_VIL_WS_비교원가_110708" xfId="1716" xr:uid="{00000000-0005-0000-0000-000044060000}"/>
    <cellStyle name="C￥AØ_8HR _JB 차체부품 원가계산 대책(보고完-04.10.04)" xfId="1717" xr:uid="{00000000-0005-0000-0000-000045060000}"/>
    <cellStyle name="Ç¥ÁØ_8HR _JB 차체부품 원가계산 대책(보고完-04.10.04)" xfId="1718" xr:uid="{00000000-0005-0000-0000-000046060000}"/>
    <cellStyle name="C￥AØ_8HR _TB차체부품외주화원가검토0007" xfId="1719" xr:uid="{00000000-0005-0000-0000-000047060000}"/>
    <cellStyle name="Ç¥ÁØ_8HR _TB차체부품외주화원가검토0007" xfId="1720" xr:uid="{00000000-0005-0000-0000-000048060000}"/>
    <cellStyle name="C￥AØ_96¾Æ½OBD " xfId="1721" xr:uid="{00000000-0005-0000-0000-000049060000}"/>
    <cellStyle name="Ç¥ÁØ_96ÀÎ¿ø°è2 " xfId="1722" xr:uid="{00000000-0005-0000-0000-00004A060000}"/>
    <cellStyle name="C￥AØ_96AI¿ø°O 3 " xfId="1723" xr:uid="{00000000-0005-0000-0000-00004B060000}"/>
    <cellStyle name="Ç¥ÁØ_96ÀÎ¿ø°Ô 3 " xfId="1724" xr:uid="{00000000-0005-0000-0000-00004C060000}"/>
    <cellStyle name="C￥AØ_A÷¿ø½A≫o_A¶A÷μμ(12.31) " xfId="1725" xr:uid="{00000000-0005-0000-0000-00004D060000}"/>
    <cellStyle name="Ç¥ÁØ_Á¶Á÷µµ(12.31) " xfId="1726" xr:uid="{00000000-0005-0000-0000-00004E060000}"/>
    <cellStyle name="C￥AØ_A¶A÷μμ(12.31) " xfId="1727" xr:uid="{00000000-0005-0000-0000-00004F060000}"/>
    <cellStyle name="Ç¥ÁØ_Ã·ºÎ2 " xfId="1728" xr:uid="{00000000-0005-0000-0000-000050060000}"/>
    <cellStyle name="C￥AØ_A1A¤A¡ " xfId="1729" xr:uid="{00000000-0005-0000-0000-000051060000}"/>
    <cellStyle name="Ç¥ÁØ_ÀÎ¿ø¹× Á¶Á÷(96.5.2.) " xfId="1730" xr:uid="{00000000-0005-0000-0000-000052060000}"/>
    <cellStyle name="C￥AØ_AI¿ø¹× A¶A÷(96.5.2.) _±¸¸A½CAu " xfId="1731" xr:uid="{00000000-0005-0000-0000-000053060000}"/>
    <cellStyle name="Ç¥ÁØ_ÀÎ¿ø¹× Á¶Á÷(96.5.2.) _Dr inr comple 요약" xfId="1732" xr:uid="{00000000-0005-0000-0000-000054060000}"/>
    <cellStyle name="C￥AØ_AI¿ø¹× A¶A÷(96.5.2.) _MC2차계산-비교원가 양식" xfId="1733" xr:uid="{00000000-0005-0000-0000-000055060000}"/>
    <cellStyle name="Ç¥ÁØ_ÀÎ¿ø¹× Á¶Á÷(96.5.2.) _TB차체부품외주화원가검토0007" xfId="1734" xr:uid="{00000000-0005-0000-0000-000056060000}"/>
    <cellStyle name="C￥AØ_AI¿øCoE² " xfId="1735" xr:uid="{00000000-0005-0000-0000-000057060000}"/>
    <cellStyle name="Ç¥ÁØ_ÀÏ¹Ý»çÇ×check list " xfId="1736" xr:uid="{00000000-0005-0000-0000-000058060000}"/>
    <cellStyle name="C￥AØ_AO¿aITEMA÷AIºn±³-1_AuEA A÷AIºn±³ " xfId="1737" xr:uid="{00000000-0005-0000-0000-000059060000}"/>
    <cellStyle name="Ç¥ÁØ_ÁÖ¿äITEMÂ÷ÀÌºñ±³-1_ÀüÈÄ Â÷ÀÌºñ±³ " xfId="1738" xr:uid="{00000000-0005-0000-0000-00005A060000}"/>
    <cellStyle name="C￥AØ_AO¿aITEMA÷AIºn±³-2_AuEA A÷AIºn±³ " xfId="1739" xr:uid="{00000000-0005-0000-0000-00005B060000}"/>
    <cellStyle name="Ç¥ÁØ_ÁÖ¿äITEMÂ÷ÀÌºñ±³-2_ÀüÈÄ Â÷ÀÌºñ±³ " xfId="1740" xr:uid="{00000000-0005-0000-0000-00005C060000}"/>
    <cellStyle name="C￥AØ_AO¿aITEMA÷AIºn±³-2_AuEA A÷AIºn±³ _Book2" xfId="1741" xr:uid="{00000000-0005-0000-0000-00005D060000}"/>
    <cellStyle name="Ç¥ÁØ_ÁÖ¿äITEMÂ÷ÀÌºñ±³-2_ÀüÈÄ Â÷ÀÌºñ±³ _Book2" xfId="1742" xr:uid="{00000000-0005-0000-0000-00005E060000}"/>
    <cellStyle name="C￥AØ_AO¿aITEMA÷AIºn±³-2_AuEA A÷AIºn±³ _Dr inr comple 요약" xfId="1743" xr:uid="{00000000-0005-0000-0000-00005F060000}"/>
    <cellStyle name="Ç¥ÁØ_ÁÖ¿äITEMÂ÷ÀÌºñ±³-2_ÀüÈÄ Â÷ÀÌºñ±³ _Dr inr comple 요약" xfId="1744" xr:uid="{00000000-0005-0000-0000-000060060000}"/>
    <cellStyle name="C￥AØ_AO¿aITEMA÷AIºn±³-2_AuEA A÷AIºn±³ _Dr inr comple 요약 2" xfId="1745" xr:uid="{00000000-0005-0000-0000-000061060000}"/>
    <cellStyle name="Ç¥ÁØ_ÁÖ¿äITEMÂ÷ÀÌºñ±³-2_ÀüÈÄ Â÷ÀÌºñ±³ _Dr inr comple 요약 2" xfId="1746" xr:uid="{00000000-0005-0000-0000-000062060000}"/>
    <cellStyle name="C￥AØ_AO¿aITEMA÷AIºn±³-2_AuEA A÷AIºn±³ _Dr inr comple 요약 3" xfId="1747" xr:uid="{00000000-0005-0000-0000-000063060000}"/>
    <cellStyle name="Ç¥ÁØ_ÁÖ¿äITEMÂ÷ÀÌºñ±³-2_ÀüÈÄ Â÷ÀÌºñ±³ _Dr inr comple 요약 3" xfId="1748" xr:uid="{00000000-0005-0000-0000-000064060000}"/>
    <cellStyle name="C￥AØ_AO¿aITEMA÷AIºn±³-2_AuEA A÷AIºn±³ _Dr inr comple 요약 4" xfId="1749" xr:uid="{00000000-0005-0000-0000-000065060000}"/>
    <cellStyle name="Ç¥ÁØ_ÁÖ¿äITEMÂ÷ÀÌºñ±³-2_ÀüÈÄ Â÷ÀÌºñ±³ _Dr inr comple 요약 4" xfId="1750" xr:uid="{00000000-0005-0000-0000-000066060000}"/>
    <cellStyle name="C￥AØ_AO¿aITEMA÷AIºn±³-2_AuEA A÷AIºn±³ _Dr inr comple 요약_■EN_BS_비교원가,원재료인상_110621" xfId="1751" xr:uid="{00000000-0005-0000-0000-000067060000}"/>
    <cellStyle name="Ç¥ÁØ_ÁÖ¿äITEMÂ÷ÀÌºñ±³-2_ÀüÈÄ Â÷ÀÌºñ±³ _Dr inr comple 요약_■EN_BS_비교원가,원재료인상_110621" xfId="1752" xr:uid="{00000000-0005-0000-0000-000068060000}"/>
    <cellStyle name="C￥AØ_AO¿aITEMA÷AIºn±³-2_AuEA A÷AIºn±³ _Dr inr comple 요약_■EN_BS_비교원가,원재료인상_110621 2" xfId="1753" xr:uid="{00000000-0005-0000-0000-000069060000}"/>
    <cellStyle name="Ç¥ÁØ_ÁÖ¿äITEMÂ÷ÀÌºñ±³-2_ÀüÈÄ Â÷ÀÌºñ±³ _Dr inr comple 요약_■EN_BS_비교원가,원재료인상_110621 2" xfId="1754" xr:uid="{00000000-0005-0000-0000-00006A060000}"/>
    <cellStyle name="C￥AØ_AO¿aITEMA÷AIºn±³-2_AuEA A÷AIºn±³ _Dr inr comple 요약_■EN_BS_비교원가,원재료인상_110621 3" xfId="1755" xr:uid="{00000000-0005-0000-0000-00006B060000}"/>
    <cellStyle name="Ç¥ÁØ_ÁÖ¿äITEMÂ÷ÀÌºñ±³-2_ÀüÈÄ Â÷ÀÌºñ±³ _Dr inr comple 요약_■EN_BS_비교원가,원재료인상_110621 3" xfId="1756" xr:uid="{00000000-0005-0000-0000-00006C060000}"/>
    <cellStyle name="C￥AØ_AO¿aITEMA÷AIºn±³-2_AuEA A÷AIºn±³ _Dr inr comple 요약_■EN_BS_비교원가,원재료인상_110621 4" xfId="1757" xr:uid="{00000000-0005-0000-0000-00006D060000}"/>
    <cellStyle name="Ç¥ÁØ_ÁÖ¿äITEMÂ÷ÀÌºñ±³-2_ÀüÈÄ Â÷ÀÌºñ±³ _Dr inr comple 요약_■EN_BS_비교원가,원재료인상_110621 4" xfId="1758" xr:uid="{00000000-0005-0000-0000-00006E060000}"/>
    <cellStyle name="C￥AØ_AO¿aITEMA÷AIºn±³-2_AuEA A÷AIºn±³ _Dr inr comple 요약_110810_UB_도아_바디웨자_초도가_(화승R&amp;A)" xfId="1759" xr:uid="{00000000-0005-0000-0000-00006F060000}"/>
    <cellStyle name="Ç¥ÁØ_ÁÖ¿äITEMÂ÷ÀÌºñ±³-2_ÀüÈÄ Â÷ÀÌºñ±³ _Dr inr comple 요약_110810_UB_도아_바디웨자_초도가_(화승R&amp;A)" xfId="1760" xr:uid="{00000000-0005-0000-0000-000070060000}"/>
    <cellStyle name="C￥AØ_AO¿aITEMA÷AIºn±³-2_AuEA A÷AIºn±³ _Dr inr comple 요약_110810_철판 SCRAP조정_자동_화승R&amp;A" xfId="1761" xr:uid="{00000000-0005-0000-0000-000071060000}"/>
    <cellStyle name="Ç¥ÁØ_ÁÖ¿äITEMÂ÷ÀÌºñ±³-2_ÀüÈÄ Â÷ÀÌºñ±³ _Dr inr comple 요약_110810_철판 SCRAP조정_자동_화승R&amp;A" xfId="1762" xr:uid="{00000000-0005-0000-0000-000072060000}"/>
    <cellStyle name="C￥AØ_AO¿aITEMA÷AIºn±³-2_AuEA A÷AIºn±³ _Dr inr comple 요약_110810_철판 SCRAP조정_자동_화승R&amp;A 2" xfId="1763" xr:uid="{00000000-0005-0000-0000-000073060000}"/>
    <cellStyle name="Ç¥ÁØ_ÁÖ¿äITEMÂ÷ÀÌºñ±³-2_ÀüÈÄ Â÷ÀÌºñ±³ _Dr inr comple 요약_110810_철판 SCRAP조정_자동_화승R&amp;A 2" xfId="1764" xr:uid="{00000000-0005-0000-0000-000074060000}"/>
    <cellStyle name="C￥AØ_AO¿aITEMA÷AIºn±³-2_AuEA A÷AIºn±³ _Dr inr comple 요약_110810_철판 SCRAP조정_자동_화승R&amp;A 3" xfId="1765" xr:uid="{00000000-0005-0000-0000-000075060000}"/>
    <cellStyle name="Ç¥ÁØ_ÁÖ¿äITEMÂ÷ÀÌºñ±³-2_ÀüÈÄ Â÷ÀÌºñ±³ _Dr inr comple 요약_110810_철판 SCRAP조정_자동_화승R&amp;A 3" xfId="1766" xr:uid="{00000000-0005-0000-0000-000076060000}"/>
    <cellStyle name="C￥AØ_AO¿aITEMA÷AIºn±³-2_AuEA A÷AIºn±³ _Dr inr comple 요약_110810_철판 SCRAP조정_자동_화승R&amp;A 4" xfId="1767" xr:uid="{00000000-0005-0000-0000-000077060000}"/>
    <cellStyle name="Ç¥ÁØ_ÁÖ¿äITEMÂ÷ÀÌºñ±³-2_ÀüÈÄ Â÷ÀÌºñ±³ _Dr inr comple 요약_110810_철판 SCRAP조정_자동_화승R&amp;A 4" xfId="1768" xr:uid="{00000000-0005-0000-0000-000078060000}"/>
    <cellStyle name="C￥AØ_AO¿aITEMA÷AIºn±³-2_AuEA A÷AIºn±³ _Dr inr comple 요약_AM_WS_운반비_110708" xfId="1769" xr:uid="{00000000-0005-0000-0000-000079060000}"/>
    <cellStyle name="Ç¥ÁØ_ÁÖ¿äITEMÂ÷ÀÌºñ±³-2_ÀüÈÄ Â÷ÀÌºñ±³ _Dr inr comple 요약_AM_WS_운반비_110708" xfId="1770" xr:uid="{00000000-0005-0000-0000-00007A060000}"/>
    <cellStyle name="C￥AØ_AO¿aITEMA÷AIºn±³-2_AuEA A÷AIºn±³ _Dr inr comple 요약_AM_WS_운반비_110708 2" xfId="1771" xr:uid="{00000000-0005-0000-0000-00007B060000}"/>
    <cellStyle name="Ç¥ÁØ_ÁÖ¿äITEMÂ÷ÀÌºñ±³-2_ÀüÈÄ Â÷ÀÌºñ±³ _Dr inr comple 요약_AM_WS_운반비_110708 2" xfId="1772" xr:uid="{00000000-0005-0000-0000-00007C060000}"/>
    <cellStyle name="C￥AØ_AO¿aITEMA÷AIºn±³-2_AuEA A÷AIºn±³ _Dr inr comple 요약_AM_WS_운반비_110708 3" xfId="1773" xr:uid="{00000000-0005-0000-0000-00007D060000}"/>
    <cellStyle name="Ç¥ÁØ_ÁÖ¿äITEMÂ÷ÀÌºñ±³-2_ÀüÈÄ Â÷ÀÌºñ±³ _Dr inr comple 요약_AM_WS_운반비_110708 3" xfId="1774" xr:uid="{00000000-0005-0000-0000-00007E060000}"/>
    <cellStyle name="C￥AØ_AO¿aITEMA÷AIºn±³-2_AuEA A÷AIºn±³ _Dr inr comple 요약_AM_WS_운반비_110708 4" xfId="1775" xr:uid="{00000000-0005-0000-0000-00007F060000}"/>
    <cellStyle name="Ç¥ÁØ_ÁÖ¿äITEMÂ÷ÀÌºñ±³-2_ÀüÈÄ Â÷ÀÌºñ±³ _Dr inr comple 요약_AM_WS_운반비_110708 4" xfId="1776" xr:uid="{00000000-0005-0000-0000-000080060000}"/>
    <cellStyle name="C￥AØ_AO¿aITEMA÷AIºn±³-2_AuEA A÷AIºn±³ _Dr inr comple 요약_Book2" xfId="1777" xr:uid="{00000000-0005-0000-0000-000081060000}"/>
    <cellStyle name="Ç¥ÁØ_ÁÖ¿äITEMÂ÷ÀÌºñ±³-2_ÀüÈÄ Â÷ÀÌºñ±³ _Dr inr comple 요약_Book2" xfId="1778" xr:uid="{00000000-0005-0000-0000-000082060000}"/>
    <cellStyle name="C￥AØ_AO¿aITEMA÷AIºn±³-2_AuEA A÷AIºn±³ _Dr inr comple 요약_KMC_UB_단면적,코팅길이_110218" xfId="1779" xr:uid="{00000000-0005-0000-0000-000083060000}"/>
    <cellStyle name="Ç¥ÁØ_ÁÖ¿äITEMÂ÷ÀÌºñ±³-2_ÀüÈÄ Â÷ÀÌºñ±³ _Dr inr comple 요약_KMC_UB_단면적,코팅길이_110218" xfId="1780" xr:uid="{00000000-0005-0000-0000-000084060000}"/>
    <cellStyle name="C￥AØ_AO¿aITEMA÷AIºn±³-2_AuEA A÷AIºn±³ _Dr inr comple 요약_KMC_UB_단면적,코팅길이_110218 2" xfId="1781" xr:uid="{00000000-0005-0000-0000-000085060000}"/>
    <cellStyle name="Ç¥ÁØ_ÁÖ¿äITEMÂ÷ÀÌºñ±³-2_ÀüÈÄ Â÷ÀÌºñ±³ _Dr inr comple 요약_KMC_UB_단면적,코팅길이_110218 2" xfId="1782" xr:uid="{00000000-0005-0000-0000-000086060000}"/>
    <cellStyle name="C￥AØ_AO¿aITEMA÷AIºn±³-2_AuEA A÷AIºn±³ _Dr inr comple 요약_KMC_UB_단면적,코팅길이_110218 3" xfId="1783" xr:uid="{00000000-0005-0000-0000-000087060000}"/>
    <cellStyle name="Ç¥ÁØ_ÁÖ¿äITEMÂ÷ÀÌºñ±³-2_ÀüÈÄ Â÷ÀÌºñ±³ _Dr inr comple 요약_KMC_UB_단면적,코팅길이_110218 3" xfId="1784" xr:uid="{00000000-0005-0000-0000-000088060000}"/>
    <cellStyle name="C￥AØ_AO¿aITEMA÷AIºn±³-2_AuEA A÷AIºn±³ _Dr inr comple 요약_KMC_UB_단면적,코팅길이_110218 4" xfId="1785" xr:uid="{00000000-0005-0000-0000-000089060000}"/>
    <cellStyle name="Ç¥ÁØ_ÁÖ¿äITEMÂ÷ÀÌºñ±³-2_ÀüÈÄ Â÷ÀÌºñ±³ _Dr inr comple 요약_KMC_UB_단면적,코팅길이_110218 4" xfId="1786" xr:uid="{00000000-0005-0000-0000-00008A060000}"/>
    <cellStyle name="C￥AØ_AO¿aITEMA÷AIºn±³-2_AuEA A÷AIºn±³ _Dr inr comple 요약_KMC_UB_조인트중량,조인트길이_110214" xfId="1787" xr:uid="{00000000-0005-0000-0000-00008B060000}"/>
    <cellStyle name="Ç¥ÁØ_ÁÖ¿äITEMÂ÷ÀÌºñ±³-2_ÀüÈÄ Â÷ÀÌºñ±³ _Dr inr comple 요약_KMC_UB_조인트중량,조인트길이_110214" xfId="1788" xr:uid="{00000000-0005-0000-0000-00008C060000}"/>
    <cellStyle name="C￥AØ_AO¿aITEMA÷AIºn±³-2_AuEA A÷AIºn±³ _Dr inr comple 요약_KMC_UB_조인트중량,조인트길이_110214 2" xfId="1789" xr:uid="{00000000-0005-0000-0000-00008D060000}"/>
    <cellStyle name="Ç¥ÁØ_ÁÖ¿äITEMÂ÷ÀÌºñ±³-2_ÀüÈÄ Â÷ÀÌºñ±³ _Dr inr comple 요약_KMC_UB_조인트중량,조인트길이_110214 2" xfId="1790" xr:uid="{00000000-0005-0000-0000-00008E060000}"/>
    <cellStyle name="C￥AØ_AO¿aITEMA÷AIºn±³-2_AuEA A÷AIºn±³ _Dr inr comple 요약_KMC_UB_조인트중량,조인트길이_110214 3" xfId="1791" xr:uid="{00000000-0005-0000-0000-00008F060000}"/>
    <cellStyle name="Ç¥ÁØ_ÁÖ¿äITEMÂ÷ÀÌºñ±³-2_ÀüÈÄ Â÷ÀÌºñ±³ _Dr inr comple 요약_KMC_UB_조인트중량,조인트길이_110214 3" xfId="1792" xr:uid="{00000000-0005-0000-0000-000090060000}"/>
    <cellStyle name="C￥AØ_AO¿aITEMA÷AIºn±³-2_AuEA A÷AIºn±³ _Dr inr comple 요약_KMC_UB_조인트중량,조인트길이_110214 4" xfId="1793" xr:uid="{00000000-0005-0000-0000-000091060000}"/>
    <cellStyle name="Ç¥ÁØ_ÁÖ¿äITEMÂ÷ÀÌºñ±³-2_ÀüÈÄ Â÷ÀÌºñ±³ _Dr inr comple 요약_KMC_UB_조인트중량,조인트길이_110214 4" xfId="1794" xr:uid="{00000000-0005-0000-0000-000092060000}"/>
    <cellStyle name="C￥AØ_AO¿aITEMA÷AIºn±³-2_AuEA A÷AIºn±³ _Dr inr comple 요약_RBk(5DR)_GR_비교원가,원재료인상_110607" xfId="1795" xr:uid="{00000000-0005-0000-0000-000093060000}"/>
    <cellStyle name="Ç¥ÁØ_ÁÖ¿äITEMÂ÷ÀÌºñ±³-2_ÀüÈÄ Â÷ÀÌºñ±³ _Dr inr comple 요약_RBk(5DR)_GR_비교원가,원재료인상_110607" xfId="1796" xr:uid="{00000000-0005-0000-0000-000094060000}"/>
    <cellStyle name="C￥AØ_AO¿aITEMA÷AIºn±³-2_AuEA A÷AIºn±³ _Dr inr comple 요약_RBk(5DR)_GR_비교원가,원재료인상_110607 2" xfId="1797" xr:uid="{00000000-0005-0000-0000-000095060000}"/>
    <cellStyle name="Ç¥ÁØ_ÁÖ¿äITEMÂ÷ÀÌºñ±³-2_ÀüÈÄ Â÷ÀÌºñ±³ _Dr inr comple 요약_RBk(5DR)_GR_비교원가,원재료인상_110607 2" xfId="1798" xr:uid="{00000000-0005-0000-0000-000096060000}"/>
    <cellStyle name="C￥AØ_AO¿aITEMA÷AIºn±³-2_AuEA A÷AIºn±³ _Dr inr comple 요약_RBk(5DR)_GR_비교원가,원재료인상_110607 3" xfId="1799" xr:uid="{00000000-0005-0000-0000-000097060000}"/>
    <cellStyle name="Ç¥ÁØ_ÁÖ¿äITEMÂ÷ÀÌºñ±³-2_ÀüÈÄ Â÷ÀÌºñ±³ _Dr inr comple 요약_RBk(5DR)_GR_비교원가,원재료인상_110607 3" xfId="1800" xr:uid="{00000000-0005-0000-0000-000098060000}"/>
    <cellStyle name="C￥AØ_AO¿aITEMA÷AIºn±³-2_AuEA A÷AIºn±³ _Dr inr comple 요약_RBk(5DR)_GR_비교원가,원재료인상_110607 4" xfId="1801" xr:uid="{00000000-0005-0000-0000-000099060000}"/>
    <cellStyle name="Ç¥ÁØ_ÁÖ¿äITEMÂ÷ÀÌºñ±³-2_ÀüÈÄ Â÷ÀÌºñ±³ _Dr inr comple 요약_RBk(5DR)_GR_비교원가,원재료인상_110607 4" xfId="1802" xr:uid="{00000000-0005-0000-0000-00009A060000}"/>
    <cellStyle name="C￥AØ_AO¿aITEMA÷AIºn±³-2_AuEA A÷AIºn±³ _Dr inr comple 요약_VIL_WS_비교원가_110708" xfId="1803" xr:uid="{00000000-0005-0000-0000-00009B060000}"/>
    <cellStyle name="Ç¥ÁØ_ÁÖ¿äITEMÂ÷ÀÌºñ±³-2_ÀüÈÄ Â÷ÀÌºñ±³ _Dr inr comple 요약_VIL_WS_비교원가_110708" xfId="1804" xr:uid="{00000000-0005-0000-0000-00009C060000}"/>
    <cellStyle name="C￥AØ_AO¿aITEMA÷AIºn±³-2_AuEA A÷AIºn±³ _JB 차체부품 원가계산 대책(보고完-04.10.04)" xfId="1805" xr:uid="{00000000-0005-0000-0000-00009D060000}"/>
    <cellStyle name="Ç¥ÁØ_ÁÖ¿äITEMÂ÷ÀÌºñ±³-2_ÀüÈÄ Â÷ÀÌºñ±³ _JB 차체부품 원가계산 대책(보고完-04.10.04)" xfId="1806" xr:uid="{00000000-0005-0000-0000-00009E060000}"/>
    <cellStyle name="C￥AØ_AO¿aITEMA÷AIºn±³-2_AuEA A÷AIºn±³ _TB차체부품외주화원가검토0007" xfId="1807" xr:uid="{00000000-0005-0000-0000-00009F060000}"/>
    <cellStyle name="Ç¥ÁØ_ÁÖ¿äITEMÂ÷ÀÌºñ±³-2_ÀüÈÄ Â÷ÀÌºñ±³ _TB차체부품외주화원가검토0007" xfId="1808" xr:uid="{00000000-0005-0000-0000-0000A0060000}"/>
    <cellStyle name="C￥AØ_AO¿aITEMA÷AIºn±³-2_AuEA A÷AIºn±³ _카니발부품국산화개발방안-회장님(030616" xfId="1809" xr:uid="{00000000-0005-0000-0000-0000A1060000}"/>
    <cellStyle name="Ç¥ÁØ_ÁÖ¿äITEMÂ÷ÀÌºñ±³-2_ÀüÈÄ Â÷ÀÌºñ±³ _카니발부품국산화개발방안-회장님(030616" xfId="1810" xr:uid="{00000000-0005-0000-0000-0000A2060000}"/>
    <cellStyle name="C￥AØ_AO¿aITEMA÷AIºn±³-2_AuEA A÷AIºn±³ _카니발부품국산화개발방안-회장님(030616 2" xfId="1811" xr:uid="{00000000-0005-0000-0000-0000A3060000}"/>
    <cellStyle name="Ç¥ÁØ_ÁÖ¿äITEMÂ÷ÀÌºñ±³-2_ÀüÈÄ Â÷ÀÌºñ±³ _카니발부품국산화개발방안-회장님(030616 2" xfId="1812" xr:uid="{00000000-0005-0000-0000-0000A4060000}"/>
    <cellStyle name="C￥AØ_AO¿aITEMA÷AIºn±³-2_AuEA A÷AIºn±³ _카니발부품국산화개발방안-회장님(030616 3" xfId="1813" xr:uid="{00000000-0005-0000-0000-0000A5060000}"/>
    <cellStyle name="Ç¥ÁØ_ÁÖ¿äITEMÂ÷ÀÌºñ±³-2_ÀüÈÄ Â÷ÀÌºñ±³ _카니발부품국산화개발방안-회장님(030616 3" xfId="1814" xr:uid="{00000000-0005-0000-0000-0000A6060000}"/>
    <cellStyle name="C￥AØ_AO¿aITEMA÷AIºn±³-2_AuEA A÷AIºn±³ _카니발부품국산화개발방안-회장님(030616 4" xfId="1815" xr:uid="{00000000-0005-0000-0000-0000A7060000}"/>
    <cellStyle name="Ç¥ÁØ_ÁÖ¿äITEMÂ÷ÀÌºñ±³-2_ÀüÈÄ Â÷ÀÌºñ±³ _카니발부품국산화개발방안-회장님(030616 4" xfId="1816" xr:uid="{00000000-0005-0000-0000-0000A8060000}"/>
    <cellStyle name="C￥AØ_Ao¿øCoE² " xfId="1817" xr:uid="{00000000-0005-0000-0000-0000A9060000}"/>
    <cellStyle name="Ç¥ÁØ_ÃÖÁ¾ÀÏÁ¤ " xfId="1818" xr:uid="{00000000-0005-0000-0000-0000AA060000}"/>
    <cellStyle name="C￥AØ_AoAUºn(ºI¼­º°,°eA¤º°) " xfId="1819" xr:uid="{00000000-0005-0000-0000-0000AB060000}"/>
    <cellStyle name="Ç¥ÁØ_ÅõÀÚºñ(ºÎ¼­º°,°èÁ¤º°) " xfId="1820" xr:uid="{00000000-0005-0000-0000-0000AC060000}"/>
    <cellStyle name="C￥AØ_Aß±a≫y≫e°eE¹ " xfId="1821" xr:uid="{00000000-0005-0000-0000-0000AD060000}"/>
    <cellStyle name="Ç¥ÁØ_ÀüÈÄ Â÷ÀÌºñ±³ " xfId="1822" xr:uid="{00000000-0005-0000-0000-0000AE060000}"/>
    <cellStyle name="C￥AØ_AuEAITEMA÷AIºn±³-1 " xfId="1823" xr:uid="{00000000-0005-0000-0000-0000AF060000}"/>
    <cellStyle name="Ç¥ÁØ_ÀüÈÄITEMÂ÷ÀÌºñ±³-1 " xfId="1824" xr:uid="{00000000-0005-0000-0000-0000B0060000}"/>
    <cellStyle name="C￥AØ_AuEAITEMA÷AIºn±³-1 _Book2" xfId="1825" xr:uid="{00000000-0005-0000-0000-0000B1060000}"/>
    <cellStyle name="Ç¥ÁØ_ÀüÈÄITEMÂ÷ÀÌºñ±³-1 _Book2" xfId="1826" xr:uid="{00000000-0005-0000-0000-0000B2060000}"/>
    <cellStyle name="C￥AØ_AuEAITEMA÷AIºn±³-1 _Dr inr comple 요약" xfId="1827" xr:uid="{00000000-0005-0000-0000-0000B3060000}"/>
    <cellStyle name="Ç¥ÁØ_ÀüÈÄITEMÂ÷ÀÌºñ±³-1 _Dr inr comple 요약" xfId="1828" xr:uid="{00000000-0005-0000-0000-0000B4060000}"/>
    <cellStyle name="C￥AØ_AuEAITEMA÷AIºn±³-1 _Dr inr comple 요약 2" xfId="1829" xr:uid="{00000000-0005-0000-0000-0000B5060000}"/>
    <cellStyle name="Ç¥ÁØ_ÀüÈÄITEMÂ÷ÀÌºñ±³-1 _Dr inr comple 요약 2" xfId="1830" xr:uid="{00000000-0005-0000-0000-0000B6060000}"/>
    <cellStyle name="C￥AØ_AuEAITEMA÷AIºn±³-1 _Dr inr comple 요약 3" xfId="1831" xr:uid="{00000000-0005-0000-0000-0000B7060000}"/>
    <cellStyle name="Ç¥ÁØ_ÀüÈÄITEMÂ÷ÀÌºñ±³-1 _Dr inr comple 요약 3" xfId="1832" xr:uid="{00000000-0005-0000-0000-0000B8060000}"/>
    <cellStyle name="C￥AØ_AuEAITEMA÷AIºn±³-1 _Dr inr comple 요약 4" xfId="1833" xr:uid="{00000000-0005-0000-0000-0000B9060000}"/>
    <cellStyle name="Ç¥ÁØ_ÀüÈÄITEMÂ÷ÀÌºñ±³-1 _Dr inr comple 요약 4" xfId="1834" xr:uid="{00000000-0005-0000-0000-0000BA060000}"/>
    <cellStyle name="C￥AØ_AuEAITEMA÷AIºn±³-1 _Dr inr comple 요약_■EN_BS_비교원가,원재료인상_110621" xfId="1835" xr:uid="{00000000-0005-0000-0000-0000BB060000}"/>
    <cellStyle name="Ç¥ÁØ_ÀüÈÄITEMÂ÷ÀÌºñ±³-1 _Dr inr comple 요약_■EN_BS_비교원가,원재료인상_110621" xfId="1836" xr:uid="{00000000-0005-0000-0000-0000BC060000}"/>
    <cellStyle name="C￥AØ_AuEAITEMA÷AIºn±³-1 _Dr inr comple 요약_■EN_BS_비교원가,원재료인상_110621 2" xfId="1837" xr:uid="{00000000-0005-0000-0000-0000BD060000}"/>
    <cellStyle name="Ç¥ÁØ_ÀüÈÄITEMÂ÷ÀÌºñ±³-1 _Dr inr comple 요약_■EN_BS_비교원가,원재료인상_110621 2" xfId="1838" xr:uid="{00000000-0005-0000-0000-0000BE060000}"/>
    <cellStyle name="C￥AØ_AuEAITEMA÷AIºn±³-1 _Dr inr comple 요약_■EN_BS_비교원가,원재료인상_110621 3" xfId="1839" xr:uid="{00000000-0005-0000-0000-0000BF060000}"/>
    <cellStyle name="Ç¥ÁØ_ÀüÈÄITEMÂ÷ÀÌºñ±³-1 _Dr inr comple 요약_■EN_BS_비교원가,원재료인상_110621 3" xfId="1840" xr:uid="{00000000-0005-0000-0000-0000C0060000}"/>
    <cellStyle name="C￥AØ_AuEAITEMA÷AIºn±³-1 _Dr inr comple 요약_■EN_BS_비교원가,원재료인상_110621 4" xfId="1841" xr:uid="{00000000-0005-0000-0000-0000C1060000}"/>
    <cellStyle name="Ç¥ÁØ_ÀüÈÄITEMÂ÷ÀÌºñ±³-1 _Dr inr comple 요약_■EN_BS_비교원가,원재료인상_110621 4" xfId="1842" xr:uid="{00000000-0005-0000-0000-0000C2060000}"/>
    <cellStyle name="C￥AØ_AuEAITEMA÷AIºn±³-1 _Dr inr comple 요약_110810_UB_도아_바디웨자_초도가_(화승R&amp;A)" xfId="1843" xr:uid="{00000000-0005-0000-0000-0000C3060000}"/>
    <cellStyle name="Ç¥ÁØ_ÀüÈÄITEMÂ÷ÀÌºñ±³-1 _Dr inr comple 요약_110810_UB_도아_바디웨자_초도가_(화승R&amp;A)" xfId="1844" xr:uid="{00000000-0005-0000-0000-0000C4060000}"/>
    <cellStyle name="C￥AØ_AuEAITEMA÷AIºn±³-1 _Dr inr comple 요약_110810_철판 SCRAP조정_자동_화승R&amp;A" xfId="1845" xr:uid="{00000000-0005-0000-0000-0000C5060000}"/>
    <cellStyle name="Ç¥ÁØ_ÀüÈÄITEMÂ÷ÀÌºñ±³-1 _Dr inr comple 요약_110810_철판 SCRAP조정_자동_화승R&amp;A" xfId="1846" xr:uid="{00000000-0005-0000-0000-0000C6060000}"/>
    <cellStyle name="C￥AØ_AuEAITEMA÷AIºn±³-1 _Dr inr comple 요약_110810_철판 SCRAP조정_자동_화승R&amp;A 2" xfId="1847" xr:uid="{00000000-0005-0000-0000-0000C7060000}"/>
    <cellStyle name="Ç¥ÁØ_ÀüÈÄITEMÂ÷ÀÌºñ±³-1 _Dr inr comple 요약_110810_철판 SCRAP조정_자동_화승R&amp;A 2" xfId="1848" xr:uid="{00000000-0005-0000-0000-0000C8060000}"/>
    <cellStyle name="C￥AØ_AuEAITEMA÷AIºn±³-1 _Dr inr comple 요약_110810_철판 SCRAP조정_자동_화승R&amp;A 3" xfId="1849" xr:uid="{00000000-0005-0000-0000-0000C9060000}"/>
    <cellStyle name="Ç¥ÁØ_ÀüÈÄITEMÂ÷ÀÌºñ±³-1 _Dr inr comple 요약_110810_철판 SCRAP조정_자동_화승R&amp;A 3" xfId="1850" xr:uid="{00000000-0005-0000-0000-0000CA060000}"/>
    <cellStyle name="C￥AØ_AuEAITEMA÷AIºn±³-1 _Dr inr comple 요약_110810_철판 SCRAP조정_자동_화승R&amp;A 4" xfId="1851" xr:uid="{00000000-0005-0000-0000-0000CB060000}"/>
    <cellStyle name="Ç¥ÁØ_ÀüÈÄITEMÂ÷ÀÌºñ±³-1 _Dr inr comple 요약_110810_철판 SCRAP조정_자동_화승R&amp;A 4" xfId="1852" xr:uid="{00000000-0005-0000-0000-0000CC060000}"/>
    <cellStyle name="C￥AØ_AuEAITEMA÷AIºn±³-1 _Dr inr comple 요약_AM_WS_운반비_110708" xfId="1853" xr:uid="{00000000-0005-0000-0000-0000CD060000}"/>
    <cellStyle name="Ç¥ÁØ_ÀüÈÄITEMÂ÷ÀÌºñ±³-1 _Dr inr comple 요약_AM_WS_운반비_110708" xfId="1854" xr:uid="{00000000-0005-0000-0000-0000CE060000}"/>
    <cellStyle name="C￥AØ_AuEAITEMA÷AIºn±³-1 _Dr inr comple 요약_AM_WS_운반비_110708 2" xfId="1855" xr:uid="{00000000-0005-0000-0000-0000CF060000}"/>
    <cellStyle name="Ç¥ÁØ_ÀüÈÄITEMÂ÷ÀÌºñ±³-1 _Dr inr comple 요약_AM_WS_운반비_110708 2" xfId="1856" xr:uid="{00000000-0005-0000-0000-0000D0060000}"/>
    <cellStyle name="C￥AØ_AuEAITEMA÷AIºn±³-1 _Dr inr comple 요약_AM_WS_운반비_110708 3" xfId="1857" xr:uid="{00000000-0005-0000-0000-0000D1060000}"/>
    <cellStyle name="Ç¥ÁØ_ÀüÈÄITEMÂ÷ÀÌºñ±³-1 _Dr inr comple 요약_AM_WS_운반비_110708 3" xfId="1858" xr:uid="{00000000-0005-0000-0000-0000D2060000}"/>
    <cellStyle name="C￥AØ_AuEAITEMA÷AIºn±³-1 _Dr inr comple 요약_AM_WS_운반비_110708 4" xfId="1859" xr:uid="{00000000-0005-0000-0000-0000D3060000}"/>
    <cellStyle name="Ç¥ÁØ_ÀüÈÄITEMÂ÷ÀÌºñ±³-1 _Dr inr comple 요약_AM_WS_운반비_110708 4" xfId="1860" xr:uid="{00000000-0005-0000-0000-0000D4060000}"/>
    <cellStyle name="C￥AØ_AuEAITEMA÷AIºn±³-1 _Dr inr comple 요약_Book2" xfId="1861" xr:uid="{00000000-0005-0000-0000-0000D5060000}"/>
    <cellStyle name="Ç¥ÁØ_ÀüÈÄITEMÂ÷ÀÌºñ±³-1 _Dr inr comple 요약_Book2" xfId="1862" xr:uid="{00000000-0005-0000-0000-0000D6060000}"/>
    <cellStyle name="C￥AØ_AuEAITEMA÷AIºn±³-1 _Dr inr comple 요약_KMC_UB_단면적,코팅길이_110218" xfId="1863" xr:uid="{00000000-0005-0000-0000-0000D7060000}"/>
    <cellStyle name="Ç¥ÁØ_ÀüÈÄITEMÂ÷ÀÌºñ±³-1 _Dr inr comple 요약_KMC_UB_단면적,코팅길이_110218" xfId="1864" xr:uid="{00000000-0005-0000-0000-0000D8060000}"/>
    <cellStyle name="C￥AØ_AuEAITEMA÷AIºn±³-1 _Dr inr comple 요약_KMC_UB_단면적,코팅길이_110218 2" xfId="1865" xr:uid="{00000000-0005-0000-0000-0000D9060000}"/>
    <cellStyle name="Ç¥ÁØ_ÀüÈÄITEMÂ÷ÀÌºñ±³-1 _Dr inr comple 요약_KMC_UB_단면적,코팅길이_110218 2" xfId="1866" xr:uid="{00000000-0005-0000-0000-0000DA060000}"/>
    <cellStyle name="C￥AØ_AuEAITEMA÷AIºn±³-1 _Dr inr comple 요약_KMC_UB_단면적,코팅길이_110218 3" xfId="1867" xr:uid="{00000000-0005-0000-0000-0000DB060000}"/>
    <cellStyle name="Ç¥ÁØ_ÀüÈÄITEMÂ÷ÀÌºñ±³-1 _Dr inr comple 요약_KMC_UB_단면적,코팅길이_110218 3" xfId="1868" xr:uid="{00000000-0005-0000-0000-0000DC060000}"/>
    <cellStyle name="C￥AØ_AuEAITEMA÷AIºn±³-1 _Dr inr comple 요약_KMC_UB_단면적,코팅길이_110218 4" xfId="1869" xr:uid="{00000000-0005-0000-0000-0000DD060000}"/>
    <cellStyle name="Ç¥ÁØ_ÀüÈÄITEMÂ÷ÀÌºñ±³-1 _Dr inr comple 요약_KMC_UB_단면적,코팅길이_110218 4" xfId="1870" xr:uid="{00000000-0005-0000-0000-0000DE060000}"/>
    <cellStyle name="C￥AØ_AuEAITEMA÷AIºn±³-1 _Dr inr comple 요약_KMC_UB_조인트중량,조인트길이_110214" xfId="1871" xr:uid="{00000000-0005-0000-0000-0000DF060000}"/>
    <cellStyle name="Ç¥ÁØ_ÀüÈÄITEMÂ÷ÀÌºñ±³-1 _Dr inr comple 요약_KMC_UB_조인트중량,조인트길이_110214" xfId="1872" xr:uid="{00000000-0005-0000-0000-0000E0060000}"/>
    <cellStyle name="C￥AØ_AuEAITEMA÷AIºn±³-1 _Dr inr comple 요약_KMC_UB_조인트중량,조인트길이_110214 2" xfId="1873" xr:uid="{00000000-0005-0000-0000-0000E1060000}"/>
    <cellStyle name="Ç¥ÁØ_ÀüÈÄITEMÂ÷ÀÌºñ±³-1 _Dr inr comple 요약_KMC_UB_조인트중량,조인트길이_110214 2" xfId="1874" xr:uid="{00000000-0005-0000-0000-0000E2060000}"/>
    <cellStyle name="C￥AØ_AuEAITEMA÷AIºn±³-1 _Dr inr comple 요약_KMC_UB_조인트중량,조인트길이_110214 3" xfId="1875" xr:uid="{00000000-0005-0000-0000-0000E3060000}"/>
    <cellStyle name="Ç¥ÁØ_ÀüÈÄITEMÂ÷ÀÌºñ±³-1 _Dr inr comple 요약_KMC_UB_조인트중량,조인트길이_110214 3" xfId="1876" xr:uid="{00000000-0005-0000-0000-0000E4060000}"/>
    <cellStyle name="C￥AØ_AuEAITEMA÷AIºn±³-1 _Dr inr comple 요약_KMC_UB_조인트중량,조인트길이_110214 4" xfId="1877" xr:uid="{00000000-0005-0000-0000-0000E5060000}"/>
    <cellStyle name="Ç¥ÁØ_ÀüÈÄITEMÂ÷ÀÌºñ±³-1 _Dr inr comple 요약_KMC_UB_조인트중량,조인트길이_110214 4" xfId="1878" xr:uid="{00000000-0005-0000-0000-0000E6060000}"/>
    <cellStyle name="C￥AØ_AuEAITEMA÷AIºn±³-1 _Dr inr comple 요약_RBk(5DR)_GR_비교원가,원재료인상_110607" xfId="1879" xr:uid="{00000000-0005-0000-0000-0000E7060000}"/>
    <cellStyle name="Ç¥ÁØ_ÀüÈÄITEMÂ÷ÀÌºñ±³-1 _Dr inr comple 요약_RBk(5DR)_GR_비교원가,원재료인상_110607" xfId="1880" xr:uid="{00000000-0005-0000-0000-0000E8060000}"/>
    <cellStyle name="C￥AØ_AuEAITEMA÷AIºn±³-1 _Dr inr comple 요약_RBk(5DR)_GR_비교원가,원재료인상_110607 2" xfId="1881" xr:uid="{00000000-0005-0000-0000-0000E9060000}"/>
    <cellStyle name="Ç¥ÁØ_ÀüÈÄITEMÂ÷ÀÌºñ±³-1 _Dr inr comple 요약_RBk(5DR)_GR_비교원가,원재료인상_110607 2" xfId="1882" xr:uid="{00000000-0005-0000-0000-0000EA060000}"/>
    <cellStyle name="C￥AØ_AuEAITEMA÷AIºn±³-1 _Dr inr comple 요약_RBk(5DR)_GR_비교원가,원재료인상_110607 3" xfId="1883" xr:uid="{00000000-0005-0000-0000-0000EB060000}"/>
    <cellStyle name="Ç¥ÁØ_ÀüÈÄITEMÂ÷ÀÌºñ±³-1 _Dr inr comple 요약_RBk(5DR)_GR_비교원가,원재료인상_110607 3" xfId="1884" xr:uid="{00000000-0005-0000-0000-0000EC060000}"/>
    <cellStyle name="C￥AØ_AuEAITEMA÷AIºn±³-1 _Dr inr comple 요약_RBk(5DR)_GR_비교원가,원재료인상_110607 4" xfId="1885" xr:uid="{00000000-0005-0000-0000-0000ED060000}"/>
    <cellStyle name="Ç¥ÁØ_ÀüÈÄITEMÂ÷ÀÌºñ±³-1 _Dr inr comple 요약_RBk(5DR)_GR_비교원가,원재료인상_110607 4" xfId="1886" xr:uid="{00000000-0005-0000-0000-0000EE060000}"/>
    <cellStyle name="C￥AØ_AuEAITEMA÷AIºn±³-1 _Dr inr comple 요약_VIL_WS_비교원가_110708" xfId="1887" xr:uid="{00000000-0005-0000-0000-0000EF060000}"/>
    <cellStyle name="Ç¥ÁØ_ÀüÈÄITEMÂ÷ÀÌºñ±³-1 _Dr inr comple 요약_VIL_WS_비교원가_110708" xfId="1888" xr:uid="{00000000-0005-0000-0000-0000F0060000}"/>
    <cellStyle name="C￥AØ_AuEAITEMA÷AIºn±³-1 _JB 차체부품 원가계산 대책(보고完-04.10.04)" xfId="1889" xr:uid="{00000000-0005-0000-0000-0000F1060000}"/>
    <cellStyle name="Ç¥ÁØ_ÀüÈÄITEMÂ÷ÀÌºñ±³-1 _JB 차체부품 원가계산 대책(보고完-04.10.04)" xfId="1890" xr:uid="{00000000-0005-0000-0000-0000F2060000}"/>
    <cellStyle name="C￥AØ_AuEAITEMA÷AIºn±³-1 _TB차체부품외주화원가검토0007" xfId="1891" xr:uid="{00000000-0005-0000-0000-0000F3060000}"/>
    <cellStyle name="Ç¥ÁØ_ÀüÈÄITEMÂ÷ÀÌºñ±³-1 _TB차체부품외주화원가검토0007" xfId="1892" xr:uid="{00000000-0005-0000-0000-0000F4060000}"/>
    <cellStyle name="C￥AØ_AuEAITEMA÷AIºn±³-1 _카니발부품국산화개발방안-회장님(030616" xfId="1893" xr:uid="{00000000-0005-0000-0000-0000F5060000}"/>
    <cellStyle name="Ç¥ÁØ_ÀüÈÄITEMÂ÷ÀÌºñ±³-1 _카니발부품국산화개발방안-회장님(030616" xfId="1894" xr:uid="{00000000-0005-0000-0000-0000F6060000}"/>
    <cellStyle name="C￥AØ_AuEAITEMA÷AIºn±³-1 _카니발부품국산화개발방안-회장님(030616 2" xfId="1895" xr:uid="{00000000-0005-0000-0000-0000F7060000}"/>
    <cellStyle name="Ç¥ÁØ_ÀüÈÄITEMÂ÷ÀÌºñ±³-1 _카니발부품국산화개발방안-회장님(030616 2" xfId="1896" xr:uid="{00000000-0005-0000-0000-0000F8060000}"/>
    <cellStyle name="C￥AØ_AuEAITEMA÷AIºn±³-1 _카니발부품국산화개발방안-회장님(030616 3" xfId="1897" xr:uid="{00000000-0005-0000-0000-0000F9060000}"/>
    <cellStyle name="Ç¥ÁØ_ÀüÈÄITEMÂ÷ÀÌºñ±³-1 _카니발부품국산화개발방안-회장님(030616 3" xfId="1898" xr:uid="{00000000-0005-0000-0000-0000FA060000}"/>
    <cellStyle name="C￥AØ_AuEAITEMA÷AIºn±³-1 _카니발부품국산화개발방안-회장님(030616 4" xfId="1899" xr:uid="{00000000-0005-0000-0000-0000FB060000}"/>
    <cellStyle name="Ç¥ÁØ_ÀüÈÄITEMÂ÷ÀÌºñ±³-1 _카니발부품국산화개발방안-회장님(030616 4" xfId="1900" xr:uid="{00000000-0005-0000-0000-0000FC060000}"/>
    <cellStyle name="C￥AØ_AuEAITEMA÷AIºn±³-2 " xfId="1901" xr:uid="{00000000-0005-0000-0000-0000FD060000}"/>
    <cellStyle name="Ç¥ÁØ_ÀüÈÄITEMÂ÷ÀÌºñ±³-2 " xfId="1902" xr:uid="{00000000-0005-0000-0000-0000FE060000}"/>
    <cellStyle name="C￥AØ_AuEAITEMA÷AIºn±³-2 _Book2" xfId="1903" xr:uid="{00000000-0005-0000-0000-0000FF060000}"/>
    <cellStyle name="Ç¥ÁØ_ÀüÈÄITEMÂ÷ÀÌºñ±³-2 _Book2" xfId="1904" xr:uid="{00000000-0005-0000-0000-000000070000}"/>
    <cellStyle name="C￥AØ_AuEAITEMA÷AIºn±³-2 _Dr inr comple 요약" xfId="1905" xr:uid="{00000000-0005-0000-0000-000001070000}"/>
    <cellStyle name="Ç¥ÁØ_ÀüÈÄITEMÂ÷ÀÌºñ±³-2 _Dr inr comple 요약" xfId="1906" xr:uid="{00000000-0005-0000-0000-000002070000}"/>
    <cellStyle name="C￥AØ_AuEAITEMA÷AIºn±³-2 _Dr inr comple 요약 2" xfId="1907" xr:uid="{00000000-0005-0000-0000-000003070000}"/>
    <cellStyle name="Ç¥ÁØ_ÀüÈÄITEMÂ÷ÀÌºñ±³-2 _Dr inr comple 요약 2" xfId="1908" xr:uid="{00000000-0005-0000-0000-000004070000}"/>
    <cellStyle name="C￥AØ_AuEAITEMA÷AIºn±³-2 _Dr inr comple 요약 3" xfId="1909" xr:uid="{00000000-0005-0000-0000-000005070000}"/>
    <cellStyle name="Ç¥ÁØ_ÀüÈÄITEMÂ÷ÀÌºñ±³-2 _Dr inr comple 요약 3" xfId="1910" xr:uid="{00000000-0005-0000-0000-000006070000}"/>
    <cellStyle name="C￥AØ_AuEAITEMA÷AIºn±³-2 _Dr inr comple 요약 4" xfId="1911" xr:uid="{00000000-0005-0000-0000-000007070000}"/>
    <cellStyle name="Ç¥ÁØ_ÀüÈÄITEMÂ÷ÀÌºñ±³-2 _Dr inr comple 요약 4" xfId="1912" xr:uid="{00000000-0005-0000-0000-000008070000}"/>
    <cellStyle name="C￥AØ_AuEAITEMA÷AIºn±³-2 _Dr inr comple 요약_■EN_BS_비교원가,원재료인상_110621" xfId="1913" xr:uid="{00000000-0005-0000-0000-000009070000}"/>
    <cellStyle name="Ç¥ÁØ_ÀüÈÄITEMÂ÷ÀÌºñ±³-2 _Dr inr comple 요약_■EN_BS_비교원가,원재료인상_110621" xfId="1914" xr:uid="{00000000-0005-0000-0000-00000A070000}"/>
    <cellStyle name="C￥AØ_AuEAITEMA÷AIºn±³-2 _Dr inr comple 요약_■EN_BS_비교원가,원재료인상_110621 2" xfId="1915" xr:uid="{00000000-0005-0000-0000-00000B070000}"/>
    <cellStyle name="Ç¥ÁØ_ÀüÈÄITEMÂ÷ÀÌºñ±³-2 _Dr inr comple 요약_■EN_BS_비교원가,원재료인상_110621 2" xfId="1916" xr:uid="{00000000-0005-0000-0000-00000C070000}"/>
    <cellStyle name="C￥AØ_AuEAITEMA÷AIºn±³-2 _Dr inr comple 요약_■EN_BS_비교원가,원재료인상_110621 3" xfId="1917" xr:uid="{00000000-0005-0000-0000-00000D070000}"/>
    <cellStyle name="Ç¥ÁØ_ÀüÈÄITEMÂ÷ÀÌºñ±³-2 _Dr inr comple 요약_■EN_BS_비교원가,원재료인상_110621 3" xfId="1918" xr:uid="{00000000-0005-0000-0000-00000E070000}"/>
    <cellStyle name="C￥AØ_AuEAITEMA÷AIºn±³-2 _Dr inr comple 요약_■EN_BS_비교원가,원재료인상_110621 4" xfId="1919" xr:uid="{00000000-0005-0000-0000-00000F070000}"/>
    <cellStyle name="Ç¥ÁØ_ÀüÈÄITEMÂ÷ÀÌºñ±³-2 _Dr inr comple 요약_■EN_BS_비교원가,원재료인상_110621 4" xfId="1920" xr:uid="{00000000-0005-0000-0000-000010070000}"/>
    <cellStyle name="C￥AØ_AuEAITEMA÷AIºn±³-2 _Dr inr comple 요약_110810_UB_도아_바디웨자_초도가_(화승R&amp;A)" xfId="1921" xr:uid="{00000000-0005-0000-0000-000011070000}"/>
    <cellStyle name="Ç¥ÁØ_ÀüÈÄITEMÂ÷ÀÌºñ±³-2 _Dr inr comple 요약_110810_UB_도아_바디웨자_초도가_(화승R&amp;A)" xfId="1922" xr:uid="{00000000-0005-0000-0000-000012070000}"/>
    <cellStyle name="C￥AØ_AuEAITEMA÷AIºn±³-2 _Dr inr comple 요약_110810_철판 SCRAP조정_자동_화승R&amp;A" xfId="1923" xr:uid="{00000000-0005-0000-0000-000013070000}"/>
    <cellStyle name="Ç¥ÁØ_ÀüÈÄITEMÂ÷ÀÌºñ±³-2 _Dr inr comple 요약_110810_철판 SCRAP조정_자동_화승R&amp;A" xfId="1924" xr:uid="{00000000-0005-0000-0000-000014070000}"/>
    <cellStyle name="C￥AØ_AuEAITEMA÷AIºn±³-2 _Dr inr comple 요약_110810_철판 SCRAP조정_자동_화승R&amp;A 2" xfId="1925" xr:uid="{00000000-0005-0000-0000-000015070000}"/>
    <cellStyle name="Ç¥ÁØ_ÀüÈÄITEMÂ÷ÀÌºñ±³-2 _Dr inr comple 요약_110810_철판 SCRAP조정_자동_화승R&amp;A 2" xfId="1926" xr:uid="{00000000-0005-0000-0000-000016070000}"/>
    <cellStyle name="C￥AØ_AuEAITEMA÷AIºn±³-2 _Dr inr comple 요약_110810_철판 SCRAP조정_자동_화승R&amp;A 3" xfId="1927" xr:uid="{00000000-0005-0000-0000-000017070000}"/>
    <cellStyle name="Ç¥ÁØ_ÀüÈÄITEMÂ÷ÀÌºñ±³-2 _Dr inr comple 요약_110810_철판 SCRAP조정_자동_화승R&amp;A 3" xfId="1928" xr:uid="{00000000-0005-0000-0000-000018070000}"/>
    <cellStyle name="C￥AØ_AuEAITEMA÷AIºn±³-2 _Dr inr comple 요약_110810_철판 SCRAP조정_자동_화승R&amp;A 4" xfId="1929" xr:uid="{00000000-0005-0000-0000-000019070000}"/>
    <cellStyle name="Ç¥ÁØ_ÀüÈÄITEMÂ÷ÀÌºñ±³-2 _Dr inr comple 요약_110810_철판 SCRAP조정_자동_화승R&amp;A 4" xfId="1930" xr:uid="{00000000-0005-0000-0000-00001A070000}"/>
    <cellStyle name="C￥AØ_AuEAITEMA÷AIºn±³-2 _Dr inr comple 요약_AM_WS_운반비_110708" xfId="1931" xr:uid="{00000000-0005-0000-0000-00001B070000}"/>
    <cellStyle name="Ç¥ÁØ_ÀüÈÄITEMÂ÷ÀÌºñ±³-2 _Dr inr comple 요약_AM_WS_운반비_110708" xfId="1932" xr:uid="{00000000-0005-0000-0000-00001C070000}"/>
    <cellStyle name="C￥AØ_AuEAITEMA÷AIºn±³-2 _Dr inr comple 요약_AM_WS_운반비_110708 2" xfId="1933" xr:uid="{00000000-0005-0000-0000-00001D070000}"/>
    <cellStyle name="Ç¥ÁØ_ÀüÈÄITEMÂ÷ÀÌºñ±³-2 _Dr inr comple 요약_AM_WS_운반비_110708 2" xfId="1934" xr:uid="{00000000-0005-0000-0000-00001E070000}"/>
    <cellStyle name="C￥AØ_AuEAITEMA÷AIºn±³-2 _Dr inr comple 요약_AM_WS_운반비_110708 3" xfId="1935" xr:uid="{00000000-0005-0000-0000-00001F070000}"/>
    <cellStyle name="Ç¥ÁØ_ÀüÈÄITEMÂ÷ÀÌºñ±³-2 _Dr inr comple 요약_AM_WS_운반비_110708 3" xfId="1936" xr:uid="{00000000-0005-0000-0000-000020070000}"/>
    <cellStyle name="C￥AØ_AuEAITEMA÷AIºn±³-2 _Dr inr comple 요약_AM_WS_운반비_110708 4" xfId="1937" xr:uid="{00000000-0005-0000-0000-000021070000}"/>
    <cellStyle name="Ç¥ÁØ_ÀüÈÄITEMÂ÷ÀÌºñ±³-2 _Dr inr comple 요약_AM_WS_운반비_110708 4" xfId="1938" xr:uid="{00000000-0005-0000-0000-000022070000}"/>
    <cellStyle name="C￥AØ_AuEAITEMA÷AIºn±³-2 _Dr inr comple 요약_Book2" xfId="1939" xr:uid="{00000000-0005-0000-0000-000023070000}"/>
    <cellStyle name="Ç¥ÁØ_ÀüÈÄITEMÂ÷ÀÌºñ±³-2 _Dr inr comple 요약_Book2" xfId="1940" xr:uid="{00000000-0005-0000-0000-000024070000}"/>
    <cellStyle name="C￥AØ_AuEAITEMA÷AIºn±³-2 _Dr inr comple 요약_KMC_UB_단면적,코팅길이_110218" xfId="1941" xr:uid="{00000000-0005-0000-0000-000025070000}"/>
    <cellStyle name="Ç¥ÁØ_ÀüÈÄITEMÂ÷ÀÌºñ±³-2 _Dr inr comple 요약_KMC_UB_단면적,코팅길이_110218" xfId="1942" xr:uid="{00000000-0005-0000-0000-000026070000}"/>
    <cellStyle name="C￥AØ_AuEAITEMA÷AIºn±³-2 _Dr inr comple 요약_KMC_UB_단면적,코팅길이_110218 2" xfId="1943" xr:uid="{00000000-0005-0000-0000-000027070000}"/>
    <cellStyle name="Ç¥ÁØ_ÀüÈÄITEMÂ÷ÀÌºñ±³-2 _Dr inr comple 요약_KMC_UB_단면적,코팅길이_110218 2" xfId="1944" xr:uid="{00000000-0005-0000-0000-000028070000}"/>
    <cellStyle name="C￥AØ_AuEAITEMA÷AIºn±³-2 _Dr inr comple 요약_KMC_UB_단면적,코팅길이_110218 3" xfId="1945" xr:uid="{00000000-0005-0000-0000-000029070000}"/>
    <cellStyle name="Ç¥ÁØ_ÀüÈÄITEMÂ÷ÀÌºñ±³-2 _Dr inr comple 요약_KMC_UB_단면적,코팅길이_110218 3" xfId="1946" xr:uid="{00000000-0005-0000-0000-00002A070000}"/>
    <cellStyle name="C￥AØ_AuEAITEMA÷AIºn±³-2 _Dr inr comple 요약_KMC_UB_단면적,코팅길이_110218 4" xfId="1947" xr:uid="{00000000-0005-0000-0000-00002B070000}"/>
    <cellStyle name="Ç¥ÁØ_ÀüÈÄITEMÂ÷ÀÌºñ±³-2 _Dr inr comple 요약_KMC_UB_단면적,코팅길이_110218 4" xfId="1948" xr:uid="{00000000-0005-0000-0000-00002C070000}"/>
    <cellStyle name="C￥AØ_AuEAITEMA÷AIºn±³-2 _Dr inr comple 요약_KMC_UB_조인트중량,조인트길이_110214" xfId="1949" xr:uid="{00000000-0005-0000-0000-00002D070000}"/>
    <cellStyle name="Ç¥ÁØ_ÀüÈÄITEMÂ÷ÀÌºñ±³-2 _Dr inr comple 요약_KMC_UB_조인트중량,조인트길이_110214" xfId="1950" xr:uid="{00000000-0005-0000-0000-00002E070000}"/>
    <cellStyle name="C￥AØ_AuEAITEMA÷AIºn±³-2 _Dr inr comple 요약_KMC_UB_조인트중량,조인트길이_110214 2" xfId="1951" xr:uid="{00000000-0005-0000-0000-00002F070000}"/>
    <cellStyle name="Ç¥ÁØ_ÀüÈÄITEMÂ÷ÀÌºñ±³-2 _Dr inr comple 요약_KMC_UB_조인트중량,조인트길이_110214 2" xfId="1952" xr:uid="{00000000-0005-0000-0000-000030070000}"/>
    <cellStyle name="C￥AØ_AuEAITEMA÷AIºn±³-2 _Dr inr comple 요약_KMC_UB_조인트중량,조인트길이_110214 3" xfId="1953" xr:uid="{00000000-0005-0000-0000-000031070000}"/>
    <cellStyle name="Ç¥ÁØ_ÀüÈÄITEMÂ÷ÀÌºñ±³-2 _Dr inr comple 요약_KMC_UB_조인트중량,조인트길이_110214 3" xfId="1954" xr:uid="{00000000-0005-0000-0000-000032070000}"/>
    <cellStyle name="C￥AØ_AuEAITEMA÷AIºn±³-2 _Dr inr comple 요약_KMC_UB_조인트중량,조인트길이_110214 4" xfId="1955" xr:uid="{00000000-0005-0000-0000-000033070000}"/>
    <cellStyle name="Ç¥ÁØ_ÀüÈÄITEMÂ÷ÀÌºñ±³-2 _Dr inr comple 요약_KMC_UB_조인트중량,조인트길이_110214 4" xfId="1956" xr:uid="{00000000-0005-0000-0000-000034070000}"/>
    <cellStyle name="C￥AØ_AuEAITEMA÷AIºn±³-2 _Dr inr comple 요약_RBk(5DR)_GR_비교원가,원재료인상_110607" xfId="1957" xr:uid="{00000000-0005-0000-0000-000035070000}"/>
    <cellStyle name="Ç¥ÁØ_ÀüÈÄITEMÂ÷ÀÌºñ±³-2 _Dr inr comple 요약_RBk(5DR)_GR_비교원가,원재료인상_110607" xfId="1958" xr:uid="{00000000-0005-0000-0000-000036070000}"/>
    <cellStyle name="C￥AØ_AuEAITEMA÷AIºn±³-2 _Dr inr comple 요약_RBk(5DR)_GR_비교원가,원재료인상_110607 2" xfId="1959" xr:uid="{00000000-0005-0000-0000-000037070000}"/>
    <cellStyle name="Ç¥ÁØ_ÀüÈÄITEMÂ÷ÀÌºñ±³-2 _Dr inr comple 요약_RBk(5DR)_GR_비교원가,원재료인상_110607 2" xfId="1960" xr:uid="{00000000-0005-0000-0000-000038070000}"/>
    <cellStyle name="C￥AØ_AuEAITEMA÷AIºn±³-2 _Dr inr comple 요약_RBk(5DR)_GR_비교원가,원재료인상_110607 3" xfId="1961" xr:uid="{00000000-0005-0000-0000-000039070000}"/>
    <cellStyle name="Ç¥ÁØ_ÀüÈÄITEMÂ÷ÀÌºñ±³-2 _Dr inr comple 요약_RBk(5DR)_GR_비교원가,원재료인상_110607 3" xfId="1962" xr:uid="{00000000-0005-0000-0000-00003A070000}"/>
    <cellStyle name="C￥AØ_AuEAITEMA÷AIºn±³-2 _Dr inr comple 요약_RBk(5DR)_GR_비교원가,원재료인상_110607 4" xfId="1963" xr:uid="{00000000-0005-0000-0000-00003B070000}"/>
    <cellStyle name="Ç¥ÁØ_ÀüÈÄITEMÂ÷ÀÌºñ±³-2 _Dr inr comple 요약_RBk(5DR)_GR_비교원가,원재료인상_110607 4" xfId="1964" xr:uid="{00000000-0005-0000-0000-00003C070000}"/>
    <cellStyle name="C￥AØ_AuEAITEMA÷AIºn±³-2 _Dr inr comple 요약_VIL_WS_비교원가_110708" xfId="1965" xr:uid="{00000000-0005-0000-0000-00003D070000}"/>
    <cellStyle name="Ç¥ÁØ_ÀüÈÄITEMÂ÷ÀÌºñ±³-2 _Dr inr comple 요약_VIL_WS_비교원가_110708" xfId="1966" xr:uid="{00000000-0005-0000-0000-00003E070000}"/>
    <cellStyle name="C￥AØ_AuEAITEMA÷AIºn±³-2 _JB 차체부품 원가계산 대책(보고完-04.10.04)" xfId="1967" xr:uid="{00000000-0005-0000-0000-00003F070000}"/>
    <cellStyle name="Ç¥ÁØ_ÀüÈÄITEMÂ÷ÀÌºñ±³-2 _JB 차체부품 원가계산 대책(보고完-04.10.04)" xfId="1968" xr:uid="{00000000-0005-0000-0000-000040070000}"/>
    <cellStyle name="C￥AØ_AuEAITEMA÷AIºn±³-2 _TB차체부품외주화원가검토0007" xfId="1969" xr:uid="{00000000-0005-0000-0000-000041070000}"/>
    <cellStyle name="Ç¥ÁØ_ÀüÈÄITEMÂ÷ÀÌºñ±³-2 _TB차체부품외주화원가검토0007" xfId="1970" xr:uid="{00000000-0005-0000-0000-000042070000}"/>
    <cellStyle name="C￥AØ_AuEAITEMA÷AIºn±³-2 _카니발부품국산화개발방안-회장님(030616" xfId="1971" xr:uid="{00000000-0005-0000-0000-000043070000}"/>
    <cellStyle name="Ç¥ÁØ_ÀüÈÄITEMÂ÷ÀÌºñ±³-2 _카니발부품국산화개발방안-회장님(030616" xfId="1972" xr:uid="{00000000-0005-0000-0000-000044070000}"/>
    <cellStyle name="C￥AØ_AuEAITEMA÷AIºn±³-2 _카니발부품국산화개발방안-회장님(030616 2" xfId="1973" xr:uid="{00000000-0005-0000-0000-000045070000}"/>
    <cellStyle name="Ç¥ÁØ_ÀüÈÄITEMÂ÷ÀÌºñ±³-2 _카니발부품국산화개발방안-회장님(030616 2" xfId="1974" xr:uid="{00000000-0005-0000-0000-000046070000}"/>
    <cellStyle name="C￥AØ_AuEAITEMA÷AIºn±³-2 _카니발부품국산화개발방안-회장님(030616 3" xfId="1975" xr:uid="{00000000-0005-0000-0000-000047070000}"/>
    <cellStyle name="Ç¥ÁØ_ÀüÈÄITEMÂ÷ÀÌºñ±³-2 _카니발부품국산화개발방안-회장님(030616 3" xfId="1976" xr:uid="{00000000-0005-0000-0000-000048070000}"/>
    <cellStyle name="C￥AØ_AuEAITEMA÷AIºn±³-2 _카니발부품국산화개발방안-회장님(030616 4" xfId="1977" xr:uid="{00000000-0005-0000-0000-000049070000}"/>
    <cellStyle name="Ç¥ÁØ_ÀüÈÄITEMÂ÷ÀÌºñ±³-2 _카니발부품국산화개발방안-회장님(030616 4" xfId="1978" xr:uid="{00000000-0005-0000-0000-00004A070000}"/>
    <cellStyle name="C￥AØ_Ay°eC￥(2¿u) " xfId="1979" xr:uid="{00000000-0005-0000-0000-00004B070000}"/>
    <cellStyle name="Ç¥ÁØ_Áý°èÇ¥(2¿ù) " xfId="1980" xr:uid="{00000000-0005-0000-0000-00004C070000}"/>
    <cellStyle name="C￥AØ_Ay°eC￥(2¿u) _액센트금형이전계획(0105)-수정2차" xfId="1981" xr:uid="{00000000-0005-0000-0000-00004D070000}"/>
    <cellStyle name="Ç¥ÁØ_BRK¿ø´Ü.XLS " xfId="1982" xr:uid="{00000000-0005-0000-0000-00004E070000}"/>
    <cellStyle name="C￥AØ_C￥1_¿ø´UA§ " xfId="1983" xr:uid="{00000000-0005-0000-0000-00004F070000}"/>
    <cellStyle name="Ç¥ÁØ_Ç¥1_¿ø´ÜÀ§ " xfId="1984" xr:uid="{00000000-0005-0000-0000-000050070000}"/>
    <cellStyle name="C￥AØ_C￥1_¿ø´UA§ _카니발부품국산화개발방안-회장님(030616" xfId="1985" xr:uid="{00000000-0005-0000-0000-000051070000}"/>
    <cellStyle name="Ç¥ÁØ_Ç¥1_¿ø´ÜÀ§ _카니발부품국산화개발방안-회장님(030616" xfId="1986" xr:uid="{00000000-0005-0000-0000-000052070000}"/>
    <cellStyle name="C￥AØ_C￥1_¿ø´UA§ _카니발부품국산화개발방안-회장님(030616 2" xfId="1987" xr:uid="{00000000-0005-0000-0000-000053070000}"/>
    <cellStyle name="Ç¥ÁØ_Ç¥1_¿ø´ÜÀ§ _카니발부품국산화개발방안-회장님(030616 2" xfId="1988" xr:uid="{00000000-0005-0000-0000-000054070000}"/>
    <cellStyle name="C￥AØ_C￥1_¿ø´UA§ _카니발부품국산화개발방안-회장님(030616 3" xfId="1989" xr:uid="{00000000-0005-0000-0000-000055070000}"/>
    <cellStyle name="Ç¥ÁØ_Ç¥1_¿ø´ÜÀ§ _카니발부품국산화개발방안-회장님(030616 3" xfId="1990" xr:uid="{00000000-0005-0000-0000-000056070000}"/>
    <cellStyle name="C￥AØ_C￥1_¿ø´UA§ _카니발부품국산화개발방안-회장님(030616 4" xfId="1991" xr:uid="{00000000-0005-0000-0000-000057070000}"/>
    <cellStyle name="Ç¥ÁØ_Ç¥1_¿ø´ÜÀ§ _카니발부품국산화개발방안-회장님(030616 4" xfId="1992" xr:uid="{00000000-0005-0000-0000-000058070000}"/>
    <cellStyle name="C￥AØ_C￥2_¿ø´UA§ " xfId="1993" xr:uid="{00000000-0005-0000-0000-000059070000}"/>
    <cellStyle name="Ç¥ÁØ_Ç¥2_¿ø´ÜÀ§ " xfId="1994" xr:uid="{00000000-0005-0000-0000-00005A070000}"/>
    <cellStyle name="C￥AØ_C￥2_¿ø´UA§ _카니발부품국산화개발방안-회장님(030616" xfId="1995" xr:uid="{00000000-0005-0000-0000-00005B070000}"/>
    <cellStyle name="Ç¥ÁØ_Ç¥2_¿ø´ÜÀ§ _카니발부품국산화개발방안-회장님(030616" xfId="1996" xr:uid="{00000000-0005-0000-0000-00005C070000}"/>
    <cellStyle name="C￥AØ_C￥2_¿ø´UA§ _카니발부품국산화개발방안-회장님(030616 2" xfId="1997" xr:uid="{00000000-0005-0000-0000-00005D070000}"/>
    <cellStyle name="Ç¥ÁØ_Ç¥2_¿ø´ÜÀ§ _카니발부품국산화개발방안-회장님(030616 2" xfId="1998" xr:uid="{00000000-0005-0000-0000-00005E070000}"/>
    <cellStyle name="C￥AØ_C￥2_¿ø´UA§ _카니발부품국산화개발방안-회장님(030616 3" xfId="1999" xr:uid="{00000000-0005-0000-0000-00005F070000}"/>
    <cellStyle name="Ç¥ÁØ_Ç¥2_¿ø´ÜÀ§ _카니발부품국산화개발방안-회장님(030616 3" xfId="2000" xr:uid="{00000000-0005-0000-0000-000060070000}"/>
    <cellStyle name="C￥AØ_C￥2_¿ø´UA§ _카니발부품국산화개발방안-회장님(030616 4" xfId="2001" xr:uid="{00000000-0005-0000-0000-000061070000}"/>
    <cellStyle name="Ç¥ÁØ_Ç¥2_¿ø´ÜÀ§ _카니발부품국산화개발방안-회장님(030616 4" xfId="2002" xr:uid="{00000000-0005-0000-0000-000062070000}"/>
    <cellStyle name="C￥AØ_C￥3_¿ø´UA§ " xfId="2003" xr:uid="{00000000-0005-0000-0000-000063070000}"/>
    <cellStyle name="Ç¥ÁØ_Ç¥3_¿ø´ÜÀ§ " xfId="2004" xr:uid="{00000000-0005-0000-0000-000064070000}"/>
    <cellStyle name="C￥AØ_C￥3_¿ø´UA§ _카니발부품국산화개발방안-회장님(030616" xfId="2005" xr:uid="{00000000-0005-0000-0000-000065070000}"/>
    <cellStyle name="Ç¥ÁØ_Ç¥3_¿ø´ÜÀ§ _카니발부품국산화개발방안-회장님(030616" xfId="2006" xr:uid="{00000000-0005-0000-0000-000066070000}"/>
    <cellStyle name="C￥AØ_C￥3_¿ø´UA§ _카니발부품국산화개발방안-회장님(030616 2" xfId="2007" xr:uid="{00000000-0005-0000-0000-000067070000}"/>
    <cellStyle name="Ç¥ÁØ_Ç¥3_¿ø´ÜÀ§ _카니발부품국산화개발방안-회장님(030616 2" xfId="2008" xr:uid="{00000000-0005-0000-0000-000068070000}"/>
    <cellStyle name="C￥AØ_C￥3_¿ø´UA§ _카니발부품국산화개발방안-회장님(030616 3" xfId="2009" xr:uid="{00000000-0005-0000-0000-000069070000}"/>
    <cellStyle name="Ç¥ÁØ_Ç¥3_¿ø´ÜÀ§ _카니발부품국산화개발방안-회장님(030616 3" xfId="2010" xr:uid="{00000000-0005-0000-0000-00006A070000}"/>
    <cellStyle name="C￥AØ_C￥3_¿ø´UA§ _카니발부품국산화개발방안-회장님(030616 4" xfId="2011" xr:uid="{00000000-0005-0000-0000-00006B070000}"/>
    <cellStyle name="Ç¥ÁØ_Ç¥3_¿ø´ÜÀ§ _카니발부품국산화개발방안-회장님(030616 4" xfId="2012" xr:uid="{00000000-0005-0000-0000-00006C070000}"/>
    <cellStyle name="C￥AØ_C￥4_¿ø´UA§ " xfId="2013" xr:uid="{00000000-0005-0000-0000-00006D070000}"/>
    <cellStyle name="Ç¥ÁØ_Ç¥4_¿ø´ÜÀ§ " xfId="2014" xr:uid="{00000000-0005-0000-0000-00006E070000}"/>
    <cellStyle name="C￥AØ_C￥4_¿ø´UA§ _카니발부품국산화개발방안-회장님(030616" xfId="2015" xr:uid="{00000000-0005-0000-0000-00006F070000}"/>
    <cellStyle name="Ç¥ÁØ_Ç¥4_¿ø´ÜÀ§ _카니발부품국산화개발방안-회장님(030616" xfId="2016" xr:uid="{00000000-0005-0000-0000-000070070000}"/>
    <cellStyle name="C￥AØ_C￥4_¿ø´UA§ _카니발부품국산화개발방안-회장님(030616 2" xfId="2017" xr:uid="{00000000-0005-0000-0000-000071070000}"/>
    <cellStyle name="Ç¥ÁØ_Ç¥4_¿ø´ÜÀ§ _카니발부품국산화개발방안-회장님(030616 2" xfId="2018" xr:uid="{00000000-0005-0000-0000-000072070000}"/>
    <cellStyle name="C￥AØ_C￥4_¿ø´UA§ _카니발부품국산화개발방안-회장님(030616 3" xfId="2019" xr:uid="{00000000-0005-0000-0000-000073070000}"/>
    <cellStyle name="Ç¥ÁØ_Ç¥4_¿ø´ÜÀ§ _카니발부품국산화개발방안-회장님(030616 3" xfId="2020" xr:uid="{00000000-0005-0000-0000-000074070000}"/>
    <cellStyle name="C￥AØ_C￥4_¿ø´UA§ _카니발부품국산화개발방안-회장님(030616 4" xfId="2021" xr:uid="{00000000-0005-0000-0000-000075070000}"/>
    <cellStyle name="Ç¥ÁØ_Ç¥4_¿ø´ÜÀ§ _카니발부품국산화개발방안-회장님(030616 4" xfId="2022" xr:uid="{00000000-0005-0000-0000-000076070000}"/>
    <cellStyle name="C￥AØ_C￥Ao " xfId="2023" xr:uid="{00000000-0005-0000-0000-000077070000}"/>
    <cellStyle name="Ç¥ÁØ_CON¿ø´Ü.XLS " xfId="2024" xr:uid="{00000000-0005-0000-0000-000078070000}"/>
    <cellStyle name="C￥AØ_CuA¶Au_1_10¿u2WA¸ºI " xfId="2025" xr:uid="{00000000-0005-0000-0000-000079070000}"/>
    <cellStyle name="Ç¥ÁØ_ÇùÁ¶Àü_96°èÈ¹ " xfId="2026" xr:uid="{00000000-0005-0000-0000-00007A070000}"/>
    <cellStyle name="C￥AØ_CuA¶Au_96°eE¹ _JB 차체부품 원가계산 대책(보고完-04.10.04)" xfId="2027" xr:uid="{00000000-0005-0000-0000-00007B070000}"/>
    <cellStyle name="Ç¥ÁØ_ÇùÁ¶Àü_96°èÈ¹ _JB 차체부품 원가계산 대책(보고完-04.10.04)" xfId="2028" xr:uid="{00000000-0005-0000-0000-00007C070000}"/>
    <cellStyle name="C￥AØ_CuA¶Au_96°eE¹ _TB차체부품외주화원가검토0007" xfId="2029" xr:uid="{00000000-0005-0000-0000-00007D070000}"/>
    <cellStyle name="Ç¥ÁØ_ÇùÁ¶Àü_96°èÈ¹ _TB차체부품외주화원가검토0007" xfId="2030" xr:uid="{00000000-0005-0000-0000-00007E070000}"/>
    <cellStyle name="C￥AØ_CuA¶Au_AoAO°eE¹ " xfId="2031" xr:uid="{00000000-0005-0000-0000-00007F070000}"/>
    <cellStyle name="Ç¥ÁØ_ÇùÁ¶Àü_ÅõÀÔ°èÈ¹ " xfId="2032" xr:uid="{00000000-0005-0000-0000-000080070000}"/>
    <cellStyle name="C￥AØ_CuA¶Au_laroux_두레_비교원가" xfId="2033" xr:uid="{00000000-0005-0000-0000-000081070000}"/>
    <cellStyle name="Ç¥ÁØ_EFÀüÈÄÃßÁ¤¿ø´ÜÀ§ " xfId="2034" xr:uid="{00000000-0005-0000-0000-000082070000}"/>
    <cellStyle name="C￥AØ_EFAuEAAßA¤¿ø´UA§ _TB차체부품외주화원가검토0007" xfId="2035" xr:uid="{00000000-0005-0000-0000-000083070000}"/>
    <cellStyle name="Ç¥ÁØ_EFÀüÈÄÃßÁ¤¿ø´ÜÀ§ _TB차체부품외주화원가검토0007" xfId="2036" xr:uid="{00000000-0005-0000-0000-000084070000}"/>
    <cellStyle name="C￥AØ_F006-1A÷ " xfId="2037" xr:uid="{00000000-0005-0000-0000-000085070000}"/>
    <cellStyle name="Ç¥ÁØ_H1 ´ë XG ¿ø´ÜÀ§ " xfId="2038" xr:uid="{00000000-0005-0000-0000-000086070000}"/>
    <cellStyle name="C￥AØ_H1 ´e XG ¿ø´UA§ _JB 차체부품 원가계산 대책(보고完-04.10.04)" xfId="2039" xr:uid="{00000000-0005-0000-0000-000087070000}"/>
    <cellStyle name="Ç¥ÁØ_H1 ´ë XG ¿ø´ÜÀ§ _JB 차체부품 원가계산 대책(보고完-04.10.04)" xfId="2040" xr:uid="{00000000-0005-0000-0000-000088070000}"/>
    <cellStyle name="C￥AØ_H1 ´e XG ¿ø´UA§ _TB차체부품외주화원가검토0007" xfId="2041" xr:uid="{00000000-0005-0000-0000-000089070000}"/>
    <cellStyle name="Ç¥ÁØ_H1 ´ë XG ¿ø´ÜÀ§ _TB차체부품외주화원가검토0007" xfId="2042" xr:uid="{00000000-0005-0000-0000-00008A070000}"/>
    <cellStyle name="C￥AØ_H1VSXGAßA¤¿ø´UA§_¿ø´UA§ " xfId="2043" xr:uid="{00000000-0005-0000-0000-00008B070000}"/>
    <cellStyle name="Ç¥ÁØ_H1VSXGÃßÁ¤¿ø´ÜÀ§_¿ø´ÜÀ§ " xfId="2044" xr:uid="{00000000-0005-0000-0000-00008C070000}"/>
    <cellStyle name="C￥AØ_H1VSXGAßA¤¿ø´UA§_¿ø´UA§ _Book2" xfId="2045" xr:uid="{00000000-0005-0000-0000-00008D070000}"/>
    <cellStyle name="Ç¥ÁØ_H1VSXGÃßÁ¤¿ø´ÜÀ§_¿ø´ÜÀ§ _Book2" xfId="2046" xr:uid="{00000000-0005-0000-0000-00008E070000}"/>
    <cellStyle name="C￥AØ_H1VSXGAßA¤¿ø´UA§_¿ø´UA§ _Dr inr comple 요약" xfId="2047" xr:uid="{00000000-0005-0000-0000-00008F070000}"/>
    <cellStyle name="Ç¥ÁØ_H1VSXGÃßÁ¤¿ø´ÜÀ§_¿ø´ÜÀ§ _Dr inr comple 요약" xfId="2048" xr:uid="{00000000-0005-0000-0000-000090070000}"/>
    <cellStyle name="C￥AØ_H1VSXGAßA¤¿ø´UA§_¿ø´UA§ _Dr inr comple 요약 2" xfId="2049" xr:uid="{00000000-0005-0000-0000-000091070000}"/>
    <cellStyle name="Ç¥ÁØ_H1VSXGÃßÁ¤¿ø´ÜÀ§_¿ø´ÜÀ§ _Dr inr comple 요약 2" xfId="2050" xr:uid="{00000000-0005-0000-0000-000092070000}"/>
    <cellStyle name="C￥AØ_H1VSXGAßA¤¿ø´UA§_¿ø´UA§ _Dr inr comple 요약 3" xfId="2051" xr:uid="{00000000-0005-0000-0000-000093070000}"/>
    <cellStyle name="Ç¥ÁØ_H1VSXGÃßÁ¤¿ø´ÜÀ§_¿ø´ÜÀ§ _Dr inr comple 요약 3" xfId="2052" xr:uid="{00000000-0005-0000-0000-000094070000}"/>
    <cellStyle name="C￥AØ_H1VSXGAßA¤¿ø´UA§_¿ø´UA§ _Dr inr comple 요약 4" xfId="2053" xr:uid="{00000000-0005-0000-0000-000095070000}"/>
    <cellStyle name="Ç¥ÁØ_H1VSXGÃßÁ¤¿ø´ÜÀ§_¿ø´ÜÀ§ _Dr inr comple 요약 4" xfId="2054" xr:uid="{00000000-0005-0000-0000-000096070000}"/>
    <cellStyle name="C￥AØ_H1VSXGAßA¤¿ø´UA§_¿ø´UA§ _Dr inr comple 요약_■EN_BS_비교원가,원재료인상_110621" xfId="2055" xr:uid="{00000000-0005-0000-0000-000097070000}"/>
    <cellStyle name="Ç¥ÁØ_H1VSXGÃßÁ¤¿ø´ÜÀ§_¿ø´ÜÀ§ _Dr inr comple 요약_■EN_BS_비교원가,원재료인상_110621" xfId="2056" xr:uid="{00000000-0005-0000-0000-000098070000}"/>
    <cellStyle name="C￥AØ_H1VSXGAßA¤¿ø´UA§_¿ø´UA§ _Dr inr comple 요약_■EN_BS_비교원가,원재료인상_110621 2" xfId="2057" xr:uid="{00000000-0005-0000-0000-000099070000}"/>
    <cellStyle name="Ç¥ÁØ_H1VSXGÃßÁ¤¿ø´ÜÀ§_¿ø´ÜÀ§ _Dr inr comple 요약_■EN_BS_비교원가,원재료인상_110621 2" xfId="2058" xr:uid="{00000000-0005-0000-0000-00009A070000}"/>
    <cellStyle name="C￥AØ_H1VSXGAßA¤¿ø´UA§_¿ø´UA§ _Dr inr comple 요약_■EN_BS_비교원가,원재료인상_110621 3" xfId="2059" xr:uid="{00000000-0005-0000-0000-00009B070000}"/>
    <cellStyle name="Ç¥ÁØ_H1VSXGÃßÁ¤¿ø´ÜÀ§_¿ø´ÜÀ§ _Dr inr comple 요약_■EN_BS_비교원가,원재료인상_110621 3" xfId="2060" xr:uid="{00000000-0005-0000-0000-00009C070000}"/>
    <cellStyle name="C￥AØ_H1VSXGAßA¤¿ø´UA§_¿ø´UA§ _Dr inr comple 요약_■EN_BS_비교원가,원재료인상_110621 4" xfId="2061" xr:uid="{00000000-0005-0000-0000-00009D070000}"/>
    <cellStyle name="Ç¥ÁØ_H1VSXGÃßÁ¤¿ø´ÜÀ§_¿ø´ÜÀ§ _Dr inr comple 요약_■EN_BS_비교원가,원재료인상_110621 4" xfId="2062" xr:uid="{00000000-0005-0000-0000-00009E070000}"/>
    <cellStyle name="C￥AØ_H1VSXGAßA¤¿ø´UA§_¿ø´UA§ _Dr inr comple 요약_110810_UB_도아_바디웨자_초도가_(화승R&amp;A)" xfId="2063" xr:uid="{00000000-0005-0000-0000-00009F070000}"/>
    <cellStyle name="Ç¥ÁØ_H1VSXGÃßÁ¤¿ø´ÜÀ§_¿ø´ÜÀ§ _Dr inr comple 요약_110810_UB_도아_바디웨자_초도가_(화승R&amp;A)" xfId="2064" xr:uid="{00000000-0005-0000-0000-0000A0070000}"/>
    <cellStyle name="C￥AØ_H1VSXGAßA¤¿ø´UA§_¿ø´UA§ _Dr inr comple 요약_110810_철판 SCRAP조정_자동_화승R&amp;A" xfId="2065" xr:uid="{00000000-0005-0000-0000-0000A1070000}"/>
    <cellStyle name="Ç¥ÁØ_H1VSXGÃßÁ¤¿ø´ÜÀ§_¿ø´ÜÀ§ _Dr inr comple 요약_110810_철판 SCRAP조정_자동_화승R&amp;A" xfId="2066" xr:uid="{00000000-0005-0000-0000-0000A2070000}"/>
    <cellStyle name="C￥AØ_H1VSXGAßA¤¿ø´UA§_¿ø´UA§ _Dr inr comple 요약_110810_철판 SCRAP조정_자동_화승R&amp;A 2" xfId="2067" xr:uid="{00000000-0005-0000-0000-0000A3070000}"/>
    <cellStyle name="Ç¥ÁØ_H1VSXGÃßÁ¤¿ø´ÜÀ§_¿ø´ÜÀ§ _Dr inr comple 요약_110810_철판 SCRAP조정_자동_화승R&amp;A 2" xfId="2068" xr:uid="{00000000-0005-0000-0000-0000A4070000}"/>
    <cellStyle name="C￥AØ_H1VSXGAßA¤¿ø´UA§_¿ø´UA§ _Dr inr comple 요약_110810_철판 SCRAP조정_자동_화승R&amp;A 3" xfId="2069" xr:uid="{00000000-0005-0000-0000-0000A5070000}"/>
    <cellStyle name="Ç¥ÁØ_H1VSXGÃßÁ¤¿ø´ÜÀ§_¿ø´ÜÀ§ _Dr inr comple 요약_110810_철판 SCRAP조정_자동_화승R&amp;A 3" xfId="2070" xr:uid="{00000000-0005-0000-0000-0000A6070000}"/>
    <cellStyle name="C￥AØ_H1VSXGAßA¤¿ø´UA§_¿ø´UA§ _Dr inr comple 요약_110810_철판 SCRAP조정_자동_화승R&amp;A 4" xfId="2071" xr:uid="{00000000-0005-0000-0000-0000A7070000}"/>
    <cellStyle name="Ç¥ÁØ_H1VSXGÃßÁ¤¿ø´ÜÀ§_¿ø´ÜÀ§ _Dr inr comple 요약_110810_철판 SCRAP조정_자동_화승R&amp;A 4" xfId="2072" xr:uid="{00000000-0005-0000-0000-0000A8070000}"/>
    <cellStyle name="C￥AØ_H1VSXGAßA¤¿ø´UA§_¿ø´UA§ _Dr inr comple 요약_AM_WS_운반비_110708" xfId="2073" xr:uid="{00000000-0005-0000-0000-0000A9070000}"/>
    <cellStyle name="Ç¥ÁØ_H1VSXGÃßÁ¤¿ø´ÜÀ§_¿ø´ÜÀ§ _Dr inr comple 요약_AM_WS_운반비_110708" xfId="2074" xr:uid="{00000000-0005-0000-0000-0000AA070000}"/>
    <cellStyle name="C￥AØ_H1VSXGAßA¤¿ø´UA§_¿ø´UA§ _Dr inr comple 요약_AM_WS_운반비_110708 2" xfId="2075" xr:uid="{00000000-0005-0000-0000-0000AB070000}"/>
    <cellStyle name="Ç¥ÁØ_H1VSXGÃßÁ¤¿ø´ÜÀ§_¿ø´ÜÀ§ _Dr inr comple 요약_AM_WS_운반비_110708 2" xfId="2076" xr:uid="{00000000-0005-0000-0000-0000AC070000}"/>
    <cellStyle name="C￥AØ_H1VSXGAßA¤¿ø´UA§_¿ø´UA§ _Dr inr comple 요약_AM_WS_운반비_110708 3" xfId="2077" xr:uid="{00000000-0005-0000-0000-0000AD070000}"/>
    <cellStyle name="Ç¥ÁØ_H1VSXGÃßÁ¤¿ø´ÜÀ§_¿ø´ÜÀ§ _Dr inr comple 요약_AM_WS_운반비_110708 3" xfId="2078" xr:uid="{00000000-0005-0000-0000-0000AE070000}"/>
    <cellStyle name="C￥AØ_H1VSXGAßA¤¿ø´UA§_¿ø´UA§ _Dr inr comple 요약_AM_WS_운반비_110708 4" xfId="2079" xr:uid="{00000000-0005-0000-0000-0000AF070000}"/>
    <cellStyle name="Ç¥ÁØ_H1VSXGÃßÁ¤¿ø´ÜÀ§_¿ø´ÜÀ§ _Dr inr comple 요약_AM_WS_운반비_110708 4" xfId="2080" xr:uid="{00000000-0005-0000-0000-0000B0070000}"/>
    <cellStyle name="C￥AØ_H1VSXGAßA¤¿ø´UA§_¿ø´UA§ _Dr inr comple 요약_Book2" xfId="2081" xr:uid="{00000000-0005-0000-0000-0000B1070000}"/>
    <cellStyle name="Ç¥ÁØ_H1VSXGÃßÁ¤¿ø´ÜÀ§_¿ø´ÜÀ§ _Dr inr comple 요약_Book2" xfId="2082" xr:uid="{00000000-0005-0000-0000-0000B2070000}"/>
    <cellStyle name="C￥AØ_H1VSXGAßA¤¿ø´UA§_¿ø´UA§ _Dr inr comple 요약_KMC_UB_단면적,코팅길이_110218" xfId="2083" xr:uid="{00000000-0005-0000-0000-0000B3070000}"/>
    <cellStyle name="Ç¥ÁØ_H1VSXGÃßÁ¤¿ø´ÜÀ§_¿ø´ÜÀ§ _Dr inr comple 요약_KMC_UB_단면적,코팅길이_110218" xfId="2084" xr:uid="{00000000-0005-0000-0000-0000B4070000}"/>
    <cellStyle name="C￥AØ_H1VSXGAßA¤¿ø´UA§_¿ø´UA§ _Dr inr comple 요약_KMC_UB_단면적,코팅길이_110218 2" xfId="2085" xr:uid="{00000000-0005-0000-0000-0000B5070000}"/>
    <cellStyle name="Ç¥ÁØ_H1VSXGÃßÁ¤¿ø´ÜÀ§_¿ø´ÜÀ§ _Dr inr comple 요약_KMC_UB_단면적,코팅길이_110218 2" xfId="2086" xr:uid="{00000000-0005-0000-0000-0000B6070000}"/>
    <cellStyle name="C￥AØ_H1VSXGAßA¤¿ø´UA§_¿ø´UA§ _Dr inr comple 요약_KMC_UB_단면적,코팅길이_110218 3" xfId="2087" xr:uid="{00000000-0005-0000-0000-0000B7070000}"/>
    <cellStyle name="Ç¥ÁØ_H1VSXGÃßÁ¤¿ø´ÜÀ§_¿ø´ÜÀ§ _Dr inr comple 요약_KMC_UB_단면적,코팅길이_110218 3" xfId="2088" xr:uid="{00000000-0005-0000-0000-0000B8070000}"/>
    <cellStyle name="C￥AØ_H1VSXGAßA¤¿ø´UA§_¿ø´UA§ _Dr inr comple 요약_KMC_UB_단면적,코팅길이_110218 4" xfId="2089" xr:uid="{00000000-0005-0000-0000-0000B9070000}"/>
    <cellStyle name="Ç¥ÁØ_H1VSXGÃßÁ¤¿ø´ÜÀ§_¿ø´ÜÀ§ _Dr inr comple 요약_KMC_UB_단면적,코팅길이_110218 4" xfId="2090" xr:uid="{00000000-0005-0000-0000-0000BA070000}"/>
    <cellStyle name="C￥AØ_H1VSXGAßA¤¿ø´UA§_¿ø´UA§ _Dr inr comple 요약_KMC_UB_조인트중량,조인트길이_110214" xfId="2091" xr:uid="{00000000-0005-0000-0000-0000BB070000}"/>
    <cellStyle name="Ç¥ÁØ_H1VSXGÃßÁ¤¿ø´ÜÀ§_¿ø´ÜÀ§ _Dr inr comple 요약_KMC_UB_조인트중량,조인트길이_110214" xfId="2092" xr:uid="{00000000-0005-0000-0000-0000BC070000}"/>
    <cellStyle name="C￥AØ_H1VSXGAßA¤¿ø´UA§_¿ø´UA§ _Dr inr comple 요약_KMC_UB_조인트중량,조인트길이_110214 2" xfId="2093" xr:uid="{00000000-0005-0000-0000-0000BD070000}"/>
    <cellStyle name="Ç¥ÁØ_H1VSXGÃßÁ¤¿ø´ÜÀ§_¿ø´ÜÀ§ _Dr inr comple 요약_KMC_UB_조인트중량,조인트길이_110214 2" xfId="2094" xr:uid="{00000000-0005-0000-0000-0000BE070000}"/>
    <cellStyle name="C￥AØ_H1VSXGAßA¤¿ø´UA§_¿ø´UA§ _Dr inr comple 요약_KMC_UB_조인트중량,조인트길이_110214 3" xfId="2095" xr:uid="{00000000-0005-0000-0000-0000BF070000}"/>
    <cellStyle name="Ç¥ÁØ_H1VSXGÃßÁ¤¿ø´ÜÀ§_¿ø´ÜÀ§ _Dr inr comple 요약_KMC_UB_조인트중량,조인트길이_110214 3" xfId="2096" xr:uid="{00000000-0005-0000-0000-0000C0070000}"/>
    <cellStyle name="C￥AØ_H1VSXGAßA¤¿ø´UA§_¿ø´UA§ _Dr inr comple 요약_KMC_UB_조인트중량,조인트길이_110214 4" xfId="2097" xr:uid="{00000000-0005-0000-0000-0000C1070000}"/>
    <cellStyle name="Ç¥ÁØ_H1VSXGÃßÁ¤¿ø´ÜÀ§_¿ø´ÜÀ§ _Dr inr comple 요약_KMC_UB_조인트중량,조인트길이_110214 4" xfId="2098" xr:uid="{00000000-0005-0000-0000-0000C2070000}"/>
    <cellStyle name="C￥AØ_H1VSXGAßA¤¿ø´UA§_¿ø´UA§ _Dr inr comple 요약_RBk(5DR)_GR_비교원가,원재료인상_110607" xfId="2099" xr:uid="{00000000-0005-0000-0000-0000C3070000}"/>
    <cellStyle name="Ç¥ÁØ_H1VSXGÃßÁ¤¿ø´ÜÀ§_¿ø´ÜÀ§ _Dr inr comple 요약_RBk(5DR)_GR_비교원가,원재료인상_110607" xfId="2100" xr:uid="{00000000-0005-0000-0000-0000C4070000}"/>
    <cellStyle name="C￥AØ_H1VSXGAßA¤¿ø´UA§_¿ø´UA§ _Dr inr comple 요약_RBk(5DR)_GR_비교원가,원재료인상_110607 2" xfId="2101" xr:uid="{00000000-0005-0000-0000-0000C5070000}"/>
    <cellStyle name="Ç¥ÁØ_H1VSXGÃßÁ¤¿ø´ÜÀ§_¿ø´ÜÀ§ _Dr inr comple 요약_RBk(5DR)_GR_비교원가,원재료인상_110607 2" xfId="2102" xr:uid="{00000000-0005-0000-0000-0000C6070000}"/>
    <cellStyle name="C￥AØ_H1VSXGAßA¤¿ø´UA§_¿ø´UA§ _Dr inr comple 요약_RBk(5DR)_GR_비교원가,원재료인상_110607 3" xfId="2103" xr:uid="{00000000-0005-0000-0000-0000C7070000}"/>
    <cellStyle name="Ç¥ÁØ_H1VSXGÃßÁ¤¿ø´ÜÀ§_¿ø´ÜÀ§ _Dr inr comple 요약_RBk(5DR)_GR_비교원가,원재료인상_110607 3" xfId="2104" xr:uid="{00000000-0005-0000-0000-0000C8070000}"/>
    <cellStyle name="C￥AØ_H1VSXGAßA¤¿ø´UA§_¿ø´UA§ _Dr inr comple 요약_RBk(5DR)_GR_비교원가,원재료인상_110607 4" xfId="2105" xr:uid="{00000000-0005-0000-0000-0000C9070000}"/>
    <cellStyle name="Ç¥ÁØ_H1VSXGÃßÁ¤¿ø´ÜÀ§_¿ø´ÜÀ§ _Dr inr comple 요약_RBk(5DR)_GR_비교원가,원재료인상_110607 4" xfId="2106" xr:uid="{00000000-0005-0000-0000-0000CA070000}"/>
    <cellStyle name="C￥AØ_H1VSXGAßA¤¿ø´UA§_¿ø´UA§ _Dr inr comple 요약_VIL_WS_비교원가_110708" xfId="2107" xr:uid="{00000000-0005-0000-0000-0000CB070000}"/>
    <cellStyle name="Ç¥ÁØ_H1VSXGÃßÁ¤¿ø´ÜÀ§_¿ø´ÜÀ§ _Dr inr comple 요약_VIL_WS_비교원가_110708" xfId="2108" xr:uid="{00000000-0005-0000-0000-0000CC070000}"/>
    <cellStyle name="C￥AØ_H1VSXGAßA¤¿ø´UA§_¿ø´UA§ _JB 차체부품 원가계산 대책(보고完-04.10.04)" xfId="2109" xr:uid="{00000000-0005-0000-0000-0000CD070000}"/>
    <cellStyle name="Ç¥ÁØ_H1VSXGÃßÁ¤¿ø´ÜÀ§_¿ø´ÜÀ§ _JB 차체부품 원가계산 대책(보고完-04.10.04)" xfId="2110" xr:uid="{00000000-0005-0000-0000-0000CE070000}"/>
    <cellStyle name="C￥AØ_H1VSXGAßA¤¿ø´UA§_¿ø´UA§ _TB차체부품외주화원가검토0007" xfId="2111" xr:uid="{00000000-0005-0000-0000-0000CF070000}"/>
    <cellStyle name="Ç¥ÁØ_H1VSXGÃßÁ¤¿ø´ÜÀ§_¿ø´ÜÀ§ _TB차체부품외주화원가검토0007" xfId="2112" xr:uid="{00000000-0005-0000-0000-0000D0070000}"/>
    <cellStyle name="C￥AØ_H1VSXGAßA¤¿ø´UA§_¿ø´UA§ _카니발부품국산화개발방안-회장님(030616" xfId="2113" xr:uid="{00000000-0005-0000-0000-0000D1070000}"/>
    <cellStyle name="Ç¥ÁØ_H1VSXGÃßÁ¤¿ø´ÜÀ§_¿ø´ÜÀ§ _카니발부품국산화개발방안-회장님(030616" xfId="2114" xr:uid="{00000000-0005-0000-0000-0000D2070000}"/>
    <cellStyle name="C￥AØ_H1VSXGAßA¤¿ø´UA§_¿ø´UA§ _카니발부품국산화개발방안-회장님(030616 2" xfId="2115" xr:uid="{00000000-0005-0000-0000-0000D3070000}"/>
    <cellStyle name="Ç¥ÁØ_H1VSXGÃßÁ¤¿ø´ÜÀ§_¿ø´ÜÀ§ _카니발부품국산화개발방안-회장님(030616 2" xfId="2116" xr:uid="{00000000-0005-0000-0000-0000D4070000}"/>
    <cellStyle name="C￥AØ_H1VSXGAßA¤¿ø´UA§_¿ø´UA§ _카니발부품국산화개발방안-회장님(030616 3" xfId="2117" xr:uid="{00000000-0005-0000-0000-0000D5070000}"/>
    <cellStyle name="Ç¥ÁØ_H1VSXGÃßÁ¤¿ø´ÜÀ§_¿ø´ÜÀ§ _카니발부품국산화개발방안-회장님(030616 3" xfId="2118" xr:uid="{00000000-0005-0000-0000-0000D6070000}"/>
    <cellStyle name="C￥AØ_H1VSXGAßA¤¿ø´UA§_¿ø´UA§ _카니발부품국산화개발방안-회장님(030616 4" xfId="2119" xr:uid="{00000000-0005-0000-0000-0000D7070000}"/>
    <cellStyle name="Ç¥ÁØ_H1VSXGÃßÁ¤¿ø´ÜÀ§_¿ø´ÜÀ§ _카니발부품국산화개발방안-회장님(030616 4" xfId="2120" xr:uid="{00000000-0005-0000-0000-0000D8070000}"/>
    <cellStyle name="C￥AØ_HMCAo°ø_금형견적" xfId="2121" xr:uid="{00000000-0005-0000-0000-0000D9070000}"/>
    <cellStyle name="Ç¥ÁØ_KD LIST_¿ø´ÜÀ§ " xfId="2122" xr:uid="{00000000-0005-0000-0000-0000DA070000}"/>
    <cellStyle name="C￥AØ_KD LIST_¿ø´UA§ _TB차체부품외주화원가검토0007" xfId="2123" xr:uid="{00000000-0005-0000-0000-0000DB070000}"/>
    <cellStyle name="Ç¥ÁØ_KD LIST_¿ø´ÜÀ§ _TB차체부품외주화원가검토0007" xfId="2124" xr:uid="{00000000-0005-0000-0000-0000DC070000}"/>
    <cellStyle name="C￥AØ_KD LIST_¿ø´UA§ _카니발부품국산화개발방안-회장님(030616" xfId="2125" xr:uid="{00000000-0005-0000-0000-0000DD070000}"/>
    <cellStyle name="Ç¥ÁØ_KD LIST_¿ø´ÜÀ§ _카니발부품국산화개발방안-회장님(030616" xfId="2126" xr:uid="{00000000-0005-0000-0000-0000DE070000}"/>
    <cellStyle name="C￥AØ_KD LIST_¿ø´UA§ _카니발부품국산화개발방안-회장님(030616 2" xfId="2127" xr:uid="{00000000-0005-0000-0000-0000DF070000}"/>
    <cellStyle name="Ç¥ÁØ_KD LIST_¿ø´ÜÀ§ _카니발부품국산화개발방안-회장님(030616 2" xfId="2128" xr:uid="{00000000-0005-0000-0000-0000E0070000}"/>
    <cellStyle name="C￥AØ_KD LIST_¿ø´UA§ _카니발부품국산화개발방안-회장님(030616 3" xfId="2129" xr:uid="{00000000-0005-0000-0000-0000E1070000}"/>
    <cellStyle name="Ç¥ÁØ_KD LIST_¿ø´ÜÀ§ _카니발부품국산화개발방안-회장님(030616 3" xfId="2130" xr:uid="{00000000-0005-0000-0000-0000E2070000}"/>
    <cellStyle name="C￥AØ_KD LIST_¿ø´UA§ _카니발부품국산화개발방안-회장님(030616 4" xfId="2131" xr:uid="{00000000-0005-0000-0000-0000E3070000}"/>
    <cellStyle name="Ç¥ÁØ_KD LIST_¿ø´ÜÀ§ _카니발부품국산화개발방안-회장님(030616 4" xfId="2132" xr:uid="{00000000-0005-0000-0000-0000E4070000}"/>
    <cellStyle name="C￥AØ_KD LIST_AuEA A÷AIºn±³ " xfId="2133" xr:uid="{00000000-0005-0000-0000-0000E5070000}"/>
    <cellStyle name="Ç¥ÁØ_KD LIST_ÀüÈÄ Â÷ÀÌºñ±³ " xfId="2134" xr:uid="{00000000-0005-0000-0000-0000E6070000}"/>
    <cellStyle name="C￥AØ_KD LIST_AuEA A÷AIºn±³ _Book2" xfId="2135" xr:uid="{00000000-0005-0000-0000-0000E7070000}"/>
    <cellStyle name="Ç¥ÁØ_KD LIST_ÀüÈÄ Â÷ÀÌºñ±³ _Book2" xfId="2136" xr:uid="{00000000-0005-0000-0000-0000E8070000}"/>
    <cellStyle name="C￥AØ_KD LIST_AuEA A÷AIºn±³ _Dr inr comple 요약" xfId="2137" xr:uid="{00000000-0005-0000-0000-0000E9070000}"/>
    <cellStyle name="Ç¥ÁØ_KD LIST_ÀüÈÄ Â÷ÀÌºñ±³ _Dr inr comple 요약" xfId="2138" xr:uid="{00000000-0005-0000-0000-0000EA070000}"/>
    <cellStyle name="C￥AØ_KD LIST_AuEA A÷AIºn±³ _Dr inr comple 요약 2" xfId="2139" xr:uid="{00000000-0005-0000-0000-0000EB070000}"/>
    <cellStyle name="Ç¥ÁØ_KD LIST_ÀüÈÄ Â÷ÀÌºñ±³ _Dr inr comple 요약 2" xfId="2140" xr:uid="{00000000-0005-0000-0000-0000EC070000}"/>
    <cellStyle name="C￥AØ_KD LIST_AuEA A÷AIºn±³ _Dr inr comple 요약 3" xfId="2141" xr:uid="{00000000-0005-0000-0000-0000ED070000}"/>
    <cellStyle name="Ç¥ÁØ_KD LIST_ÀüÈÄ Â÷ÀÌºñ±³ _Dr inr comple 요약 3" xfId="2142" xr:uid="{00000000-0005-0000-0000-0000EE070000}"/>
    <cellStyle name="C￥AØ_KD LIST_AuEA A÷AIºn±³ _Dr inr comple 요약 4" xfId="2143" xr:uid="{00000000-0005-0000-0000-0000EF070000}"/>
    <cellStyle name="Ç¥ÁØ_KD LIST_ÀüÈÄ Â÷ÀÌºñ±³ _Dr inr comple 요약 4" xfId="2144" xr:uid="{00000000-0005-0000-0000-0000F0070000}"/>
    <cellStyle name="C￥AØ_KD LIST_AuEA A÷AIºn±³ _Dr inr comple 요약_■EN_BS_비교원가,원재료인상_110621" xfId="2145" xr:uid="{00000000-0005-0000-0000-0000F1070000}"/>
    <cellStyle name="Ç¥ÁØ_KD LIST_ÀüÈÄ Â÷ÀÌºñ±³ _Dr inr comple 요약_■EN_BS_비교원가,원재료인상_110621" xfId="2146" xr:uid="{00000000-0005-0000-0000-0000F2070000}"/>
    <cellStyle name="C￥AØ_KD LIST_AuEA A÷AIºn±³ _Dr inr comple 요약_■EN_BS_비교원가,원재료인상_110621 2" xfId="2147" xr:uid="{00000000-0005-0000-0000-0000F3070000}"/>
    <cellStyle name="Ç¥ÁØ_KD LIST_ÀüÈÄ Â÷ÀÌºñ±³ _Dr inr comple 요약_■EN_BS_비교원가,원재료인상_110621 2" xfId="2148" xr:uid="{00000000-0005-0000-0000-0000F4070000}"/>
    <cellStyle name="C￥AØ_KD LIST_AuEA A÷AIºn±³ _Dr inr comple 요약_■EN_BS_비교원가,원재료인상_110621 3" xfId="2149" xr:uid="{00000000-0005-0000-0000-0000F5070000}"/>
    <cellStyle name="Ç¥ÁØ_KD LIST_ÀüÈÄ Â÷ÀÌºñ±³ _Dr inr comple 요약_■EN_BS_비교원가,원재료인상_110621 3" xfId="2150" xr:uid="{00000000-0005-0000-0000-0000F6070000}"/>
    <cellStyle name="C￥AØ_KD LIST_AuEA A÷AIºn±³ _Dr inr comple 요약_■EN_BS_비교원가,원재료인상_110621 4" xfId="2151" xr:uid="{00000000-0005-0000-0000-0000F7070000}"/>
    <cellStyle name="Ç¥ÁØ_KD LIST_ÀüÈÄ Â÷ÀÌºñ±³ _Dr inr comple 요약_■EN_BS_비교원가,원재료인상_110621 4" xfId="2152" xr:uid="{00000000-0005-0000-0000-0000F8070000}"/>
    <cellStyle name="C￥AØ_KD LIST_AuEA A÷AIºn±³ _Dr inr comple 요약_110810_UB_도아_바디웨자_초도가_(화승R&amp;A)" xfId="2153" xr:uid="{00000000-0005-0000-0000-0000F9070000}"/>
    <cellStyle name="Ç¥ÁØ_KD LIST_ÀüÈÄ Â÷ÀÌºñ±³ _Dr inr comple 요약_110810_UB_도아_바디웨자_초도가_(화승R&amp;A)" xfId="2154" xr:uid="{00000000-0005-0000-0000-0000FA070000}"/>
    <cellStyle name="C￥AØ_KD LIST_AuEA A÷AIºn±³ _Dr inr comple 요약_110810_철판 SCRAP조정_자동_화승R&amp;A" xfId="2155" xr:uid="{00000000-0005-0000-0000-0000FB070000}"/>
    <cellStyle name="Ç¥ÁØ_KD LIST_ÀüÈÄ Â÷ÀÌºñ±³ _Dr inr comple 요약_110810_철판 SCRAP조정_자동_화승R&amp;A" xfId="2156" xr:uid="{00000000-0005-0000-0000-0000FC070000}"/>
    <cellStyle name="C￥AØ_KD LIST_AuEA A÷AIºn±³ _Dr inr comple 요약_110810_철판 SCRAP조정_자동_화승R&amp;A 2" xfId="2157" xr:uid="{00000000-0005-0000-0000-0000FD070000}"/>
    <cellStyle name="Ç¥ÁØ_KD LIST_ÀüÈÄ Â÷ÀÌºñ±³ _Dr inr comple 요약_110810_철판 SCRAP조정_자동_화승R&amp;A 2" xfId="2158" xr:uid="{00000000-0005-0000-0000-0000FE070000}"/>
    <cellStyle name="C￥AØ_KD LIST_AuEA A÷AIºn±³ _Dr inr comple 요약_110810_철판 SCRAP조정_자동_화승R&amp;A 3" xfId="2159" xr:uid="{00000000-0005-0000-0000-0000FF070000}"/>
    <cellStyle name="Ç¥ÁØ_KD LIST_ÀüÈÄ Â÷ÀÌºñ±³ _Dr inr comple 요약_110810_철판 SCRAP조정_자동_화승R&amp;A 3" xfId="2160" xr:uid="{00000000-0005-0000-0000-000000080000}"/>
    <cellStyle name="C￥AØ_KD LIST_AuEA A÷AIºn±³ _Dr inr comple 요약_110810_철판 SCRAP조정_자동_화승R&amp;A 4" xfId="2161" xr:uid="{00000000-0005-0000-0000-000001080000}"/>
    <cellStyle name="Ç¥ÁØ_KD LIST_ÀüÈÄ Â÷ÀÌºñ±³ _Dr inr comple 요약_110810_철판 SCRAP조정_자동_화승R&amp;A 4" xfId="2162" xr:uid="{00000000-0005-0000-0000-000002080000}"/>
    <cellStyle name="C￥AØ_KD LIST_AuEA A÷AIºn±³ _Dr inr comple 요약_AM_WS_운반비_110708" xfId="2163" xr:uid="{00000000-0005-0000-0000-000003080000}"/>
    <cellStyle name="Ç¥ÁØ_KD LIST_ÀüÈÄ Â÷ÀÌºñ±³ _Dr inr comple 요약_AM_WS_운반비_110708" xfId="2164" xr:uid="{00000000-0005-0000-0000-000004080000}"/>
    <cellStyle name="C￥AØ_KD LIST_AuEA A÷AIºn±³ _Dr inr comple 요약_AM_WS_운반비_110708 2" xfId="2165" xr:uid="{00000000-0005-0000-0000-000005080000}"/>
    <cellStyle name="Ç¥ÁØ_KD LIST_ÀüÈÄ Â÷ÀÌºñ±³ _Dr inr comple 요약_AM_WS_운반비_110708 2" xfId="2166" xr:uid="{00000000-0005-0000-0000-000006080000}"/>
    <cellStyle name="C￥AØ_KD LIST_AuEA A÷AIºn±³ _Dr inr comple 요약_AM_WS_운반비_110708 3" xfId="2167" xr:uid="{00000000-0005-0000-0000-000007080000}"/>
    <cellStyle name="Ç¥ÁØ_KD LIST_ÀüÈÄ Â÷ÀÌºñ±³ _Dr inr comple 요약_AM_WS_운반비_110708 3" xfId="2168" xr:uid="{00000000-0005-0000-0000-000008080000}"/>
    <cellStyle name="C￥AØ_KD LIST_AuEA A÷AIºn±³ _Dr inr comple 요약_AM_WS_운반비_110708 4" xfId="2169" xr:uid="{00000000-0005-0000-0000-000009080000}"/>
    <cellStyle name="Ç¥ÁØ_KD LIST_ÀüÈÄ Â÷ÀÌºñ±³ _Dr inr comple 요약_AM_WS_운반비_110708 4" xfId="2170" xr:uid="{00000000-0005-0000-0000-00000A080000}"/>
    <cellStyle name="C￥AØ_KD LIST_AuEA A÷AIºn±³ _Dr inr comple 요약_Book2" xfId="2171" xr:uid="{00000000-0005-0000-0000-00000B080000}"/>
    <cellStyle name="Ç¥ÁØ_KD LIST_ÀüÈÄ Â÷ÀÌºñ±³ _Dr inr comple 요약_Book2" xfId="2172" xr:uid="{00000000-0005-0000-0000-00000C080000}"/>
    <cellStyle name="C￥AØ_KD LIST_AuEA A÷AIºn±³ _Dr inr comple 요약_KMC_UB_단면적,코팅길이_110218" xfId="2173" xr:uid="{00000000-0005-0000-0000-00000D080000}"/>
    <cellStyle name="Ç¥ÁØ_KD LIST_ÀüÈÄ Â÷ÀÌºñ±³ _Dr inr comple 요약_KMC_UB_단면적,코팅길이_110218" xfId="2174" xr:uid="{00000000-0005-0000-0000-00000E080000}"/>
    <cellStyle name="C￥AØ_KD LIST_AuEA A÷AIºn±³ _Dr inr comple 요약_KMC_UB_단면적,코팅길이_110218 2" xfId="2175" xr:uid="{00000000-0005-0000-0000-00000F080000}"/>
    <cellStyle name="Ç¥ÁØ_KD LIST_ÀüÈÄ Â÷ÀÌºñ±³ _Dr inr comple 요약_KMC_UB_단면적,코팅길이_110218 2" xfId="2176" xr:uid="{00000000-0005-0000-0000-000010080000}"/>
    <cellStyle name="C￥AØ_KD LIST_AuEA A÷AIºn±³ _Dr inr comple 요약_KMC_UB_단면적,코팅길이_110218 3" xfId="2177" xr:uid="{00000000-0005-0000-0000-000011080000}"/>
    <cellStyle name="Ç¥ÁØ_KD LIST_ÀüÈÄ Â÷ÀÌºñ±³ _Dr inr comple 요약_KMC_UB_단면적,코팅길이_110218 3" xfId="2178" xr:uid="{00000000-0005-0000-0000-000012080000}"/>
    <cellStyle name="C￥AØ_KD LIST_AuEA A÷AIºn±³ _Dr inr comple 요약_KMC_UB_단면적,코팅길이_110218 4" xfId="2179" xr:uid="{00000000-0005-0000-0000-000013080000}"/>
    <cellStyle name="Ç¥ÁØ_KD LIST_ÀüÈÄ Â÷ÀÌºñ±³ _Dr inr comple 요약_KMC_UB_단면적,코팅길이_110218 4" xfId="2180" xr:uid="{00000000-0005-0000-0000-000014080000}"/>
    <cellStyle name="C￥AØ_KD LIST_AuEA A÷AIºn±³ _Dr inr comple 요약_KMC_UB_조인트중량,조인트길이_110214" xfId="2181" xr:uid="{00000000-0005-0000-0000-000015080000}"/>
    <cellStyle name="Ç¥ÁØ_KD LIST_ÀüÈÄ Â÷ÀÌºñ±³ _Dr inr comple 요약_KMC_UB_조인트중량,조인트길이_110214" xfId="2182" xr:uid="{00000000-0005-0000-0000-000016080000}"/>
    <cellStyle name="C￥AØ_KD LIST_AuEA A÷AIºn±³ _Dr inr comple 요약_KMC_UB_조인트중량,조인트길이_110214 2" xfId="2183" xr:uid="{00000000-0005-0000-0000-000017080000}"/>
    <cellStyle name="Ç¥ÁØ_KD LIST_ÀüÈÄ Â÷ÀÌºñ±³ _Dr inr comple 요약_KMC_UB_조인트중량,조인트길이_110214 2" xfId="2184" xr:uid="{00000000-0005-0000-0000-000018080000}"/>
    <cellStyle name="C￥AØ_KD LIST_AuEA A÷AIºn±³ _Dr inr comple 요약_KMC_UB_조인트중량,조인트길이_110214 3" xfId="2185" xr:uid="{00000000-0005-0000-0000-000019080000}"/>
    <cellStyle name="Ç¥ÁØ_KD LIST_ÀüÈÄ Â÷ÀÌºñ±³ _Dr inr comple 요약_KMC_UB_조인트중량,조인트길이_110214 3" xfId="2186" xr:uid="{00000000-0005-0000-0000-00001A080000}"/>
    <cellStyle name="C￥AØ_KD LIST_AuEA A÷AIºn±³ _Dr inr comple 요약_KMC_UB_조인트중량,조인트길이_110214 4" xfId="2187" xr:uid="{00000000-0005-0000-0000-00001B080000}"/>
    <cellStyle name="Ç¥ÁØ_KD LIST_ÀüÈÄ Â÷ÀÌºñ±³ _Dr inr comple 요약_KMC_UB_조인트중량,조인트길이_110214 4" xfId="2188" xr:uid="{00000000-0005-0000-0000-00001C080000}"/>
    <cellStyle name="C￥AØ_KD LIST_AuEA A÷AIºn±³ _Dr inr comple 요약_RBk(5DR)_GR_비교원가,원재료인상_110607" xfId="2189" xr:uid="{00000000-0005-0000-0000-00001D080000}"/>
    <cellStyle name="Ç¥ÁØ_KD LIST_ÀüÈÄ Â÷ÀÌºñ±³ _Dr inr comple 요약_RBk(5DR)_GR_비교원가,원재료인상_110607" xfId="2190" xr:uid="{00000000-0005-0000-0000-00001E080000}"/>
    <cellStyle name="C￥AØ_KD LIST_AuEA A÷AIºn±³ _Dr inr comple 요약_RBk(5DR)_GR_비교원가,원재료인상_110607 2" xfId="2191" xr:uid="{00000000-0005-0000-0000-00001F080000}"/>
    <cellStyle name="Ç¥ÁØ_KD LIST_ÀüÈÄ Â÷ÀÌºñ±³ _Dr inr comple 요약_RBk(5DR)_GR_비교원가,원재료인상_110607 2" xfId="2192" xr:uid="{00000000-0005-0000-0000-000020080000}"/>
    <cellStyle name="C￥AØ_KD LIST_AuEA A÷AIºn±³ _Dr inr comple 요약_RBk(5DR)_GR_비교원가,원재료인상_110607 3" xfId="2193" xr:uid="{00000000-0005-0000-0000-000021080000}"/>
    <cellStyle name="Ç¥ÁØ_KD LIST_ÀüÈÄ Â÷ÀÌºñ±³ _Dr inr comple 요약_RBk(5DR)_GR_비교원가,원재료인상_110607 3" xfId="2194" xr:uid="{00000000-0005-0000-0000-000022080000}"/>
    <cellStyle name="C￥AØ_KD LIST_AuEA A÷AIºn±³ _Dr inr comple 요약_RBk(5DR)_GR_비교원가,원재료인상_110607 4" xfId="2195" xr:uid="{00000000-0005-0000-0000-000023080000}"/>
    <cellStyle name="Ç¥ÁØ_KD LIST_ÀüÈÄ Â÷ÀÌºñ±³ _Dr inr comple 요약_RBk(5DR)_GR_비교원가,원재료인상_110607 4" xfId="2196" xr:uid="{00000000-0005-0000-0000-000024080000}"/>
    <cellStyle name="C￥AØ_KD LIST_AuEA A÷AIºn±³ _Dr inr comple 요약_VIL_WS_비교원가_110708" xfId="2197" xr:uid="{00000000-0005-0000-0000-000025080000}"/>
    <cellStyle name="Ç¥ÁØ_KD LIST_ÀüÈÄ Â÷ÀÌºñ±³ _Dr inr comple 요약_VIL_WS_비교원가_110708" xfId="2198" xr:uid="{00000000-0005-0000-0000-000026080000}"/>
    <cellStyle name="C￥AØ_KD LIST_AuEA A÷AIºn±³ _JB 차체부품 원가계산 대책(보고完-04.10.04)" xfId="2199" xr:uid="{00000000-0005-0000-0000-000027080000}"/>
    <cellStyle name="Ç¥ÁØ_KD LIST_ÀüÈÄ Â÷ÀÌºñ±³ _JB 차체부품 원가계산 대책(보고完-04.10.04)" xfId="2200" xr:uid="{00000000-0005-0000-0000-000028080000}"/>
    <cellStyle name="C￥AØ_KD LIST_AuEA A÷AIºn±³ _TB차체부품외주화원가검토0007" xfId="2201" xr:uid="{00000000-0005-0000-0000-000029080000}"/>
    <cellStyle name="Ç¥ÁØ_KD LIST_ÀüÈÄ Â÷ÀÌºñ±³ _TB차체부품외주화원가검토0007" xfId="2202" xr:uid="{00000000-0005-0000-0000-00002A080000}"/>
    <cellStyle name="C￥AØ_KD LIST_AuEA A÷AIºn±³ _카니발부품국산화개발방안-회장님(030616" xfId="2203" xr:uid="{00000000-0005-0000-0000-00002B080000}"/>
    <cellStyle name="Ç¥ÁØ_KD LIST_ÀüÈÄ Â÷ÀÌºñ±³ _카니발부품국산화개발방안-회장님(030616" xfId="2204" xr:uid="{00000000-0005-0000-0000-00002C080000}"/>
    <cellStyle name="C￥AØ_KD LIST_AuEA A÷AIºn±³ _카니발부품국산화개발방안-회장님(030616 2" xfId="2205" xr:uid="{00000000-0005-0000-0000-00002D080000}"/>
    <cellStyle name="Ç¥ÁØ_KD LIST_ÀüÈÄ Â÷ÀÌºñ±³ _카니발부품국산화개발방안-회장님(030616 2" xfId="2206" xr:uid="{00000000-0005-0000-0000-00002E080000}"/>
    <cellStyle name="C￥AØ_KD LIST_AuEA A÷AIºn±³ _카니발부품국산화개발방안-회장님(030616 3" xfId="2207" xr:uid="{00000000-0005-0000-0000-00002F080000}"/>
    <cellStyle name="Ç¥ÁØ_KD LIST_ÀüÈÄ Â÷ÀÌºñ±³ _카니발부품국산화개발방안-회장님(030616 3" xfId="2208" xr:uid="{00000000-0005-0000-0000-000030080000}"/>
    <cellStyle name="C￥AØ_KD LIST_AuEA A÷AIºn±³ _카니발부품국산화개발방안-회장님(030616 4" xfId="2209" xr:uid="{00000000-0005-0000-0000-000031080000}"/>
    <cellStyle name="Ç¥ÁØ_KD LIST_ÀüÈÄ Â÷ÀÌºñ±³ _카니발부품국산화개발방안-회장님(030616 4" xfId="2210" xr:uid="{00000000-0005-0000-0000-000032080000}"/>
    <cellStyle name="C￥AØ_KPI¾÷A¼ " xfId="2211" xr:uid="{00000000-0005-0000-0000-000033080000}"/>
    <cellStyle name="Ç¥ÁØ_laroux_°³¹ßÀÏÁ¤ " xfId="2212" xr:uid="{00000000-0005-0000-0000-000034080000}"/>
    <cellStyle name="C￥AØ_laroux_°³¹ßAIA¤  (2)_°³¹ßAIA¤ " xfId="2213" xr:uid="{00000000-0005-0000-0000-000035080000}"/>
    <cellStyle name="Ç¥ÁØ_laroux_°³¹ßÀÏÁ¤  (2)_°³¹ßÀÏÁ¤ " xfId="2214" xr:uid="{00000000-0005-0000-0000-000036080000}"/>
    <cellStyle name="C￥AØ_laroux_°³¹ßAIA¤  (2)_°³¹ßAIA¤ _설비현황" xfId="2215" xr:uid="{00000000-0005-0000-0000-000037080000}"/>
    <cellStyle name="Ç¥ÁØ_laroux_°³¹ßÀÏÁ¤  (2)_°³¹ßÀÏÁ¤ _설비현황" xfId="2216" xr:uid="{00000000-0005-0000-0000-000038080000}"/>
    <cellStyle name="C￥AØ_laroux_°³¹ßAIA¤  (2)_°³¹ßAIA¤ _수정북경사업계획서(040615)" xfId="2217" xr:uid="{00000000-0005-0000-0000-000039080000}"/>
    <cellStyle name="Ç¥ÁØ_laroux_°³¹ßÀÏÁ¤  (2)_°³¹ßÀÏÁ¤ _수정북경사업계획서(040615)" xfId="2218" xr:uid="{00000000-0005-0000-0000-00003A080000}"/>
    <cellStyle name="C￥AØ_laroux_°³¹ßAIA¤  (2)_°³¹ßAIA¤ _수정북경사업계획서(040615) 2" xfId="2219" xr:uid="{00000000-0005-0000-0000-00003B080000}"/>
    <cellStyle name="Ç¥ÁØ_laroux_°³¹ßÀÏÁ¤  (2)_°³¹ßÀÏÁ¤ _수정북경사업계획서(040615) 2" xfId="2220" xr:uid="{00000000-0005-0000-0000-00003C080000}"/>
    <cellStyle name="C￥AØ_laroux_°³¹ßAIA¤  (2)_°³¹ßAIA¤ _수정북경사업계획서(040615) 3" xfId="2221" xr:uid="{00000000-0005-0000-0000-00003D080000}"/>
    <cellStyle name="Ç¥ÁØ_laroux_°³¹ßÀÏÁ¤  (2)_°³¹ßÀÏÁ¤ _수정북경사업계획서(040615) 3" xfId="2222" xr:uid="{00000000-0005-0000-0000-00003E080000}"/>
    <cellStyle name="C￥AØ_laroux_°³¹ßAIA¤  (2)_°³¹ßAIA¤ _수정북경사업계획서(040615) 4" xfId="2223" xr:uid="{00000000-0005-0000-0000-00003F080000}"/>
    <cellStyle name="Ç¥ÁØ_laroux_°³¹ßÀÏÁ¤  (2)_°³¹ßÀÏÁ¤ _수정북경사업계획서(040615) 4" xfId="2224" xr:uid="{00000000-0005-0000-0000-000040080000}"/>
    <cellStyle name="C￥AØ_laroux_1" xfId="2225" xr:uid="{00000000-0005-0000-0000-000041080000}"/>
    <cellStyle name="Ç¥ÁØ_laroux_1" xfId="2226" xr:uid="{00000000-0005-0000-0000-000042080000}"/>
    <cellStyle name="C￥AØ_laroux_1_°³¹ßAIA¤ " xfId="2227" xr:uid="{00000000-0005-0000-0000-000043080000}"/>
    <cellStyle name="Ç¥ÁØ_laroux_1_°³¹ßÀÏÁ¤ " xfId="2228" xr:uid="{00000000-0005-0000-0000-000044080000}"/>
    <cellStyle name="C￥AØ_laroux_1_laroux_비교원가" xfId="2229" xr:uid="{00000000-0005-0000-0000-000045080000}"/>
    <cellStyle name="Ç¥ÁØ_laroux_2" xfId="2230" xr:uid="{00000000-0005-0000-0000-000046080000}"/>
    <cellStyle name="C￥AØ_laroux_2_°³¹ßAIA¤ " xfId="2231" xr:uid="{00000000-0005-0000-0000-000047080000}"/>
    <cellStyle name="Ç¥ÁØ_laroux_2_°³¹ßÀÏÁ¤ " xfId="2232" xr:uid="{00000000-0005-0000-0000-000048080000}"/>
    <cellStyle name="C￥AØ_laroux_2_laroux_비교원가" xfId="2233" xr:uid="{00000000-0005-0000-0000-000049080000}"/>
    <cellStyle name="Ç¥ÁØ_laroux_3" xfId="2234" xr:uid="{00000000-0005-0000-0000-00004A080000}"/>
    <cellStyle name="C￥AØ_laroux_3_PAGE1 " xfId="2235" xr:uid="{00000000-0005-0000-0000-00004B080000}"/>
    <cellStyle name="Ç¥ÁØ_laroux_4" xfId="2236" xr:uid="{00000000-0005-0000-0000-00004C080000}"/>
    <cellStyle name="C￥AØ_laroux_4_비교원가" xfId="2237" xr:uid="{00000000-0005-0000-0000-00004D080000}"/>
    <cellStyle name="Ç¥ÁØ_LX Â÷ÀÌºñ±³_¿ø´ÜÀ§ " xfId="2238" xr:uid="{00000000-0005-0000-0000-00004E080000}"/>
    <cellStyle name="C￥AØ_LX A÷AIºn±³_¿ø´UA§ _TB차체부품외주화원가검토0007" xfId="2239" xr:uid="{00000000-0005-0000-0000-00004F080000}"/>
    <cellStyle name="Ç¥ÁØ_LX Â÷ÀÌºñ±³_¿ø´ÜÀ§ _TB차체부품외주화원가검토0007" xfId="2240" xr:uid="{00000000-0005-0000-0000-000050080000}"/>
    <cellStyle name="C￥AØ_LX A÷AIºn±³_AuEA A÷AIºn±³ " xfId="2241" xr:uid="{00000000-0005-0000-0000-000051080000}"/>
    <cellStyle name="Ç¥ÁØ_LX Â÷ÀÌºñ±³_ÀüÈÄ Â÷ÀÌºñ±³ " xfId="2242" xr:uid="{00000000-0005-0000-0000-000052080000}"/>
    <cellStyle name="C￥AØ_LX A÷AIºn±³_AuEA A÷AIºn±³ _Book2" xfId="2243" xr:uid="{00000000-0005-0000-0000-000053080000}"/>
    <cellStyle name="Ç¥ÁØ_LX Â÷ÀÌºñ±³_ÀüÈÄ Â÷ÀÌºñ±³ _Book2" xfId="2244" xr:uid="{00000000-0005-0000-0000-000054080000}"/>
    <cellStyle name="C￥AØ_LX A÷AIºn±³_AuEA A÷AIºn±³ _Dr inr comple 요약" xfId="2245" xr:uid="{00000000-0005-0000-0000-000055080000}"/>
    <cellStyle name="Ç¥ÁØ_LX Â÷ÀÌºñ±³_ÀüÈÄ Â÷ÀÌºñ±³ _Dr inr comple 요약" xfId="2246" xr:uid="{00000000-0005-0000-0000-000056080000}"/>
    <cellStyle name="C￥AØ_LX A÷AIºn±³_AuEA A÷AIºn±³ _Dr inr comple 요약 2" xfId="2247" xr:uid="{00000000-0005-0000-0000-000057080000}"/>
    <cellStyle name="Ç¥ÁØ_LX Â÷ÀÌºñ±³_ÀüÈÄ Â÷ÀÌºñ±³ _Dr inr comple 요약 2" xfId="2248" xr:uid="{00000000-0005-0000-0000-000058080000}"/>
    <cellStyle name="C￥AØ_LX A÷AIºn±³_AuEA A÷AIºn±³ _Dr inr comple 요약 3" xfId="2249" xr:uid="{00000000-0005-0000-0000-000059080000}"/>
    <cellStyle name="Ç¥ÁØ_LX Â÷ÀÌºñ±³_ÀüÈÄ Â÷ÀÌºñ±³ _Dr inr comple 요약 3" xfId="2250" xr:uid="{00000000-0005-0000-0000-00005A080000}"/>
    <cellStyle name="C￥AØ_LX A÷AIºn±³_AuEA A÷AIºn±³ _Dr inr comple 요약 4" xfId="2251" xr:uid="{00000000-0005-0000-0000-00005B080000}"/>
    <cellStyle name="Ç¥ÁØ_LX Â÷ÀÌºñ±³_ÀüÈÄ Â÷ÀÌºñ±³ _Dr inr comple 요약 4" xfId="2252" xr:uid="{00000000-0005-0000-0000-00005C080000}"/>
    <cellStyle name="C￥AØ_LX A÷AIºn±³_AuEA A÷AIºn±³ _Dr inr comple 요약_■EN_BS_비교원가,원재료인상_110621" xfId="2253" xr:uid="{00000000-0005-0000-0000-00005D080000}"/>
    <cellStyle name="Ç¥ÁØ_LX Â÷ÀÌºñ±³_ÀüÈÄ Â÷ÀÌºñ±³ _Dr inr comple 요약_■EN_BS_비교원가,원재료인상_110621" xfId="2254" xr:uid="{00000000-0005-0000-0000-00005E080000}"/>
    <cellStyle name="C￥AØ_LX A÷AIºn±³_AuEA A÷AIºn±³ _Dr inr comple 요약_■EN_BS_비교원가,원재료인상_110621 2" xfId="2255" xr:uid="{00000000-0005-0000-0000-00005F080000}"/>
    <cellStyle name="Ç¥ÁØ_LX Â÷ÀÌºñ±³_ÀüÈÄ Â÷ÀÌºñ±³ _Dr inr comple 요약_■EN_BS_비교원가,원재료인상_110621 2" xfId="2256" xr:uid="{00000000-0005-0000-0000-000060080000}"/>
    <cellStyle name="C￥AØ_LX A÷AIºn±³_AuEA A÷AIºn±³ _Dr inr comple 요약_■EN_BS_비교원가,원재료인상_110621 3" xfId="2257" xr:uid="{00000000-0005-0000-0000-000061080000}"/>
    <cellStyle name="Ç¥ÁØ_LX Â÷ÀÌºñ±³_ÀüÈÄ Â÷ÀÌºñ±³ _Dr inr comple 요약_■EN_BS_비교원가,원재료인상_110621 3" xfId="2258" xr:uid="{00000000-0005-0000-0000-000062080000}"/>
    <cellStyle name="C￥AØ_LX A÷AIºn±³_AuEA A÷AIºn±³ _Dr inr comple 요약_■EN_BS_비교원가,원재료인상_110621 4" xfId="2259" xr:uid="{00000000-0005-0000-0000-000063080000}"/>
    <cellStyle name="Ç¥ÁØ_LX Â÷ÀÌºñ±³_ÀüÈÄ Â÷ÀÌºñ±³ _Dr inr comple 요약_■EN_BS_비교원가,원재료인상_110621 4" xfId="2260" xr:uid="{00000000-0005-0000-0000-000064080000}"/>
    <cellStyle name="C￥AØ_LX A÷AIºn±³_AuEA A÷AIºn±³ _Dr inr comple 요약_110810_UB_도아_바디웨자_초도가_(화승R&amp;A)" xfId="2261" xr:uid="{00000000-0005-0000-0000-000065080000}"/>
    <cellStyle name="Ç¥ÁØ_LX Â÷ÀÌºñ±³_ÀüÈÄ Â÷ÀÌºñ±³ _Dr inr comple 요약_110810_UB_도아_바디웨자_초도가_(화승R&amp;A)" xfId="2262" xr:uid="{00000000-0005-0000-0000-000066080000}"/>
    <cellStyle name="C￥AØ_LX A÷AIºn±³_AuEA A÷AIºn±³ _Dr inr comple 요약_110810_철판 SCRAP조정_자동_화승R&amp;A" xfId="2263" xr:uid="{00000000-0005-0000-0000-000067080000}"/>
    <cellStyle name="Ç¥ÁØ_LX Â÷ÀÌºñ±³_ÀüÈÄ Â÷ÀÌºñ±³ _Dr inr comple 요약_110810_철판 SCRAP조정_자동_화승R&amp;A" xfId="2264" xr:uid="{00000000-0005-0000-0000-000068080000}"/>
    <cellStyle name="C￥AØ_LX A÷AIºn±³_AuEA A÷AIºn±³ _Dr inr comple 요약_110810_철판 SCRAP조정_자동_화승R&amp;A 2" xfId="2265" xr:uid="{00000000-0005-0000-0000-000069080000}"/>
    <cellStyle name="Ç¥ÁØ_LX Â÷ÀÌºñ±³_ÀüÈÄ Â÷ÀÌºñ±³ _Dr inr comple 요약_110810_철판 SCRAP조정_자동_화승R&amp;A 2" xfId="2266" xr:uid="{00000000-0005-0000-0000-00006A080000}"/>
    <cellStyle name="C￥AØ_LX A÷AIºn±³_AuEA A÷AIºn±³ _Dr inr comple 요약_110810_철판 SCRAP조정_자동_화승R&amp;A 3" xfId="2267" xr:uid="{00000000-0005-0000-0000-00006B080000}"/>
    <cellStyle name="Ç¥ÁØ_LX Â÷ÀÌºñ±³_ÀüÈÄ Â÷ÀÌºñ±³ _Dr inr comple 요약_110810_철판 SCRAP조정_자동_화승R&amp;A 3" xfId="2268" xr:uid="{00000000-0005-0000-0000-00006C080000}"/>
    <cellStyle name="C￥AØ_LX A÷AIºn±³_AuEA A÷AIºn±³ _Dr inr comple 요약_110810_철판 SCRAP조정_자동_화승R&amp;A 4" xfId="2269" xr:uid="{00000000-0005-0000-0000-00006D080000}"/>
    <cellStyle name="Ç¥ÁØ_LX Â÷ÀÌºñ±³_ÀüÈÄ Â÷ÀÌºñ±³ _Dr inr comple 요약_110810_철판 SCRAP조정_자동_화승R&amp;A 4" xfId="2270" xr:uid="{00000000-0005-0000-0000-00006E080000}"/>
    <cellStyle name="C￥AØ_LX A÷AIºn±³_AuEA A÷AIºn±³ _Dr inr comple 요약_AM_WS_운반비_110708" xfId="2271" xr:uid="{00000000-0005-0000-0000-00006F080000}"/>
    <cellStyle name="Ç¥ÁØ_LX Â÷ÀÌºñ±³_ÀüÈÄ Â÷ÀÌºñ±³ _Dr inr comple 요약_AM_WS_운반비_110708" xfId="2272" xr:uid="{00000000-0005-0000-0000-000070080000}"/>
    <cellStyle name="C￥AØ_LX A÷AIºn±³_AuEA A÷AIºn±³ _Dr inr comple 요약_AM_WS_운반비_110708 2" xfId="2273" xr:uid="{00000000-0005-0000-0000-000071080000}"/>
    <cellStyle name="Ç¥ÁØ_LX Â÷ÀÌºñ±³_ÀüÈÄ Â÷ÀÌºñ±³ _Dr inr comple 요약_AM_WS_운반비_110708 2" xfId="2274" xr:uid="{00000000-0005-0000-0000-000072080000}"/>
    <cellStyle name="C￥AØ_LX A÷AIºn±³_AuEA A÷AIºn±³ _Dr inr comple 요약_AM_WS_운반비_110708 3" xfId="2275" xr:uid="{00000000-0005-0000-0000-000073080000}"/>
    <cellStyle name="Ç¥ÁØ_LX Â÷ÀÌºñ±³_ÀüÈÄ Â÷ÀÌºñ±³ _Dr inr comple 요약_AM_WS_운반비_110708 3" xfId="2276" xr:uid="{00000000-0005-0000-0000-000074080000}"/>
    <cellStyle name="C￥AØ_LX A÷AIºn±³_AuEA A÷AIºn±³ _Dr inr comple 요약_AM_WS_운반비_110708 4" xfId="2277" xr:uid="{00000000-0005-0000-0000-000075080000}"/>
    <cellStyle name="Ç¥ÁØ_LX Â÷ÀÌºñ±³_ÀüÈÄ Â÷ÀÌºñ±³ _Dr inr comple 요약_AM_WS_운반비_110708 4" xfId="2278" xr:uid="{00000000-0005-0000-0000-000076080000}"/>
    <cellStyle name="C￥AØ_LX A÷AIºn±³_AuEA A÷AIºn±³ _Dr inr comple 요약_Book2" xfId="2279" xr:uid="{00000000-0005-0000-0000-000077080000}"/>
    <cellStyle name="Ç¥ÁØ_LX Â÷ÀÌºñ±³_ÀüÈÄ Â÷ÀÌºñ±³ _Dr inr comple 요약_Book2" xfId="2280" xr:uid="{00000000-0005-0000-0000-000078080000}"/>
    <cellStyle name="C￥AØ_LX A÷AIºn±³_AuEA A÷AIºn±³ _Dr inr comple 요약_KMC_UB_단면적,코팅길이_110218" xfId="2281" xr:uid="{00000000-0005-0000-0000-000079080000}"/>
    <cellStyle name="Ç¥ÁØ_LX Â÷ÀÌºñ±³_ÀüÈÄ Â÷ÀÌºñ±³ _Dr inr comple 요약_KMC_UB_단면적,코팅길이_110218" xfId="2282" xr:uid="{00000000-0005-0000-0000-00007A080000}"/>
    <cellStyle name="C￥AØ_LX A÷AIºn±³_AuEA A÷AIºn±³ _Dr inr comple 요약_KMC_UB_단면적,코팅길이_110218 2" xfId="2283" xr:uid="{00000000-0005-0000-0000-00007B080000}"/>
    <cellStyle name="Ç¥ÁØ_LX Â÷ÀÌºñ±³_ÀüÈÄ Â÷ÀÌºñ±³ _Dr inr comple 요약_KMC_UB_단면적,코팅길이_110218 2" xfId="2284" xr:uid="{00000000-0005-0000-0000-00007C080000}"/>
    <cellStyle name="C￥AØ_LX A÷AIºn±³_AuEA A÷AIºn±³ _Dr inr comple 요약_KMC_UB_단면적,코팅길이_110218 3" xfId="2285" xr:uid="{00000000-0005-0000-0000-00007D080000}"/>
    <cellStyle name="Ç¥ÁØ_LX Â÷ÀÌºñ±³_ÀüÈÄ Â÷ÀÌºñ±³ _Dr inr comple 요약_KMC_UB_단면적,코팅길이_110218 3" xfId="2286" xr:uid="{00000000-0005-0000-0000-00007E080000}"/>
    <cellStyle name="C￥AØ_LX A÷AIºn±³_AuEA A÷AIºn±³ _Dr inr comple 요약_KMC_UB_단면적,코팅길이_110218 4" xfId="2287" xr:uid="{00000000-0005-0000-0000-00007F080000}"/>
    <cellStyle name="Ç¥ÁØ_LX Â÷ÀÌºñ±³_ÀüÈÄ Â÷ÀÌºñ±³ _Dr inr comple 요약_KMC_UB_단면적,코팅길이_110218 4" xfId="2288" xr:uid="{00000000-0005-0000-0000-000080080000}"/>
    <cellStyle name="C￥AØ_LX A÷AIºn±³_AuEA A÷AIºn±³ _Dr inr comple 요약_KMC_UB_조인트중량,조인트길이_110214" xfId="2289" xr:uid="{00000000-0005-0000-0000-000081080000}"/>
    <cellStyle name="Ç¥ÁØ_LX Â÷ÀÌºñ±³_ÀüÈÄ Â÷ÀÌºñ±³ _Dr inr comple 요약_KMC_UB_조인트중량,조인트길이_110214" xfId="2290" xr:uid="{00000000-0005-0000-0000-000082080000}"/>
    <cellStyle name="C￥AØ_LX A÷AIºn±³_AuEA A÷AIºn±³ _Dr inr comple 요약_KMC_UB_조인트중량,조인트길이_110214 2" xfId="2291" xr:uid="{00000000-0005-0000-0000-000083080000}"/>
    <cellStyle name="Ç¥ÁØ_LX Â÷ÀÌºñ±³_ÀüÈÄ Â÷ÀÌºñ±³ _Dr inr comple 요약_KMC_UB_조인트중량,조인트길이_110214 2" xfId="2292" xr:uid="{00000000-0005-0000-0000-000084080000}"/>
    <cellStyle name="C￥AØ_LX A÷AIºn±³_AuEA A÷AIºn±³ _Dr inr comple 요약_KMC_UB_조인트중량,조인트길이_110214 3" xfId="2293" xr:uid="{00000000-0005-0000-0000-000085080000}"/>
    <cellStyle name="Ç¥ÁØ_LX Â÷ÀÌºñ±³_ÀüÈÄ Â÷ÀÌºñ±³ _Dr inr comple 요약_KMC_UB_조인트중량,조인트길이_110214 3" xfId="2294" xr:uid="{00000000-0005-0000-0000-000086080000}"/>
    <cellStyle name="C￥AØ_LX A÷AIºn±³_AuEA A÷AIºn±³ _Dr inr comple 요약_KMC_UB_조인트중량,조인트길이_110214 4" xfId="2295" xr:uid="{00000000-0005-0000-0000-000087080000}"/>
    <cellStyle name="Ç¥ÁØ_LX Â÷ÀÌºñ±³_ÀüÈÄ Â÷ÀÌºñ±³ _Dr inr comple 요약_KMC_UB_조인트중량,조인트길이_110214 4" xfId="2296" xr:uid="{00000000-0005-0000-0000-000088080000}"/>
    <cellStyle name="C￥AØ_LX A÷AIºn±³_AuEA A÷AIºn±³ _Dr inr comple 요약_RBk(5DR)_GR_비교원가,원재료인상_110607" xfId="2297" xr:uid="{00000000-0005-0000-0000-000089080000}"/>
    <cellStyle name="Ç¥ÁØ_LX Â÷ÀÌºñ±³_ÀüÈÄ Â÷ÀÌºñ±³ _Dr inr comple 요약_RBk(5DR)_GR_비교원가,원재료인상_110607" xfId="2298" xr:uid="{00000000-0005-0000-0000-00008A080000}"/>
    <cellStyle name="C￥AØ_LX A÷AIºn±³_AuEA A÷AIºn±³ _Dr inr comple 요약_RBk(5DR)_GR_비교원가,원재료인상_110607 2" xfId="2299" xr:uid="{00000000-0005-0000-0000-00008B080000}"/>
    <cellStyle name="Ç¥ÁØ_LX Â÷ÀÌºñ±³_ÀüÈÄ Â÷ÀÌºñ±³ _Dr inr comple 요약_RBk(5DR)_GR_비교원가,원재료인상_110607 2" xfId="2300" xr:uid="{00000000-0005-0000-0000-00008C080000}"/>
    <cellStyle name="C￥AØ_LX A÷AIºn±³_AuEA A÷AIºn±³ _Dr inr comple 요약_RBk(5DR)_GR_비교원가,원재료인상_110607 3" xfId="2301" xr:uid="{00000000-0005-0000-0000-00008D080000}"/>
    <cellStyle name="Ç¥ÁØ_LX Â÷ÀÌºñ±³_ÀüÈÄ Â÷ÀÌºñ±³ _Dr inr comple 요약_RBk(5DR)_GR_비교원가,원재료인상_110607 3" xfId="2302" xr:uid="{00000000-0005-0000-0000-00008E080000}"/>
    <cellStyle name="C￥AØ_LX A÷AIºn±³_AuEA A÷AIºn±³ _Dr inr comple 요약_RBk(5DR)_GR_비교원가,원재료인상_110607 4" xfId="2303" xr:uid="{00000000-0005-0000-0000-00008F080000}"/>
    <cellStyle name="Ç¥ÁØ_LX Â÷ÀÌºñ±³_ÀüÈÄ Â÷ÀÌºñ±³ _Dr inr comple 요약_RBk(5DR)_GR_비교원가,원재료인상_110607 4" xfId="2304" xr:uid="{00000000-0005-0000-0000-000090080000}"/>
    <cellStyle name="C￥AØ_LX A÷AIºn±³_AuEA A÷AIºn±³ _Dr inr comple 요약_VIL_WS_비교원가_110708" xfId="2305" xr:uid="{00000000-0005-0000-0000-000091080000}"/>
    <cellStyle name="Ç¥ÁØ_LX Â÷ÀÌºñ±³_ÀüÈÄ Â÷ÀÌºñ±³ _Dr inr comple 요약_VIL_WS_비교원가_110708" xfId="2306" xr:uid="{00000000-0005-0000-0000-000092080000}"/>
    <cellStyle name="C￥AØ_LX A÷AIºn±³_AuEA A÷AIºn±³ _JB 차체부품 원가계산 대책(보고完-04.10.04)" xfId="2307" xr:uid="{00000000-0005-0000-0000-000093080000}"/>
    <cellStyle name="Ç¥ÁØ_LX Â÷ÀÌºñ±³_ÀüÈÄ Â÷ÀÌºñ±³ _JB 차체부품 원가계산 대책(보고完-04.10.04)" xfId="2308" xr:uid="{00000000-0005-0000-0000-000094080000}"/>
    <cellStyle name="C￥AØ_LX A÷AIºn±³_AuEA A÷AIºn±³ _TB차체부품외주화원가검토0007" xfId="2309" xr:uid="{00000000-0005-0000-0000-000095080000}"/>
    <cellStyle name="Ç¥ÁØ_LX Â÷ÀÌºñ±³_ÀüÈÄ Â÷ÀÌºñ±³ _TB차체부품외주화원가검토0007" xfId="2310" xr:uid="{00000000-0005-0000-0000-000096080000}"/>
    <cellStyle name="C￥AØ_LX A÷AIºn±³_AuEA A÷AIºn±³ _카니발부품국산화개발방안-회장님(030616" xfId="2311" xr:uid="{00000000-0005-0000-0000-000097080000}"/>
    <cellStyle name="Ç¥ÁØ_LX Â÷ÀÌºñ±³_ÀüÈÄ Â÷ÀÌºñ±³ _카니발부품국산화개발방안-회장님(030616" xfId="2312" xr:uid="{00000000-0005-0000-0000-000098080000}"/>
    <cellStyle name="C￥AØ_LX A÷AIºn±³_AuEA A÷AIºn±³ _카니발부품국산화개발방안-회장님(030616 2" xfId="2313" xr:uid="{00000000-0005-0000-0000-000099080000}"/>
    <cellStyle name="Ç¥ÁØ_LX Â÷ÀÌºñ±³_ÀüÈÄ Â÷ÀÌºñ±³ _카니발부품국산화개발방안-회장님(030616 2" xfId="2314" xr:uid="{00000000-0005-0000-0000-00009A080000}"/>
    <cellStyle name="C￥AØ_LX A÷AIºn±³_AuEA A÷AIºn±³ _카니발부품국산화개발방안-회장님(030616 3" xfId="2315" xr:uid="{00000000-0005-0000-0000-00009B080000}"/>
    <cellStyle name="Ç¥ÁØ_LX Â÷ÀÌºñ±³_ÀüÈÄ Â÷ÀÌºñ±³ _카니발부품국산화개발방안-회장님(030616 3" xfId="2316" xr:uid="{00000000-0005-0000-0000-00009C080000}"/>
    <cellStyle name="C￥AØ_LX A÷AIºn±³_AuEA A÷AIºn±³ _카니발부품국산화개발방안-회장님(030616 4" xfId="2317" xr:uid="{00000000-0005-0000-0000-00009D080000}"/>
    <cellStyle name="Ç¥ÁØ_LX Â÷ÀÌºñ±³_ÀüÈÄ Â÷ÀÌºñ±³ _카니발부품국산화개발방안-회장님(030616 4" xfId="2318" xr:uid="{00000000-0005-0000-0000-00009E080000}"/>
    <cellStyle name="C￥AØ_LXLZ3.0 " xfId="2319" xr:uid="{00000000-0005-0000-0000-00009F080000}"/>
    <cellStyle name="Ç¥ÁØ_LXLZ3.0 " xfId="2320" xr:uid="{00000000-0005-0000-0000-0000A0080000}"/>
    <cellStyle name="C￥AØ_LXLZ3.0 _Book2" xfId="2321" xr:uid="{00000000-0005-0000-0000-0000A1080000}"/>
    <cellStyle name="Ç¥ÁØ_LXLZ3.0 _Book2" xfId="2322" xr:uid="{00000000-0005-0000-0000-0000A2080000}"/>
    <cellStyle name="C￥AØ_LXLZ3.0 _Dr inr comple 요약" xfId="2323" xr:uid="{00000000-0005-0000-0000-0000A3080000}"/>
    <cellStyle name="Ç¥ÁØ_LXLZ3.0 _Dr inr comple 요약" xfId="2324" xr:uid="{00000000-0005-0000-0000-0000A4080000}"/>
    <cellStyle name="C￥AØ_LXLZ3.0 _Dr inr comple 요약 2" xfId="2325" xr:uid="{00000000-0005-0000-0000-0000A5080000}"/>
    <cellStyle name="Ç¥ÁØ_LXLZ3.0 _Dr inr comple 요약 2" xfId="2326" xr:uid="{00000000-0005-0000-0000-0000A6080000}"/>
    <cellStyle name="C￥AØ_LXLZ3.0 _Dr inr comple 요약 3" xfId="2327" xr:uid="{00000000-0005-0000-0000-0000A7080000}"/>
    <cellStyle name="Ç¥ÁØ_LXLZ3.0 _Dr inr comple 요약 3" xfId="2328" xr:uid="{00000000-0005-0000-0000-0000A8080000}"/>
    <cellStyle name="C￥AØ_LXLZ3.0 _Dr inr comple 요약 4" xfId="2329" xr:uid="{00000000-0005-0000-0000-0000A9080000}"/>
    <cellStyle name="Ç¥ÁØ_LXLZ3.0 _Dr inr comple 요약 4" xfId="2330" xr:uid="{00000000-0005-0000-0000-0000AA080000}"/>
    <cellStyle name="C￥AØ_LXLZ3.0 _Dr inr comple 요약_■EN_BS_비교원가,원재료인상_110621" xfId="2331" xr:uid="{00000000-0005-0000-0000-0000AB080000}"/>
    <cellStyle name="Ç¥ÁØ_LXLZ3.0 _Dr inr comple 요약_■EN_BS_비교원가,원재료인상_110621" xfId="2332" xr:uid="{00000000-0005-0000-0000-0000AC080000}"/>
    <cellStyle name="C￥AØ_LXLZ3.0 _Dr inr comple 요약_■EN_BS_비교원가,원재료인상_110621 2" xfId="2333" xr:uid="{00000000-0005-0000-0000-0000AD080000}"/>
    <cellStyle name="Ç¥ÁØ_LXLZ3.0 _Dr inr comple 요약_■EN_BS_비교원가,원재료인상_110621 2" xfId="2334" xr:uid="{00000000-0005-0000-0000-0000AE080000}"/>
    <cellStyle name="C￥AØ_LXLZ3.0 _Dr inr comple 요약_■EN_BS_비교원가,원재료인상_110621 3" xfId="2335" xr:uid="{00000000-0005-0000-0000-0000AF080000}"/>
    <cellStyle name="Ç¥ÁØ_LXLZ3.0 _Dr inr comple 요약_■EN_BS_비교원가,원재료인상_110621 3" xfId="2336" xr:uid="{00000000-0005-0000-0000-0000B0080000}"/>
    <cellStyle name="C￥AØ_LXLZ3.0 _Dr inr comple 요약_■EN_BS_비교원가,원재료인상_110621 4" xfId="2337" xr:uid="{00000000-0005-0000-0000-0000B1080000}"/>
    <cellStyle name="Ç¥ÁØ_LXLZ3.0 _Dr inr comple 요약_■EN_BS_비교원가,원재료인상_110621 4" xfId="2338" xr:uid="{00000000-0005-0000-0000-0000B2080000}"/>
    <cellStyle name="C￥AØ_LXLZ3.0 _Dr inr comple 요약_110810_UB_도아_바디웨자_초도가_(화승R&amp;A)" xfId="2339" xr:uid="{00000000-0005-0000-0000-0000B3080000}"/>
    <cellStyle name="Ç¥ÁØ_LXLZ3.0 _Dr inr comple 요약_110810_UB_도아_바디웨자_초도가_(화승R&amp;A)" xfId="2340" xr:uid="{00000000-0005-0000-0000-0000B4080000}"/>
    <cellStyle name="C￥AØ_LXLZ3.0 _Dr inr comple 요약_110810_철판 SCRAP조정_자동_화승R&amp;A" xfId="2341" xr:uid="{00000000-0005-0000-0000-0000B5080000}"/>
    <cellStyle name="Ç¥ÁØ_LXLZ3.0 _Dr inr comple 요약_110810_철판 SCRAP조정_자동_화승R&amp;A" xfId="2342" xr:uid="{00000000-0005-0000-0000-0000B6080000}"/>
    <cellStyle name="C￥AØ_LXLZ3.0 _Dr inr comple 요약_110810_철판 SCRAP조정_자동_화승R&amp;A 2" xfId="2343" xr:uid="{00000000-0005-0000-0000-0000B7080000}"/>
    <cellStyle name="Ç¥ÁØ_LXLZ3.0 _Dr inr comple 요약_110810_철판 SCRAP조정_자동_화승R&amp;A 2" xfId="2344" xr:uid="{00000000-0005-0000-0000-0000B8080000}"/>
    <cellStyle name="C￥AØ_LXLZ3.0 _Dr inr comple 요약_110810_철판 SCRAP조정_자동_화승R&amp;A 3" xfId="2345" xr:uid="{00000000-0005-0000-0000-0000B9080000}"/>
    <cellStyle name="Ç¥ÁØ_LXLZ3.0 _Dr inr comple 요약_110810_철판 SCRAP조정_자동_화승R&amp;A 3" xfId="2346" xr:uid="{00000000-0005-0000-0000-0000BA080000}"/>
    <cellStyle name="C￥AØ_LXLZ3.0 _Dr inr comple 요약_110810_철판 SCRAP조정_자동_화승R&amp;A 4" xfId="2347" xr:uid="{00000000-0005-0000-0000-0000BB080000}"/>
    <cellStyle name="Ç¥ÁØ_LXLZ3.0 _Dr inr comple 요약_110810_철판 SCRAP조정_자동_화승R&amp;A 4" xfId="2348" xr:uid="{00000000-0005-0000-0000-0000BC080000}"/>
    <cellStyle name="C￥AØ_LXLZ3.0 _Dr inr comple 요약_AM_WS_운반비_110708" xfId="2349" xr:uid="{00000000-0005-0000-0000-0000BD080000}"/>
    <cellStyle name="Ç¥ÁØ_LXLZ3.0 _Dr inr comple 요약_AM_WS_운반비_110708" xfId="2350" xr:uid="{00000000-0005-0000-0000-0000BE080000}"/>
    <cellStyle name="C￥AØ_LXLZ3.0 _Dr inr comple 요약_AM_WS_운반비_110708 2" xfId="2351" xr:uid="{00000000-0005-0000-0000-0000BF080000}"/>
    <cellStyle name="Ç¥ÁØ_LXLZ3.0 _Dr inr comple 요약_AM_WS_운반비_110708 2" xfId="2352" xr:uid="{00000000-0005-0000-0000-0000C0080000}"/>
    <cellStyle name="C￥AØ_LXLZ3.0 _Dr inr comple 요약_AM_WS_운반비_110708 3" xfId="2353" xr:uid="{00000000-0005-0000-0000-0000C1080000}"/>
    <cellStyle name="Ç¥ÁØ_LXLZ3.0 _Dr inr comple 요약_AM_WS_운반비_110708 3" xfId="2354" xr:uid="{00000000-0005-0000-0000-0000C2080000}"/>
    <cellStyle name="C￥AØ_LXLZ3.0 _Dr inr comple 요약_AM_WS_운반비_110708 4" xfId="2355" xr:uid="{00000000-0005-0000-0000-0000C3080000}"/>
    <cellStyle name="Ç¥ÁØ_LXLZ3.0 _Dr inr comple 요약_AM_WS_운반비_110708 4" xfId="2356" xr:uid="{00000000-0005-0000-0000-0000C4080000}"/>
    <cellStyle name="C￥AØ_LXLZ3.0 _Dr inr comple 요약_Book2" xfId="2357" xr:uid="{00000000-0005-0000-0000-0000C5080000}"/>
    <cellStyle name="Ç¥ÁØ_LXLZ3.0 _Dr inr comple 요약_Book2" xfId="2358" xr:uid="{00000000-0005-0000-0000-0000C6080000}"/>
    <cellStyle name="C￥AØ_LXLZ3.0 _Dr inr comple 요약_KMC_UB_단면적,코팅길이_110218" xfId="2359" xr:uid="{00000000-0005-0000-0000-0000C7080000}"/>
    <cellStyle name="Ç¥ÁØ_LXLZ3.0 _Dr inr comple 요약_KMC_UB_단면적,코팅길이_110218" xfId="2360" xr:uid="{00000000-0005-0000-0000-0000C8080000}"/>
    <cellStyle name="C￥AØ_LXLZ3.0 _Dr inr comple 요약_KMC_UB_단면적,코팅길이_110218 2" xfId="2361" xr:uid="{00000000-0005-0000-0000-0000C9080000}"/>
    <cellStyle name="Ç¥ÁØ_LXLZ3.0 _Dr inr comple 요약_KMC_UB_단면적,코팅길이_110218 2" xfId="2362" xr:uid="{00000000-0005-0000-0000-0000CA080000}"/>
    <cellStyle name="C￥AØ_LXLZ3.0 _Dr inr comple 요약_KMC_UB_단면적,코팅길이_110218 3" xfId="2363" xr:uid="{00000000-0005-0000-0000-0000CB080000}"/>
    <cellStyle name="Ç¥ÁØ_LXLZ3.0 _Dr inr comple 요약_KMC_UB_단면적,코팅길이_110218 3" xfId="2364" xr:uid="{00000000-0005-0000-0000-0000CC080000}"/>
    <cellStyle name="C￥AØ_LXLZ3.0 _Dr inr comple 요약_KMC_UB_단면적,코팅길이_110218 4" xfId="2365" xr:uid="{00000000-0005-0000-0000-0000CD080000}"/>
    <cellStyle name="Ç¥ÁØ_LXLZ3.0 _Dr inr comple 요약_KMC_UB_단면적,코팅길이_110218 4" xfId="2366" xr:uid="{00000000-0005-0000-0000-0000CE080000}"/>
    <cellStyle name="C￥AØ_LXLZ3.0 _Dr inr comple 요약_KMC_UB_조인트중량,조인트길이_110214" xfId="2367" xr:uid="{00000000-0005-0000-0000-0000CF080000}"/>
    <cellStyle name="Ç¥ÁØ_LXLZ3.0 _Dr inr comple 요약_KMC_UB_조인트중량,조인트길이_110214" xfId="2368" xr:uid="{00000000-0005-0000-0000-0000D0080000}"/>
    <cellStyle name="C￥AØ_LXLZ3.0 _Dr inr comple 요약_KMC_UB_조인트중량,조인트길이_110214 2" xfId="2369" xr:uid="{00000000-0005-0000-0000-0000D1080000}"/>
    <cellStyle name="Ç¥ÁØ_LXLZ3.0 _Dr inr comple 요약_KMC_UB_조인트중량,조인트길이_110214 2" xfId="2370" xr:uid="{00000000-0005-0000-0000-0000D2080000}"/>
    <cellStyle name="C￥AØ_LXLZ3.0 _Dr inr comple 요약_KMC_UB_조인트중량,조인트길이_110214 3" xfId="2371" xr:uid="{00000000-0005-0000-0000-0000D3080000}"/>
    <cellStyle name="Ç¥ÁØ_LXLZ3.0 _Dr inr comple 요약_KMC_UB_조인트중량,조인트길이_110214 3" xfId="2372" xr:uid="{00000000-0005-0000-0000-0000D4080000}"/>
    <cellStyle name="C￥AØ_LXLZ3.0 _Dr inr comple 요약_KMC_UB_조인트중량,조인트길이_110214 4" xfId="2373" xr:uid="{00000000-0005-0000-0000-0000D5080000}"/>
    <cellStyle name="Ç¥ÁØ_LXLZ3.0 _Dr inr comple 요약_KMC_UB_조인트중량,조인트길이_110214 4" xfId="2374" xr:uid="{00000000-0005-0000-0000-0000D6080000}"/>
    <cellStyle name="C￥AØ_LXLZ3.0 _Dr inr comple 요약_RBk(5DR)_GR_비교원가,원재료인상_110607" xfId="2375" xr:uid="{00000000-0005-0000-0000-0000D7080000}"/>
    <cellStyle name="Ç¥ÁØ_LXLZ3.0 _Dr inr comple 요약_RBk(5DR)_GR_비교원가,원재료인상_110607" xfId="2376" xr:uid="{00000000-0005-0000-0000-0000D8080000}"/>
    <cellStyle name="C￥AØ_LXLZ3.0 _Dr inr comple 요약_RBk(5DR)_GR_비교원가,원재료인상_110607 2" xfId="2377" xr:uid="{00000000-0005-0000-0000-0000D9080000}"/>
    <cellStyle name="Ç¥ÁØ_LXLZ3.0 _Dr inr comple 요약_RBk(5DR)_GR_비교원가,원재료인상_110607 2" xfId="2378" xr:uid="{00000000-0005-0000-0000-0000DA080000}"/>
    <cellStyle name="C￥AØ_LXLZ3.0 _Dr inr comple 요약_RBk(5DR)_GR_비교원가,원재료인상_110607 3" xfId="2379" xr:uid="{00000000-0005-0000-0000-0000DB080000}"/>
    <cellStyle name="Ç¥ÁØ_LXLZ3.0 _Dr inr comple 요약_RBk(5DR)_GR_비교원가,원재료인상_110607 3" xfId="2380" xr:uid="{00000000-0005-0000-0000-0000DC080000}"/>
    <cellStyle name="C￥AØ_LXLZ3.0 _Dr inr comple 요약_RBk(5DR)_GR_비교원가,원재료인상_110607 4" xfId="2381" xr:uid="{00000000-0005-0000-0000-0000DD080000}"/>
    <cellStyle name="Ç¥ÁØ_LXLZ3.0 _Dr inr comple 요약_RBk(5DR)_GR_비교원가,원재료인상_110607 4" xfId="2382" xr:uid="{00000000-0005-0000-0000-0000DE080000}"/>
    <cellStyle name="C￥AØ_LXLZ3.0 _Dr inr comple 요약_VIL_WS_비교원가_110708" xfId="2383" xr:uid="{00000000-0005-0000-0000-0000DF080000}"/>
    <cellStyle name="Ç¥ÁØ_LXLZ3.0 _Dr inr comple 요약_VIL_WS_비교원가_110708" xfId="2384" xr:uid="{00000000-0005-0000-0000-0000E0080000}"/>
    <cellStyle name="C￥AØ_LXLZ3.0 _JB 차체부품 원가계산 대책(보고完-04.10.04)" xfId="2385" xr:uid="{00000000-0005-0000-0000-0000E1080000}"/>
    <cellStyle name="Ç¥ÁØ_LXLZ3.0 _JB 차체부품 원가계산 대책(보고完-04.10.04)" xfId="2386" xr:uid="{00000000-0005-0000-0000-0000E2080000}"/>
    <cellStyle name="C￥AØ_LXLZ3.0 _TB차체부품외주화원가검토0007" xfId="2387" xr:uid="{00000000-0005-0000-0000-0000E3080000}"/>
    <cellStyle name="Ç¥ÁØ_LXLZ3.0 _TB차체부품외주화원가검토0007" xfId="2388" xr:uid="{00000000-0005-0000-0000-0000E4080000}"/>
    <cellStyle name="C￥AØ_LXLZ3.0 _카니발부품국산화개발방안-회장님(030616" xfId="2389" xr:uid="{00000000-0005-0000-0000-0000E5080000}"/>
    <cellStyle name="Ç¥ÁØ_LXLZ3.0 _카니발부품국산화개발방안-회장님(030616" xfId="2390" xr:uid="{00000000-0005-0000-0000-0000E6080000}"/>
    <cellStyle name="C￥AØ_LXLZ3.0 _카니발부품국산화개발방안-회장님(030616 2" xfId="2391" xr:uid="{00000000-0005-0000-0000-0000E7080000}"/>
    <cellStyle name="Ç¥ÁØ_LXLZ3.0 _카니발부품국산화개발방안-회장님(030616 2" xfId="2392" xr:uid="{00000000-0005-0000-0000-0000E8080000}"/>
    <cellStyle name="C￥AØ_LXLZ3.0 _카니발부품국산화개발방안-회장님(030616 3" xfId="2393" xr:uid="{00000000-0005-0000-0000-0000E9080000}"/>
    <cellStyle name="Ç¥ÁØ_LXLZ3.0 _카니발부품국산화개발방안-회장님(030616 3" xfId="2394" xr:uid="{00000000-0005-0000-0000-0000EA080000}"/>
    <cellStyle name="C￥AØ_LXLZ3.0 _카니발부품국산화개발방안-회장님(030616 4" xfId="2395" xr:uid="{00000000-0005-0000-0000-0000EB080000}"/>
    <cellStyle name="Ç¥ÁØ_LXLZ3.0 _카니발부품국산화개발방안-회장님(030616 4" xfId="2396" xr:uid="{00000000-0005-0000-0000-0000EC080000}"/>
    <cellStyle name="C￥AØ_LXLZ3.5 " xfId="2397" xr:uid="{00000000-0005-0000-0000-0000ED080000}"/>
    <cellStyle name="Ç¥ÁØ_LXLZ3.5 " xfId="2398" xr:uid="{00000000-0005-0000-0000-0000EE080000}"/>
    <cellStyle name="C￥AØ_LXLZ3.5 _Book2" xfId="2399" xr:uid="{00000000-0005-0000-0000-0000EF080000}"/>
    <cellStyle name="Ç¥ÁØ_LXLZ3.5 _Book2" xfId="2400" xr:uid="{00000000-0005-0000-0000-0000F0080000}"/>
    <cellStyle name="C￥AØ_LXLZ3.5 _Dr inr comple 요약" xfId="2401" xr:uid="{00000000-0005-0000-0000-0000F1080000}"/>
    <cellStyle name="Ç¥ÁØ_LXLZ3.5 _Dr inr comple 요약" xfId="2402" xr:uid="{00000000-0005-0000-0000-0000F2080000}"/>
    <cellStyle name="C￥AØ_LXLZ3.5 _Dr inr comple 요약 2" xfId="2403" xr:uid="{00000000-0005-0000-0000-0000F3080000}"/>
    <cellStyle name="Ç¥ÁØ_LXLZ3.5 _Dr inr comple 요약 2" xfId="2404" xr:uid="{00000000-0005-0000-0000-0000F4080000}"/>
    <cellStyle name="C￥AØ_LXLZ3.5 _Dr inr comple 요약 3" xfId="2405" xr:uid="{00000000-0005-0000-0000-0000F5080000}"/>
    <cellStyle name="Ç¥ÁØ_LXLZ3.5 _Dr inr comple 요약 3" xfId="2406" xr:uid="{00000000-0005-0000-0000-0000F6080000}"/>
    <cellStyle name="C￥AØ_LXLZ3.5 _Dr inr comple 요약 4" xfId="2407" xr:uid="{00000000-0005-0000-0000-0000F7080000}"/>
    <cellStyle name="Ç¥ÁØ_LXLZ3.5 _Dr inr comple 요약 4" xfId="2408" xr:uid="{00000000-0005-0000-0000-0000F8080000}"/>
    <cellStyle name="C￥AØ_LXLZ3.5 _Dr inr comple 요약_■EN_BS_비교원가,원재료인상_110621" xfId="2409" xr:uid="{00000000-0005-0000-0000-0000F9080000}"/>
    <cellStyle name="Ç¥ÁØ_LXLZ3.5 _Dr inr comple 요약_■EN_BS_비교원가,원재료인상_110621" xfId="2410" xr:uid="{00000000-0005-0000-0000-0000FA080000}"/>
    <cellStyle name="C￥AØ_LXLZ3.5 _Dr inr comple 요약_■EN_BS_비교원가,원재료인상_110621 2" xfId="2411" xr:uid="{00000000-0005-0000-0000-0000FB080000}"/>
    <cellStyle name="Ç¥ÁØ_LXLZ3.5 _Dr inr comple 요약_■EN_BS_비교원가,원재료인상_110621 2" xfId="2412" xr:uid="{00000000-0005-0000-0000-0000FC080000}"/>
    <cellStyle name="C￥AØ_LXLZ3.5 _Dr inr comple 요약_■EN_BS_비교원가,원재료인상_110621 3" xfId="2413" xr:uid="{00000000-0005-0000-0000-0000FD080000}"/>
    <cellStyle name="Ç¥ÁØ_LXLZ3.5 _Dr inr comple 요약_■EN_BS_비교원가,원재료인상_110621 3" xfId="2414" xr:uid="{00000000-0005-0000-0000-0000FE080000}"/>
    <cellStyle name="C￥AØ_LXLZ3.5 _Dr inr comple 요약_■EN_BS_비교원가,원재료인상_110621 4" xfId="2415" xr:uid="{00000000-0005-0000-0000-0000FF080000}"/>
    <cellStyle name="Ç¥ÁØ_LXLZ3.5 _Dr inr comple 요약_■EN_BS_비교원가,원재료인상_110621 4" xfId="2416" xr:uid="{00000000-0005-0000-0000-000000090000}"/>
    <cellStyle name="C￥AØ_LXLZ3.5 _Dr inr comple 요약_110810_UB_도아_바디웨자_초도가_(화승R&amp;A)" xfId="2417" xr:uid="{00000000-0005-0000-0000-000001090000}"/>
    <cellStyle name="Ç¥ÁØ_LXLZ3.5 _Dr inr comple 요약_110810_UB_도아_바디웨자_초도가_(화승R&amp;A)" xfId="2418" xr:uid="{00000000-0005-0000-0000-000002090000}"/>
    <cellStyle name="C￥AØ_LXLZ3.5 _Dr inr comple 요약_110810_철판 SCRAP조정_자동_화승R&amp;A" xfId="2419" xr:uid="{00000000-0005-0000-0000-000003090000}"/>
    <cellStyle name="Ç¥ÁØ_LXLZ3.5 _Dr inr comple 요약_110810_철판 SCRAP조정_자동_화승R&amp;A" xfId="2420" xr:uid="{00000000-0005-0000-0000-000004090000}"/>
    <cellStyle name="C￥AØ_LXLZ3.5 _Dr inr comple 요약_110810_철판 SCRAP조정_자동_화승R&amp;A 2" xfId="2421" xr:uid="{00000000-0005-0000-0000-000005090000}"/>
    <cellStyle name="Ç¥ÁØ_LXLZ3.5 _Dr inr comple 요약_110810_철판 SCRAP조정_자동_화승R&amp;A 2" xfId="2422" xr:uid="{00000000-0005-0000-0000-000006090000}"/>
    <cellStyle name="C￥AØ_LXLZ3.5 _Dr inr comple 요약_110810_철판 SCRAP조정_자동_화승R&amp;A 3" xfId="2423" xr:uid="{00000000-0005-0000-0000-000007090000}"/>
    <cellStyle name="Ç¥ÁØ_LXLZ3.5 _Dr inr comple 요약_110810_철판 SCRAP조정_자동_화승R&amp;A 3" xfId="2424" xr:uid="{00000000-0005-0000-0000-000008090000}"/>
    <cellStyle name="C￥AØ_LXLZ3.5 _Dr inr comple 요약_110810_철판 SCRAP조정_자동_화승R&amp;A 4" xfId="2425" xr:uid="{00000000-0005-0000-0000-000009090000}"/>
    <cellStyle name="Ç¥ÁØ_LXLZ3.5 _Dr inr comple 요약_110810_철판 SCRAP조정_자동_화승R&amp;A 4" xfId="2426" xr:uid="{00000000-0005-0000-0000-00000A090000}"/>
    <cellStyle name="C￥AØ_LXLZ3.5 _Dr inr comple 요약_AM_WS_운반비_110708" xfId="2427" xr:uid="{00000000-0005-0000-0000-00000B090000}"/>
    <cellStyle name="Ç¥ÁØ_LXLZ3.5 _Dr inr comple 요약_AM_WS_운반비_110708" xfId="2428" xr:uid="{00000000-0005-0000-0000-00000C090000}"/>
    <cellStyle name="C￥AØ_LXLZ3.5 _Dr inr comple 요약_AM_WS_운반비_110708 2" xfId="2429" xr:uid="{00000000-0005-0000-0000-00000D090000}"/>
    <cellStyle name="Ç¥ÁØ_LXLZ3.5 _Dr inr comple 요약_AM_WS_운반비_110708 2" xfId="2430" xr:uid="{00000000-0005-0000-0000-00000E090000}"/>
    <cellStyle name="C￥AØ_LXLZ3.5 _Dr inr comple 요약_AM_WS_운반비_110708 3" xfId="2431" xr:uid="{00000000-0005-0000-0000-00000F090000}"/>
    <cellStyle name="Ç¥ÁØ_LXLZ3.5 _Dr inr comple 요약_AM_WS_운반비_110708 3" xfId="2432" xr:uid="{00000000-0005-0000-0000-000010090000}"/>
    <cellStyle name="C￥AØ_LXLZ3.5 _Dr inr comple 요약_AM_WS_운반비_110708 4" xfId="2433" xr:uid="{00000000-0005-0000-0000-000011090000}"/>
    <cellStyle name="Ç¥ÁØ_LXLZ3.5 _Dr inr comple 요약_AM_WS_운반비_110708 4" xfId="2434" xr:uid="{00000000-0005-0000-0000-000012090000}"/>
    <cellStyle name="C￥AØ_LXLZ3.5 _Dr inr comple 요약_Book2" xfId="2435" xr:uid="{00000000-0005-0000-0000-000013090000}"/>
    <cellStyle name="Ç¥ÁØ_LXLZ3.5 _Dr inr comple 요약_Book2" xfId="2436" xr:uid="{00000000-0005-0000-0000-000014090000}"/>
    <cellStyle name="C￥AØ_LXLZ3.5 _Dr inr comple 요약_KMC_UB_단면적,코팅길이_110218" xfId="2437" xr:uid="{00000000-0005-0000-0000-000015090000}"/>
    <cellStyle name="Ç¥ÁØ_LXLZ3.5 _Dr inr comple 요약_KMC_UB_단면적,코팅길이_110218" xfId="2438" xr:uid="{00000000-0005-0000-0000-000016090000}"/>
    <cellStyle name="C￥AØ_LXLZ3.5 _Dr inr comple 요약_KMC_UB_단면적,코팅길이_110218 2" xfId="2439" xr:uid="{00000000-0005-0000-0000-000017090000}"/>
    <cellStyle name="Ç¥ÁØ_LXLZ3.5 _Dr inr comple 요약_KMC_UB_단면적,코팅길이_110218 2" xfId="2440" xr:uid="{00000000-0005-0000-0000-000018090000}"/>
    <cellStyle name="C￥AØ_LXLZ3.5 _Dr inr comple 요약_KMC_UB_단면적,코팅길이_110218 3" xfId="2441" xr:uid="{00000000-0005-0000-0000-000019090000}"/>
    <cellStyle name="Ç¥ÁØ_LXLZ3.5 _Dr inr comple 요약_KMC_UB_단면적,코팅길이_110218 3" xfId="2442" xr:uid="{00000000-0005-0000-0000-00001A090000}"/>
    <cellStyle name="C￥AØ_LXLZ3.5 _Dr inr comple 요약_KMC_UB_단면적,코팅길이_110218 4" xfId="2443" xr:uid="{00000000-0005-0000-0000-00001B090000}"/>
    <cellStyle name="Ç¥ÁØ_LXLZ3.5 _Dr inr comple 요약_KMC_UB_단면적,코팅길이_110218 4" xfId="2444" xr:uid="{00000000-0005-0000-0000-00001C090000}"/>
    <cellStyle name="C￥AØ_LXLZ3.5 _Dr inr comple 요약_KMC_UB_조인트중량,조인트길이_110214" xfId="2445" xr:uid="{00000000-0005-0000-0000-00001D090000}"/>
    <cellStyle name="Ç¥ÁØ_LXLZ3.5 _Dr inr comple 요약_KMC_UB_조인트중량,조인트길이_110214" xfId="2446" xr:uid="{00000000-0005-0000-0000-00001E090000}"/>
    <cellStyle name="C￥AØ_LXLZ3.5 _Dr inr comple 요약_KMC_UB_조인트중량,조인트길이_110214 2" xfId="2447" xr:uid="{00000000-0005-0000-0000-00001F090000}"/>
    <cellStyle name="Ç¥ÁØ_LXLZ3.5 _Dr inr comple 요약_KMC_UB_조인트중량,조인트길이_110214 2" xfId="2448" xr:uid="{00000000-0005-0000-0000-000020090000}"/>
    <cellStyle name="C￥AØ_LXLZ3.5 _Dr inr comple 요약_KMC_UB_조인트중량,조인트길이_110214 3" xfId="2449" xr:uid="{00000000-0005-0000-0000-000021090000}"/>
    <cellStyle name="Ç¥ÁØ_LXLZ3.5 _Dr inr comple 요약_KMC_UB_조인트중량,조인트길이_110214 3" xfId="2450" xr:uid="{00000000-0005-0000-0000-000022090000}"/>
    <cellStyle name="C￥AØ_LXLZ3.5 _Dr inr comple 요약_KMC_UB_조인트중량,조인트길이_110214 4" xfId="2451" xr:uid="{00000000-0005-0000-0000-000023090000}"/>
    <cellStyle name="Ç¥ÁØ_LXLZ3.5 _Dr inr comple 요약_KMC_UB_조인트중량,조인트길이_110214 4" xfId="2452" xr:uid="{00000000-0005-0000-0000-000024090000}"/>
    <cellStyle name="C￥AØ_LXLZ3.5 _Dr inr comple 요약_RBk(5DR)_GR_비교원가,원재료인상_110607" xfId="2453" xr:uid="{00000000-0005-0000-0000-000025090000}"/>
    <cellStyle name="Ç¥ÁØ_LXLZ3.5 _Dr inr comple 요약_RBk(5DR)_GR_비교원가,원재료인상_110607" xfId="2454" xr:uid="{00000000-0005-0000-0000-000026090000}"/>
    <cellStyle name="C￥AØ_LXLZ3.5 _Dr inr comple 요약_RBk(5DR)_GR_비교원가,원재료인상_110607 2" xfId="2455" xr:uid="{00000000-0005-0000-0000-000027090000}"/>
    <cellStyle name="Ç¥ÁØ_LXLZ3.5 _Dr inr comple 요약_RBk(5DR)_GR_비교원가,원재료인상_110607 2" xfId="2456" xr:uid="{00000000-0005-0000-0000-000028090000}"/>
    <cellStyle name="C￥AØ_LXLZ3.5 _Dr inr comple 요약_RBk(5DR)_GR_비교원가,원재료인상_110607 3" xfId="2457" xr:uid="{00000000-0005-0000-0000-000029090000}"/>
    <cellStyle name="Ç¥ÁØ_LXLZ3.5 _Dr inr comple 요약_RBk(5DR)_GR_비교원가,원재료인상_110607 3" xfId="2458" xr:uid="{00000000-0005-0000-0000-00002A090000}"/>
    <cellStyle name="C￥AØ_LXLZ3.5 _Dr inr comple 요약_RBk(5DR)_GR_비교원가,원재료인상_110607 4" xfId="2459" xr:uid="{00000000-0005-0000-0000-00002B090000}"/>
    <cellStyle name="Ç¥ÁØ_LXLZ3.5 _Dr inr comple 요약_RBk(5DR)_GR_비교원가,원재료인상_110607 4" xfId="2460" xr:uid="{00000000-0005-0000-0000-00002C090000}"/>
    <cellStyle name="C￥AØ_LXLZ3.5 _Dr inr comple 요약_VIL_WS_비교원가_110708" xfId="2461" xr:uid="{00000000-0005-0000-0000-00002D090000}"/>
    <cellStyle name="Ç¥ÁØ_LXLZ3.5 _Dr inr comple 요약_VIL_WS_비교원가_110708" xfId="2462" xr:uid="{00000000-0005-0000-0000-00002E090000}"/>
    <cellStyle name="C￥AØ_LXLZ3.5 _JB 차체부품 원가계산 대책(보고完-04.10.04)" xfId="2463" xr:uid="{00000000-0005-0000-0000-00002F090000}"/>
    <cellStyle name="Ç¥ÁØ_LXLZ3.5 _JB 차체부품 원가계산 대책(보고完-04.10.04)" xfId="2464" xr:uid="{00000000-0005-0000-0000-000030090000}"/>
    <cellStyle name="C￥AØ_LXLZ3.5 _TB차체부품외주화원가검토0007" xfId="2465" xr:uid="{00000000-0005-0000-0000-000031090000}"/>
    <cellStyle name="Ç¥ÁØ_LXLZ3.5 _TB차체부품외주화원가검토0007" xfId="2466" xr:uid="{00000000-0005-0000-0000-000032090000}"/>
    <cellStyle name="C￥AØ_LXLZ3.5 _카니발부품국산화개발방안-회장님(030616" xfId="2467" xr:uid="{00000000-0005-0000-0000-000033090000}"/>
    <cellStyle name="Ç¥ÁØ_LXLZ3.5 _카니발부품국산화개발방안-회장님(030616" xfId="2468" xr:uid="{00000000-0005-0000-0000-000034090000}"/>
    <cellStyle name="C￥AØ_LXLZ3.5 _카니발부품국산화개발방안-회장님(030616 2" xfId="2469" xr:uid="{00000000-0005-0000-0000-000035090000}"/>
    <cellStyle name="Ç¥ÁØ_LXLZ3.5 _카니발부품국산화개발방안-회장님(030616 2" xfId="2470" xr:uid="{00000000-0005-0000-0000-000036090000}"/>
    <cellStyle name="C￥AØ_LXLZ3.5 _카니발부품국산화개발방안-회장님(030616 3" xfId="2471" xr:uid="{00000000-0005-0000-0000-000037090000}"/>
    <cellStyle name="Ç¥ÁØ_LXLZ3.5 _카니발부품국산화개발방안-회장님(030616 3" xfId="2472" xr:uid="{00000000-0005-0000-0000-000038090000}"/>
    <cellStyle name="C￥AØ_LXLZ3.5 _카니발부품국산화개발방안-회장님(030616 4" xfId="2473" xr:uid="{00000000-0005-0000-0000-000039090000}"/>
    <cellStyle name="Ç¥ÁØ_LXLZ3.5 _카니발부품국산화개발방안-회장님(030616 4" xfId="2474" xr:uid="{00000000-0005-0000-0000-00003A090000}"/>
    <cellStyle name="C￥AØ_LXLZ4.5 " xfId="2475" xr:uid="{00000000-0005-0000-0000-00003B090000}"/>
    <cellStyle name="Ç¥ÁØ_LXLZ4.5 " xfId="2476" xr:uid="{00000000-0005-0000-0000-00003C090000}"/>
    <cellStyle name="C￥AØ_LXLZ4.5 _Book2" xfId="2477" xr:uid="{00000000-0005-0000-0000-00003D090000}"/>
    <cellStyle name="Ç¥ÁØ_LXLZ4.5 _Book2" xfId="2478" xr:uid="{00000000-0005-0000-0000-00003E090000}"/>
    <cellStyle name="C￥AØ_LXLZ4.5 _Dr inr comple 요약" xfId="2479" xr:uid="{00000000-0005-0000-0000-00003F090000}"/>
    <cellStyle name="Ç¥ÁØ_LXLZ4.5 _Dr inr comple 요약" xfId="2480" xr:uid="{00000000-0005-0000-0000-000040090000}"/>
    <cellStyle name="C￥AØ_LXLZ4.5 _Dr inr comple 요약 2" xfId="2481" xr:uid="{00000000-0005-0000-0000-000041090000}"/>
    <cellStyle name="Ç¥ÁØ_LXLZ4.5 _Dr inr comple 요약 2" xfId="2482" xr:uid="{00000000-0005-0000-0000-000042090000}"/>
    <cellStyle name="C￥AØ_LXLZ4.5 _Dr inr comple 요약 3" xfId="2483" xr:uid="{00000000-0005-0000-0000-000043090000}"/>
    <cellStyle name="Ç¥ÁØ_LXLZ4.5 _Dr inr comple 요약 3" xfId="2484" xr:uid="{00000000-0005-0000-0000-000044090000}"/>
    <cellStyle name="C￥AØ_LXLZ4.5 _Dr inr comple 요약 4" xfId="2485" xr:uid="{00000000-0005-0000-0000-000045090000}"/>
    <cellStyle name="Ç¥ÁØ_LXLZ4.5 _Dr inr comple 요약 4" xfId="2486" xr:uid="{00000000-0005-0000-0000-000046090000}"/>
    <cellStyle name="C￥AØ_LXLZ4.5 _Dr inr comple 요약_■EN_BS_비교원가,원재료인상_110621" xfId="2487" xr:uid="{00000000-0005-0000-0000-000047090000}"/>
    <cellStyle name="Ç¥ÁØ_LXLZ4.5 _Dr inr comple 요약_■EN_BS_비교원가,원재료인상_110621" xfId="2488" xr:uid="{00000000-0005-0000-0000-000048090000}"/>
    <cellStyle name="C￥AØ_LXLZ4.5 _Dr inr comple 요약_■EN_BS_비교원가,원재료인상_110621 2" xfId="2489" xr:uid="{00000000-0005-0000-0000-000049090000}"/>
    <cellStyle name="Ç¥ÁØ_LXLZ4.5 _Dr inr comple 요약_■EN_BS_비교원가,원재료인상_110621 2" xfId="2490" xr:uid="{00000000-0005-0000-0000-00004A090000}"/>
    <cellStyle name="C￥AØ_LXLZ4.5 _Dr inr comple 요약_■EN_BS_비교원가,원재료인상_110621 3" xfId="2491" xr:uid="{00000000-0005-0000-0000-00004B090000}"/>
    <cellStyle name="Ç¥ÁØ_LXLZ4.5 _Dr inr comple 요약_■EN_BS_비교원가,원재료인상_110621 3" xfId="2492" xr:uid="{00000000-0005-0000-0000-00004C090000}"/>
    <cellStyle name="C￥AØ_LXLZ4.5 _Dr inr comple 요약_■EN_BS_비교원가,원재료인상_110621 4" xfId="2493" xr:uid="{00000000-0005-0000-0000-00004D090000}"/>
    <cellStyle name="Ç¥ÁØ_LXLZ4.5 _Dr inr comple 요약_■EN_BS_비교원가,원재료인상_110621 4" xfId="2494" xr:uid="{00000000-0005-0000-0000-00004E090000}"/>
    <cellStyle name="C￥AØ_LXLZ4.5 _Dr inr comple 요약_110810_UB_도아_바디웨자_초도가_(화승R&amp;A)" xfId="2495" xr:uid="{00000000-0005-0000-0000-00004F090000}"/>
    <cellStyle name="Ç¥ÁØ_LXLZ4.5 _Dr inr comple 요약_110810_UB_도아_바디웨자_초도가_(화승R&amp;A)" xfId="2496" xr:uid="{00000000-0005-0000-0000-000050090000}"/>
    <cellStyle name="C￥AØ_LXLZ4.5 _Dr inr comple 요약_110810_철판 SCRAP조정_자동_화승R&amp;A" xfId="2497" xr:uid="{00000000-0005-0000-0000-000051090000}"/>
    <cellStyle name="Ç¥ÁØ_LXLZ4.5 _Dr inr comple 요약_110810_철판 SCRAP조정_자동_화승R&amp;A" xfId="2498" xr:uid="{00000000-0005-0000-0000-000052090000}"/>
    <cellStyle name="C￥AØ_LXLZ4.5 _Dr inr comple 요약_110810_철판 SCRAP조정_자동_화승R&amp;A 2" xfId="2499" xr:uid="{00000000-0005-0000-0000-000053090000}"/>
    <cellStyle name="Ç¥ÁØ_LXLZ4.5 _Dr inr comple 요약_110810_철판 SCRAP조정_자동_화승R&amp;A 2" xfId="2500" xr:uid="{00000000-0005-0000-0000-000054090000}"/>
    <cellStyle name="C￥AØ_LXLZ4.5 _Dr inr comple 요약_110810_철판 SCRAP조정_자동_화승R&amp;A 3" xfId="2501" xr:uid="{00000000-0005-0000-0000-000055090000}"/>
    <cellStyle name="Ç¥ÁØ_LXLZ4.5 _Dr inr comple 요약_110810_철판 SCRAP조정_자동_화승R&amp;A 3" xfId="2502" xr:uid="{00000000-0005-0000-0000-000056090000}"/>
    <cellStyle name="C￥AØ_LXLZ4.5 _Dr inr comple 요약_110810_철판 SCRAP조정_자동_화승R&amp;A 4" xfId="2503" xr:uid="{00000000-0005-0000-0000-000057090000}"/>
    <cellStyle name="Ç¥ÁØ_LXLZ4.5 _Dr inr comple 요약_110810_철판 SCRAP조정_자동_화승R&amp;A 4" xfId="2504" xr:uid="{00000000-0005-0000-0000-000058090000}"/>
    <cellStyle name="C￥AØ_LXLZ4.5 _Dr inr comple 요약_AM_WS_운반비_110708" xfId="2505" xr:uid="{00000000-0005-0000-0000-000059090000}"/>
    <cellStyle name="Ç¥ÁØ_LXLZ4.5 _Dr inr comple 요약_AM_WS_운반비_110708" xfId="2506" xr:uid="{00000000-0005-0000-0000-00005A090000}"/>
    <cellStyle name="C￥AØ_LXLZ4.5 _Dr inr comple 요약_AM_WS_운반비_110708 2" xfId="2507" xr:uid="{00000000-0005-0000-0000-00005B090000}"/>
    <cellStyle name="Ç¥ÁØ_LXLZ4.5 _Dr inr comple 요약_AM_WS_운반비_110708 2" xfId="2508" xr:uid="{00000000-0005-0000-0000-00005C090000}"/>
    <cellStyle name="C￥AØ_LXLZ4.5 _Dr inr comple 요약_AM_WS_운반비_110708 3" xfId="2509" xr:uid="{00000000-0005-0000-0000-00005D090000}"/>
    <cellStyle name="Ç¥ÁØ_LXLZ4.5 _Dr inr comple 요약_AM_WS_운반비_110708 3" xfId="2510" xr:uid="{00000000-0005-0000-0000-00005E090000}"/>
    <cellStyle name="C￥AØ_LXLZ4.5 _Dr inr comple 요약_AM_WS_운반비_110708 4" xfId="2511" xr:uid="{00000000-0005-0000-0000-00005F090000}"/>
    <cellStyle name="Ç¥ÁØ_LXLZ4.5 _Dr inr comple 요약_AM_WS_운반비_110708 4" xfId="2512" xr:uid="{00000000-0005-0000-0000-000060090000}"/>
    <cellStyle name="C￥AØ_LXLZ4.5 _Dr inr comple 요약_Book2" xfId="2513" xr:uid="{00000000-0005-0000-0000-000061090000}"/>
    <cellStyle name="Ç¥ÁØ_LXLZ4.5 _Dr inr comple 요약_Book2" xfId="2514" xr:uid="{00000000-0005-0000-0000-000062090000}"/>
    <cellStyle name="C￥AØ_LXLZ4.5 _Dr inr comple 요약_KMC_UB_단면적,코팅길이_110218" xfId="2515" xr:uid="{00000000-0005-0000-0000-000063090000}"/>
    <cellStyle name="Ç¥ÁØ_LXLZ4.5 _Dr inr comple 요약_KMC_UB_단면적,코팅길이_110218" xfId="2516" xr:uid="{00000000-0005-0000-0000-000064090000}"/>
    <cellStyle name="C￥AØ_LXLZ4.5 _Dr inr comple 요약_KMC_UB_단면적,코팅길이_110218 2" xfId="2517" xr:uid="{00000000-0005-0000-0000-000065090000}"/>
    <cellStyle name="Ç¥ÁØ_LXLZ4.5 _Dr inr comple 요약_KMC_UB_단면적,코팅길이_110218 2" xfId="2518" xr:uid="{00000000-0005-0000-0000-000066090000}"/>
    <cellStyle name="C￥AØ_LXLZ4.5 _Dr inr comple 요약_KMC_UB_단면적,코팅길이_110218 3" xfId="2519" xr:uid="{00000000-0005-0000-0000-000067090000}"/>
    <cellStyle name="Ç¥ÁØ_LXLZ4.5 _Dr inr comple 요약_KMC_UB_단면적,코팅길이_110218 3" xfId="2520" xr:uid="{00000000-0005-0000-0000-000068090000}"/>
    <cellStyle name="C￥AØ_LXLZ4.5 _Dr inr comple 요약_KMC_UB_단면적,코팅길이_110218 4" xfId="2521" xr:uid="{00000000-0005-0000-0000-000069090000}"/>
    <cellStyle name="Ç¥ÁØ_LXLZ4.5 _Dr inr comple 요약_KMC_UB_단면적,코팅길이_110218 4" xfId="2522" xr:uid="{00000000-0005-0000-0000-00006A090000}"/>
    <cellStyle name="C￥AØ_LXLZ4.5 _Dr inr comple 요약_KMC_UB_조인트중량,조인트길이_110214" xfId="2523" xr:uid="{00000000-0005-0000-0000-00006B090000}"/>
    <cellStyle name="Ç¥ÁØ_LXLZ4.5 _Dr inr comple 요약_KMC_UB_조인트중량,조인트길이_110214" xfId="2524" xr:uid="{00000000-0005-0000-0000-00006C090000}"/>
    <cellStyle name="C￥AØ_LXLZ4.5 _Dr inr comple 요약_KMC_UB_조인트중량,조인트길이_110214 2" xfId="2525" xr:uid="{00000000-0005-0000-0000-00006D090000}"/>
    <cellStyle name="Ç¥ÁØ_LXLZ4.5 _Dr inr comple 요약_KMC_UB_조인트중량,조인트길이_110214 2" xfId="2526" xr:uid="{00000000-0005-0000-0000-00006E090000}"/>
    <cellStyle name="C￥AØ_LXLZ4.5 _Dr inr comple 요약_KMC_UB_조인트중량,조인트길이_110214 3" xfId="2527" xr:uid="{00000000-0005-0000-0000-00006F090000}"/>
    <cellStyle name="Ç¥ÁØ_LXLZ4.5 _Dr inr comple 요약_KMC_UB_조인트중량,조인트길이_110214 3" xfId="2528" xr:uid="{00000000-0005-0000-0000-000070090000}"/>
    <cellStyle name="C￥AØ_LXLZ4.5 _Dr inr comple 요약_KMC_UB_조인트중량,조인트길이_110214 4" xfId="2529" xr:uid="{00000000-0005-0000-0000-000071090000}"/>
    <cellStyle name="Ç¥ÁØ_LXLZ4.5 _Dr inr comple 요약_KMC_UB_조인트중량,조인트길이_110214 4" xfId="2530" xr:uid="{00000000-0005-0000-0000-000072090000}"/>
    <cellStyle name="C￥AØ_LXLZ4.5 _Dr inr comple 요약_RBk(5DR)_GR_비교원가,원재료인상_110607" xfId="2531" xr:uid="{00000000-0005-0000-0000-000073090000}"/>
    <cellStyle name="Ç¥ÁØ_LXLZ4.5 _Dr inr comple 요약_RBk(5DR)_GR_비교원가,원재료인상_110607" xfId="2532" xr:uid="{00000000-0005-0000-0000-000074090000}"/>
    <cellStyle name="C￥AØ_LXLZ4.5 _Dr inr comple 요약_RBk(5DR)_GR_비교원가,원재료인상_110607 2" xfId="2533" xr:uid="{00000000-0005-0000-0000-000075090000}"/>
    <cellStyle name="Ç¥ÁØ_LXLZ4.5 _Dr inr comple 요약_RBk(5DR)_GR_비교원가,원재료인상_110607 2" xfId="2534" xr:uid="{00000000-0005-0000-0000-000076090000}"/>
    <cellStyle name="C￥AØ_LXLZ4.5 _Dr inr comple 요약_RBk(5DR)_GR_비교원가,원재료인상_110607 3" xfId="2535" xr:uid="{00000000-0005-0000-0000-000077090000}"/>
    <cellStyle name="Ç¥ÁØ_LXLZ4.5 _Dr inr comple 요약_RBk(5DR)_GR_비교원가,원재료인상_110607 3" xfId="2536" xr:uid="{00000000-0005-0000-0000-000078090000}"/>
    <cellStyle name="C￥AØ_LXLZ4.5 _Dr inr comple 요약_RBk(5DR)_GR_비교원가,원재료인상_110607 4" xfId="2537" xr:uid="{00000000-0005-0000-0000-000079090000}"/>
    <cellStyle name="Ç¥ÁØ_LXLZ4.5 _Dr inr comple 요약_RBk(5DR)_GR_비교원가,원재료인상_110607 4" xfId="2538" xr:uid="{00000000-0005-0000-0000-00007A090000}"/>
    <cellStyle name="C￥AØ_LXLZ4.5 _Dr inr comple 요약_VIL_WS_비교원가_110708" xfId="2539" xr:uid="{00000000-0005-0000-0000-00007B090000}"/>
    <cellStyle name="Ç¥ÁØ_LXLZ4.5 _Dr inr comple 요약_VIL_WS_비교원가_110708" xfId="2540" xr:uid="{00000000-0005-0000-0000-00007C090000}"/>
    <cellStyle name="C￥AØ_LXLZ4.5 _JB 차체부품 원가계산 대책(보고完-04.10.04)" xfId="2541" xr:uid="{00000000-0005-0000-0000-00007D090000}"/>
    <cellStyle name="Ç¥ÁØ_LXLZ4.5 _JB 차체부품 원가계산 대책(보고完-04.10.04)" xfId="2542" xr:uid="{00000000-0005-0000-0000-00007E090000}"/>
    <cellStyle name="C￥AØ_LXLZ4.5 _TB차체부품외주화원가검토0007" xfId="2543" xr:uid="{00000000-0005-0000-0000-00007F090000}"/>
    <cellStyle name="Ç¥ÁØ_LXLZ4.5 _TB차체부품외주화원가검토0007" xfId="2544" xr:uid="{00000000-0005-0000-0000-000080090000}"/>
    <cellStyle name="C￥AØ_LXLZ4.5 _카니발부품국산화개발방안-회장님(030616" xfId="2545" xr:uid="{00000000-0005-0000-0000-000081090000}"/>
    <cellStyle name="Ç¥ÁØ_LXLZ4.5 _카니발부품국산화개발방안-회장님(030616" xfId="2546" xr:uid="{00000000-0005-0000-0000-000082090000}"/>
    <cellStyle name="C￥AØ_LXLZ4.5 _카니발부품국산화개발방안-회장님(030616 2" xfId="2547" xr:uid="{00000000-0005-0000-0000-000083090000}"/>
    <cellStyle name="Ç¥ÁØ_LXLZ4.5 _카니발부품국산화개발방안-회장님(030616 2" xfId="2548" xr:uid="{00000000-0005-0000-0000-000084090000}"/>
    <cellStyle name="C￥AØ_LXLZ4.5 _카니발부품국산화개발방안-회장님(030616 3" xfId="2549" xr:uid="{00000000-0005-0000-0000-000085090000}"/>
    <cellStyle name="Ç¥ÁØ_LXLZ4.5 _카니발부품국산화개발방안-회장님(030616 3" xfId="2550" xr:uid="{00000000-0005-0000-0000-000086090000}"/>
    <cellStyle name="C￥AØ_LXLZ4.5 _카니발부품국산화개발방안-회장님(030616 4" xfId="2551" xr:uid="{00000000-0005-0000-0000-000087090000}"/>
    <cellStyle name="Ç¥ÁØ_LXLZ4.5 _카니발부품국산화개발방안-회장님(030616 4" xfId="2552" xr:uid="{00000000-0005-0000-0000-000088090000}"/>
    <cellStyle name="C￥AØ_LXLZEXH_AuEA A÷AIºn±³ " xfId="2553" xr:uid="{00000000-0005-0000-0000-000089090000}"/>
    <cellStyle name="Ç¥ÁØ_LXLZEXH_ÀüÈÄ Â÷ÀÌºñ±³ " xfId="2554" xr:uid="{00000000-0005-0000-0000-00008A090000}"/>
    <cellStyle name="C￥AØ_LXLZEXH_AuEA A÷AIºn±³ _Book2" xfId="2555" xr:uid="{00000000-0005-0000-0000-00008B090000}"/>
    <cellStyle name="Ç¥ÁØ_LXLZEXH_ÀüÈÄ Â÷ÀÌºñ±³ _Book2" xfId="2556" xr:uid="{00000000-0005-0000-0000-00008C090000}"/>
    <cellStyle name="C￥AØ_LXLZEXH_AuEA A÷AIºn±³ _Dr inr comple 요약" xfId="2557" xr:uid="{00000000-0005-0000-0000-00008D090000}"/>
    <cellStyle name="Ç¥ÁØ_LXLZEXH_ÀüÈÄ Â÷ÀÌºñ±³ _Dr inr comple 요약" xfId="2558" xr:uid="{00000000-0005-0000-0000-00008E090000}"/>
    <cellStyle name="C￥AØ_LXLZEXH_AuEA A÷AIºn±³ _Dr inr comple 요약 2" xfId="2559" xr:uid="{00000000-0005-0000-0000-00008F090000}"/>
    <cellStyle name="Ç¥ÁØ_LXLZEXH_ÀüÈÄ Â÷ÀÌºñ±³ _Dr inr comple 요약 2" xfId="2560" xr:uid="{00000000-0005-0000-0000-000090090000}"/>
    <cellStyle name="C￥AØ_LXLZEXH_AuEA A÷AIºn±³ _Dr inr comple 요약 3" xfId="2561" xr:uid="{00000000-0005-0000-0000-000091090000}"/>
    <cellStyle name="Ç¥ÁØ_LXLZEXH_ÀüÈÄ Â÷ÀÌºñ±³ _Dr inr comple 요약 3" xfId="2562" xr:uid="{00000000-0005-0000-0000-000092090000}"/>
    <cellStyle name="C￥AØ_LXLZEXH_AuEA A÷AIºn±³ _Dr inr comple 요약 4" xfId="2563" xr:uid="{00000000-0005-0000-0000-000093090000}"/>
    <cellStyle name="Ç¥ÁØ_LXLZEXH_ÀüÈÄ Â÷ÀÌºñ±³ _Dr inr comple 요약 4" xfId="2564" xr:uid="{00000000-0005-0000-0000-000094090000}"/>
    <cellStyle name="C￥AØ_LXLZEXH_AuEA A÷AIºn±³ _Dr inr comple 요약_■EN_BS_비교원가,원재료인상_110621" xfId="2565" xr:uid="{00000000-0005-0000-0000-000095090000}"/>
    <cellStyle name="Ç¥ÁØ_LXLZEXH_ÀüÈÄ Â÷ÀÌºñ±³ _Dr inr comple 요약_■EN_BS_비교원가,원재료인상_110621" xfId="2566" xr:uid="{00000000-0005-0000-0000-000096090000}"/>
    <cellStyle name="C￥AØ_LXLZEXH_AuEA A÷AIºn±³ _Dr inr comple 요약_■EN_BS_비교원가,원재료인상_110621 2" xfId="2567" xr:uid="{00000000-0005-0000-0000-000097090000}"/>
    <cellStyle name="Ç¥ÁØ_LXLZEXH_ÀüÈÄ Â÷ÀÌºñ±³ _Dr inr comple 요약_■EN_BS_비교원가,원재료인상_110621 2" xfId="2568" xr:uid="{00000000-0005-0000-0000-000098090000}"/>
    <cellStyle name="C￥AØ_LXLZEXH_AuEA A÷AIºn±³ _Dr inr comple 요약_■EN_BS_비교원가,원재료인상_110621 3" xfId="2569" xr:uid="{00000000-0005-0000-0000-000099090000}"/>
    <cellStyle name="Ç¥ÁØ_LXLZEXH_ÀüÈÄ Â÷ÀÌºñ±³ _Dr inr comple 요약_■EN_BS_비교원가,원재료인상_110621 3" xfId="2570" xr:uid="{00000000-0005-0000-0000-00009A090000}"/>
    <cellStyle name="C￥AØ_LXLZEXH_AuEA A÷AIºn±³ _Dr inr comple 요약_■EN_BS_비교원가,원재료인상_110621 4" xfId="2571" xr:uid="{00000000-0005-0000-0000-00009B090000}"/>
    <cellStyle name="Ç¥ÁØ_LXLZEXH_ÀüÈÄ Â÷ÀÌºñ±³ _Dr inr comple 요약_■EN_BS_비교원가,원재료인상_110621 4" xfId="2572" xr:uid="{00000000-0005-0000-0000-00009C090000}"/>
    <cellStyle name="C￥AØ_LXLZEXH_AuEA A÷AIºn±³ _Dr inr comple 요약_110810_UB_도아_바디웨자_초도가_(화승R&amp;A)" xfId="2573" xr:uid="{00000000-0005-0000-0000-00009D090000}"/>
    <cellStyle name="Ç¥ÁØ_LXLZEXH_ÀüÈÄ Â÷ÀÌºñ±³ _Dr inr comple 요약_110810_UB_도아_바디웨자_초도가_(화승R&amp;A)" xfId="2574" xr:uid="{00000000-0005-0000-0000-00009E090000}"/>
    <cellStyle name="C￥AØ_LXLZEXH_AuEA A÷AIºn±³ _Dr inr comple 요약_110810_철판 SCRAP조정_자동_화승R&amp;A" xfId="2575" xr:uid="{00000000-0005-0000-0000-00009F090000}"/>
    <cellStyle name="Ç¥ÁØ_LXLZEXH_ÀüÈÄ Â÷ÀÌºñ±³ _Dr inr comple 요약_110810_철판 SCRAP조정_자동_화승R&amp;A" xfId="2576" xr:uid="{00000000-0005-0000-0000-0000A0090000}"/>
    <cellStyle name="C￥AØ_LXLZEXH_AuEA A÷AIºn±³ _Dr inr comple 요약_110810_철판 SCRAP조정_자동_화승R&amp;A 2" xfId="2577" xr:uid="{00000000-0005-0000-0000-0000A1090000}"/>
    <cellStyle name="Ç¥ÁØ_LXLZEXH_ÀüÈÄ Â÷ÀÌºñ±³ _Dr inr comple 요약_110810_철판 SCRAP조정_자동_화승R&amp;A 2" xfId="2578" xr:uid="{00000000-0005-0000-0000-0000A2090000}"/>
    <cellStyle name="C￥AØ_LXLZEXH_AuEA A÷AIºn±³ _Dr inr comple 요약_110810_철판 SCRAP조정_자동_화승R&amp;A 3" xfId="2579" xr:uid="{00000000-0005-0000-0000-0000A3090000}"/>
    <cellStyle name="Ç¥ÁØ_LXLZEXH_ÀüÈÄ Â÷ÀÌºñ±³ _Dr inr comple 요약_110810_철판 SCRAP조정_자동_화승R&amp;A 3" xfId="2580" xr:uid="{00000000-0005-0000-0000-0000A4090000}"/>
    <cellStyle name="C￥AØ_LXLZEXH_AuEA A÷AIºn±³ _Dr inr comple 요약_110810_철판 SCRAP조정_자동_화승R&amp;A 4" xfId="2581" xr:uid="{00000000-0005-0000-0000-0000A5090000}"/>
    <cellStyle name="Ç¥ÁØ_LXLZEXH_ÀüÈÄ Â÷ÀÌºñ±³ _Dr inr comple 요약_110810_철판 SCRAP조정_자동_화승R&amp;A 4" xfId="2582" xr:uid="{00000000-0005-0000-0000-0000A6090000}"/>
    <cellStyle name="C￥AØ_LXLZEXH_AuEA A÷AIºn±³ _Dr inr comple 요약_AM_WS_운반비_110708" xfId="2583" xr:uid="{00000000-0005-0000-0000-0000A7090000}"/>
    <cellStyle name="Ç¥ÁØ_LXLZEXH_ÀüÈÄ Â÷ÀÌºñ±³ _Dr inr comple 요약_AM_WS_운반비_110708" xfId="2584" xr:uid="{00000000-0005-0000-0000-0000A8090000}"/>
    <cellStyle name="C￥AØ_LXLZEXH_AuEA A÷AIºn±³ _Dr inr comple 요약_AM_WS_운반비_110708 2" xfId="2585" xr:uid="{00000000-0005-0000-0000-0000A9090000}"/>
    <cellStyle name="Ç¥ÁØ_LXLZEXH_ÀüÈÄ Â÷ÀÌºñ±³ _Dr inr comple 요약_AM_WS_운반비_110708 2" xfId="2586" xr:uid="{00000000-0005-0000-0000-0000AA090000}"/>
    <cellStyle name="C￥AØ_LXLZEXH_AuEA A÷AIºn±³ _Dr inr comple 요약_AM_WS_운반비_110708 3" xfId="2587" xr:uid="{00000000-0005-0000-0000-0000AB090000}"/>
    <cellStyle name="Ç¥ÁØ_LXLZEXH_ÀüÈÄ Â÷ÀÌºñ±³ _Dr inr comple 요약_AM_WS_운반비_110708 3" xfId="2588" xr:uid="{00000000-0005-0000-0000-0000AC090000}"/>
    <cellStyle name="C￥AØ_LXLZEXH_AuEA A÷AIºn±³ _Dr inr comple 요약_AM_WS_운반비_110708 4" xfId="2589" xr:uid="{00000000-0005-0000-0000-0000AD090000}"/>
    <cellStyle name="Ç¥ÁØ_LXLZEXH_ÀüÈÄ Â÷ÀÌºñ±³ _Dr inr comple 요약_AM_WS_운반비_110708 4" xfId="2590" xr:uid="{00000000-0005-0000-0000-0000AE090000}"/>
    <cellStyle name="C￥AØ_LXLZEXH_AuEA A÷AIºn±³ _Dr inr comple 요약_Book2" xfId="2591" xr:uid="{00000000-0005-0000-0000-0000AF090000}"/>
    <cellStyle name="Ç¥ÁØ_LXLZEXH_ÀüÈÄ Â÷ÀÌºñ±³ _Dr inr comple 요약_Book2" xfId="2592" xr:uid="{00000000-0005-0000-0000-0000B0090000}"/>
    <cellStyle name="C￥AØ_LXLZEXH_AuEA A÷AIºn±³ _Dr inr comple 요약_KMC_UB_단면적,코팅길이_110218" xfId="2593" xr:uid="{00000000-0005-0000-0000-0000B1090000}"/>
    <cellStyle name="Ç¥ÁØ_LXLZEXH_ÀüÈÄ Â÷ÀÌºñ±³ _Dr inr comple 요약_KMC_UB_단면적,코팅길이_110218" xfId="2594" xr:uid="{00000000-0005-0000-0000-0000B2090000}"/>
    <cellStyle name="C￥AØ_LXLZEXH_AuEA A÷AIºn±³ _Dr inr comple 요약_KMC_UB_단면적,코팅길이_110218 2" xfId="2595" xr:uid="{00000000-0005-0000-0000-0000B3090000}"/>
    <cellStyle name="Ç¥ÁØ_LXLZEXH_ÀüÈÄ Â÷ÀÌºñ±³ _Dr inr comple 요약_KMC_UB_단면적,코팅길이_110218 2" xfId="2596" xr:uid="{00000000-0005-0000-0000-0000B4090000}"/>
    <cellStyle name="C￥AØ_LXLZEXH_AuEA A÷AIºn±³ _Dr inr comple 요약_KMC_UB_단면적,코팅길이_110218 3" xfId="2597" xr:uid="{00000000-0005-0000-0000-0000B5090000}"/>
    <cellStyle name="Ç¥ÁØ_LXLZEXH_ÀüÈÄ Â÷ÀÌºñ±³ _Dr inr comple 요약_KMC_UB_단면적,코팅길이_110218 3" xfId="2598" xr:uid="{00000000-0005-0000-0000-0000B6090000}"/>
    <cellStyle name="C￥AØ_LXLZEXH_AuEA A÷AIºn±³ _Dr inr comple 요약_KMC_UB_단면적,코팅길이_110218 4" xfId="2599" xr:uid="{00000000-0005-0000-0000-0000B7090000}"/>
    <cellStyle name="Ç¥ÁØ_LXLZEXH_ÀüÈÄ Â÷ÀÌºñ±³ _Dr inr comple 요약_KMC_UB_단면적,코팅길이_110218 4" xfId="2600" xr:uid="{00000000-0005-0000-0000-0000B8090000}"/>
    <cellStyle name="C￥AØ_LXLZEXH_AuEA A÷AIºn±³ _Dr inr comple 요약_KMC_UB_조인트중량,조인트길이_110214" xfId="2601" xr:uid="{00000000-0005-0000-0000-0000B9090000}"/>
    <cellStyle name="Ç¥ÁØ_LXLZEXH_ÀüÈÄ Â÷ÀÌºñ±³ _Dr inr comple 요약_KMC_UB_조인트중량,조인트길이_110214" xfId="2602" xr:uid="{00000000-0005-0000-0000-0000BA090000}"/>
    <cellStyle name="C￥AØ_LXLZEXH_AuEA A÷AIºn±³ _Dr inr comple 요약_KMC_UB_조인트중량,조인트길이_110214 2" xfId="2603" xr:uid="{00000000-0005-0000-0000-0000BB090000}"/>
    <cellStyle name="Ç¥ÁØ_LXLZEXH_ÀüÈÄ Â÷ÀÌºñ±³ _Dr inr comple 요약_KMC_UB_조인트중량,조인트길이_110214 2" xfId="2604" xr:uid="{00000000-0005-0000-0000-0000BC090000}"/>
    <cellStyle name="C￥AØ_LXLZEXH_AuEA A÷AIºn±³ _Dr inr comple 요약_KMC_UB_조인트중량,조인트길이_110214 3" xfId="2605" xr:uid="{00000000-0005-0000-0000-0000BD090000}"/>
    <cellStyle name="Ç¥ÁØ_LXLZEXH_ÀüÈÄ Â÷ÀÌºñ±³ _Dr inr comple 요약_KMC_UB_조인트중량,조인트길이_110214 3" xfId="2606" xr:uid="{00000000-0005-0000-0000-0000BE090000}"/>
    <cellStyle name="C￥AØ_LXLZEXH_AuEA A÷AIºn±³ _Dr inr comple 요약_KMC_UB_조인트중량,조인트길이_110214 4" xfId="2607" xr:uid="{00000000-0005-0000-0000-0000BF090000}"/>
    <cellStyle name="Ç¥ÁØ_LXLZEXH_ÀüÈÄ Â÷ÀÌºñ±³ _Dr inr comple 요약_KMC_UB_조인트중량,조인트길이_110214 4" xfId="2608" xr:uid="{00000000-0005-0000-0000-0000C0090000}"/>
    <cellStyle name="C￥AØ_LXLZEXH_AuEA A÷AIºn±³ _Dr inr comple 요약_RBk(5DR)_GR_비교원가,원재료인상_110607" xfId="2609" xr:uid="{00000000-0005-0000-0000-0000C1090000}"/>
    <cellStyle name="Ç¥ÁØ_LXLZEXH_ÀüÈÄ Â÷ÀÌºñ±³ _Dr inr comple 요약_RBk(5DR)_GR_비교원가,원재료인상_110607" xfId="2610" xr:uid="{00000000-0005-0000-0000-0000C2090000}"/>
    <cellStyle name="C￥AØ_LXLZEXH_AuEA A÷AIºn±³ _Dr inr comple 요약_RBk(5DR)_GR_비교원가,원재료인상_110607 2" xfId="2611" xr:uid="{00000000-0005-0000-0000-0000C3090000}"/>
    <cellStyle name="Ç¥ÁØ_LXLZEXH_ÀüÈÄ Â÷ÀÌºñ±³ _Dr inr comple 요약_RBk(5DR)_GR_비교원가,원재료인상_110607 2" xfId="2612" xr:uid="{00000000-0005-0000-0000-0000C4090000}"/>
    <cellStyle name="C￥AØ_LXLZEXH_AuEA A÷AIºn±³ _Dr inr comple 요약_RBk(5DR)_GR_비교원가,원재료인상_110607 3" xfId="2613" xr:uid="{00000000-0005-0000-0000-0000C5090000}"/>
    <cellStyle name="Ç¥ÁØ_LXLZEXH_ÀüÈÄ Â÷ÀÌºñ±³ _Dr inr comple 요약_RBk(5DR)_GR_비교원가,원재료인상_110607 3" xfId="2614" xr:uid="{00000000-0005-0000-0000-0000C6090000}"/>
    <cellStyle name="C￥AØ_LXLZEXH_AuEA A÷AIºn±³ _Dr inr comple 요약_RBk(5DR)_GR_비교원가,원재료인상_110607 4" xfId="2615" xr:uid="{00000000-0005-0000-0000-0000C7090000}"/>
    <cellStyle name="Ç¥ÁØ_LXLZEXH_ÀüÈÄ Â÷ÀÌºñ±³ _Dr inr comple 요약_RBk(5DR)_GR_비교원가,원재료인상_110607 4" xfId="2616" xr:uid="{00000000-0005-0000-0000-0000C8090000}"/>
    <cellStyle name="C￥AØ_LXLZEXH_AuEA A÷AIºn±³ _Dr inr comple 요약_VIL_WS_비교원가_110708" xfId="2617" xr:uid="{00000000-0005-0000-0000-0000C9090000}"/>
    <cellStyle name="Ç¥ÁØ_LXLZEXH_ÀüÈÄ Â÷ÀÌºñ±³ _Dr inr comple 요약_VIL_WS_비교원가_110708" xfId="2618" xr:uid="{00000000-0005-0000-0000-0000CA090000}"/>
    <cellStyle name="C￥AØ_LXLZEXH_AuEA A÷AIºn±³ _JB 차체부품 원가계산 대책(보고完-04.10.04)" xfId="2619" xr:uid="{00000000-0005-0000-0000-0000CB090000}"/>
    <cellStyle name="Ç¥ÁØ_LXLZEXH_ÀüÈÄ Â÷ÀÌºñ±³ _JB 차체부품 원가계산 대책(보고完-04.10.04)" xfId="2620" xr:uid="{00000000-0005-0000-0000-0000CC090000}"/>
    <cellStyle name="C￥AØ_LXLZEXH_AuEA A÷AIºn±³ _TB차체부품외주화원가검토0007" xfId="2621" xr:uid="{00000000-0005-0000-0000-0000CD090000}"/>
    <cellStyle name="Ç¥ÁØ_LXLZEXH_ÀüÈÄ Â÷ÀÌºñ±³ _TB차체부품외주화원가검토0007" xfId="2622" xr:uid="{00000000-0005-0000-0000-0000CE090000}"/>
    <cellStyle name="C￥AØ_LXLZEXH_AuEA A÷AIºn±³ _카니발부품국산화개발방안-회장님(030616" xfId="2623" xr:uid="{00000000-0005-0000-0000-0000CF090000}"/>
    <cellStyle name="Ç¥ÁØ_LXLZEXH_ÀüÈÄ Â÷ÀÌºñ±³ _카니발부품국산화개발방안-회장님(030616" xfId="2624" xr:uid="{00000000-0005-0000-0000-0000D0090000}"/>
    <cellStyle name="C￥AØ_LXLZEXH_AuEA A÷AIºn±³ _카니발부품국산화개발방안-회장님(030616 2" xfId="2625" xr:uid="{00000000-0005-0000-0000-0000D1090000}"/>
    <cellStyle name="Ç¥ÁØ_LXLZEXH_ÀüÈÄ Â÷ÀÌºñ±³ _카니발부품국산화개발방안-회장님(030616 2" xfId="2626" xr:uid="{00000000-0005-0000-0000-0000D2090000}"/>
    <cellStyle name="C￥AØ_LXLZEXH_AuEA A÷AIºn±³ _카니발부품국산화개발방안-회장님(030616 3" xfId="2627" xr:uid="{00000000-0005-0000-0000-0000D3090000}"/>
    <cellStyle name="Ç¥ÁØ_LXLZEXH_ÀüÈÄ Â÷ÀÌºñ±³ _카니발부품국산화개발방안-회장님(030616 3" xfId="2628" xr:uid="{00000000-0005-0000-0000-0000D4090000}"/>
    <cellStyle name="C￥AØ_LXLZEXH_AuEA A÷AIºn±³ _카니발부품국산화개발방안-회장님(030616 4" xfId="2629" xr:uid="{00000000-0005-0000-0000-0000D5090000}"/>
    <cellStyle name="Ç¥ÁØ_LXLZEXH_ÀüÈÄ Â÷ÀÌºñ±³ _카니발부품국산화개발방안-회장님(030616 4" xfId="2630" xr:uid="{00000000-0005-0000-0000-0000D6090000}"/>
    <cellStyle name="C￥AØ_lx-taxi " xfId="2631" xr:uid="{00000000-0005-0000-0000-0000D7090000}"/>
    <cellStyle name="Ç¥ÁØ_lx-taxi " xfId="2632" xr:uid="{00000000-0005-0000-0000-0000D8090000}"/>
    <cellStyle name="C￥AØ_lx-taxi _±¸¸A½CAu " xfId="2633" xr:uid="{00000000-0005-0000-0000-0000D9090000}"/>
    <cellStyle name="Ç¥ÁØ_lx-taxi _액센트금형이전계획(0105)-수정2차" xfId="2634" xr:uid="{00000000-0005-0000-0000-0000DA090000}"/>
    <cellStyle name="C￥AØ_lx-taxi _카니발부품국산화개발방안-회장님(030616" xfId="2635" xr:uid="{00000000-0005-0000-0000-0000DB090000}"/>
    <cellStyle name="Ç¥ÁØ_lx-taxi _카니발부품국산화개발방안-회장님(030616" xfId="2636" xr:uid="{00000000-0005-0000-0000-0000DC090000}"/>
    <cellStyle name="C￥AØ_lx-taxi _카니발부품국산화개발방안-회장님(030616 2" xfId="2637" xr:uid="{00000000-0005-0000-0000-0000DD090000}"/>
    <cellStyle name="Ç¥ÁØ_lx-taxi _카니발부품국산화개발방안-회장님(030616 2" xfId="2638" xr:uid="{00000000-0005-0000-0000-0000DE090000}"/>
    <cellStyle name="C￥AØ_lx-taxi _카니발부품국산화개발방안-회장님(030616 3" xfId="2639" xr:uid="{00000000-0005-0000-0000-0000DF090000}"/>
    <cellStyle name="Ç¥ÁØ_lx-taxi _카니발부품국산화개발방안-회장님(030616 3" xfId="2640" xr:uid="{00000000-0005-0000-0000-0000E0090000}"/>
    <cellStyle name="C￥AØ_lx-taxi _카니발부품국산화개발방안-회장님(030616 4" xfId="2641" xr:uid="{00000000-0005-0000-0000-0000E1090000}"/>
    <cellStyle name="Ç¥ÁØ_lx-taxi _카니발부품국산화개발방안-회장님(030616 4" xfId="2642" xr:uid="{00000000-0005-0000-0000-0000E2090000}"/>
    <cellStyle name="C￥AØ_LZ3.5´e4.5_AuEA A÷AIºn±³ " xfId="2643" xr:uid="{00000000-0005-0000-0000-0000E3090000}"/>
    <cellStyle name="Ç¥ÁØ_LZ3.5´ë4.5_ÀüÈÄ Â÷ÀÌºñ±³ " xfId="2644" xr:uid="{00000000-0005-0000-0000-0000E4090000}"/>
    <cellStyle name="C￥AØ_LZ3.5´e4.5_AuEA A÷AIºn±³ _Dr inr comple 요약" xfId="2645" xr:uid="{00000000-0005-0000-0000-0000E5090000}"/>
    <cellStyle name="Ç¥ÁØ_LZ3.5´ë4.5_ÀüÈÄ Â÷ÀÌºñ±³ _Dr inr comple 요약" xfId="2646" xr:uid="{00000000-0005-0000-0000-0000E6090000}"/>
    <cellStyle name="C￥AØ_LZ3.5´e4.5_AuEA A÷AIºn±³ _Dr inr comple 요약 2" xfId="2647" xr:uid="{00000000-0005-0000-0000-0000E7090000}"/>
    <cellStyle name="Ç¥ÁØ_LZ3.5´ë4.5_ÀüÈÄ Â÷ÀÌºñ±³ _Dr inr comple 요약 2" xfId="2648" xr:uid="{00000000-0005-0000-0000-0000E8090000}"/>
    <cellStyle name="C￥AØ_LZ3.5´e4.5_AuEA A÷AIºn±³ _Dr inr comple 요약 3" xfId="2649" xr:uid="{00000000-0005-0000-0000-0000E9090000}"/>
    <cellStyle name="Ç¥ÁØ_LZ3.5´ë4.5_ÀüÈÄ Â÷ÀÌºñ±³ _Dr inr comple 요약 3" xfId="2650" xr:uid="{00000000-0005-0000-0000-0000EA090000}"/>
    <cellStyle name="C￥AØ_LZ3.5´e4.5_AuEA A÷AIºn±³ _Dr inr comple 요약 4" xfId="2651" xr:uid="{00000000-0005-0000-0000-0000EB090000}"/>
    <cellStyle name="Ç¥ÁØ_LZ3.5´ë4.5_ÀüÈÄ Â÷ÀÌºñ±³ _Dr inr comple 요약 4" xfId="2652" xr:uid="{00000000-0005-0000-0000-0000EC090000}"/>
    <cellStyle name="C￥AØ_LZ3.5´e4.5_AuEA A÷AIºn±³ _Dr inr comple 요약_■EN_BS_비교원가,원재료인상_110621" xfId="2653" xr:uid="{00000000-0005-0000-0000-0000ED090000}"/>
    <cellStyle name="Ç¥ÁØ_LZ3.5´ë4.5_ÀüÈÄ Â÷ÀÌºñ±³ _Dr inr comple 요약_■EN_BS_비교원가,원재료인상_110621" xfId="2654" xr:uid="{00000000-0005-0000-0000-0000EE090000}"/>
    <cellStyle name="C￥AØ_LZ3.5´e4.5_AuEA A÷AIºn±³ _Dr inr comple 요약_■EN_BS_비교원가,원재료인상_110621 2" xfId="2655" xr:uid="{00000000-0005-0000-0000-0000EF090000}"/>
    <cellStyle name="Ç¥ÁØ_LZ3.5´ë4.5_ÀüÈÄ Â÷ÀÌºñ±³ _Dr inr comple 요약_■EN_BS_비교원가,원재료인상_110621 2" xfId="2656" xr:uid="{00000000-0005-0000-0000-0000F0090000}"/>
    <cellStyle name="C￥AØ_LZ3.5´e4.5_AuEA A÷AIºn±³ _Dr inr comple 요약_■EN_BS_비교원가,원재료인상_110621 3" xfId="2657" xr:uid="{00000000-0005-0000-0000-0000F1090000}"/>
    <cellStyle name="Ç¥ÁØ_LZ3.5´ë4.5_ÀüÈÄ Â÷ÀÌºñ±³ _Dr inr comple 요약_■EN_BS_비교원가,원재료인상_110621 3" xfId="2658" xr:uid="{00000000-0005-0000-0000-0000F2090000}"/>
    <cellStyle name="C￥AØ_LZ3.5´e4.5_AuEA A÷AIºn±³ _Dr inr comple 요약_■EN_BS_비교원가,원재료인상_110621 4" xfId="2659" xr:uid="{00000000-0005-0000-0000-0000F3090000}"/>
    <cellStyle name="Ç¥ÁØ_LZ3.5´ë4.5_ÀüÈÄ Â÷ÀÌºñ±³ _Dr inr comple 요약_■EN_BS_비교원가,원재료인상_110621 4" xfId="2660" xr:uid="{00000000-0005-0000-0000-0000F4090000}"/>
    <cellStyle name="C￥AØ_LZ3.5´e4.5_AuEA A÷AIºn±³ _Dr inr comple 요약_110810_UB_도아_바디웨자_초도가_(화승R&amp;A)" xfId="2661" xr:uid="{00000000-0005-0000-0000-0000F5090000}"/>
    <cellStyle name="Ç¥ÁØ_LZ3.5´ë4.5_ÀüÈÄ Â÷ÀÌºñ±³ _Dr inr comple 요약_110810_UB_도아_바디웨자_초도가_(화승R&amp;A)" xfId="2662" xr:uid="{00000000-0005-0000-0000-0000F6090000}"/>
    <cellStyle name="C￥AØ_LZ3.5´e4.5_AuEA A÷AIºn±³ _Dr inr comple 요약_110810_철판 SCRAP조정_자동_화승R&amp;A" xfId="2663" xr:uid="{00000000-0005-0000-0000-0000F7090000}"/>
    <cellStyle name="Ç¥ÁØ_LZ3.5´ë4.5_ÀüÈÄ Â÷ÀÌºñ±³ _Dr inr comple 요약_110810_철판 SCRAP조정_자동_화승R&amp;A" xfId="2664" xr:uid="{00000000-0005-0000-0000-0000F8090000}"/>
    <cellStyle name="C￥AØ_LZ3.5´e4.5_AuEA A÷AIºn±³ _Dr inr comple 요약_110810_철판 SCRAP조정_자동_화승R&amp;A 2" xfId="2665" xr:uid="{00000000-0005-0000-0000-0000F9090000}"/>
    <cellStyle name="Ç¥ÁØ_LZ3.5´ë4.5_ÀüÈÄ Â÷ÀÌºñ±³ _Dr inr comple 요약_110810_철판 SCRAP조정_자동_화승R&amp;A 2" xfId="2666" xr:uid="{00000000-0005-0000-0000-0000FA090000}"/>
    <cellStyle name="C￥AØ_LZ3.5´e4.5_AuEA A÷AIºn±³ _Dr inr comple 요약_110810_철판 SCRAP조정_자동_화승R&amp;A 3" xfId="2667" xr:uid="{00000000-0005-0000-0000-0000FB090000}"/>
    <cellStyle name="Ç¥ÁØ_LZ3.5´ë4.5_ÀüÈÄ Â÷ÀÌºñ±³ _Dr inr comple 요약_110810_철판 SCRAP조정_자동_화승R&amp;A 3" xfId="2668" xr:uid="{00000000-0005-0000-0000-0000FC090000}"/>
    <cellStyle name="C￥AØ_LZ3.5´e4.5_AuEA A÷AIºn±³ _Dr inr comple 요약_110810_철판 SCRAP조정_자동_화승R&amp;A 4" xfId="2669" xr:uid="{00000000-0005-0000-0000-0000FD090000}"/>
    <cellStyle name="Ç¥ÁØ_LZ3.5´ë4.5_ÀüÈÄ Â÷ÀÌºñ±³ _Dr inr comple 요약_110810_철판 SCRAP조정_자동_화승R&amp;A 4" xfId="2670" xr:uid="{00000000-0005-0000-0000-0000FE090000}"/>
    <cellStyle name="C￥AØ_LZ3.5´e4.5_AuEA A÷AIºn±³ _Dr inr comple 요약_AM_WS_운반비_110708" xfId="2671" xr:uid="{00000000-0005-0000-0000-0000FF090000}"/>
    <cellStyle name="Ç¥ÁØ_LZ3.5´ë4.5_ÀüÈÄ Â÷ÀÌºñ±³ _Dr inr comple 요약_AM_WS_운반비_110708" xfId="2672" xr:uid="{00000000-0005-0000-0000-0000000A0000}"/>
    <cellStyle name="C￥AØ_LZ3.5´e4.5_AuEA A÷AIºn±³ _Dr inr comple 요약_AM_WS_운반비_110708 2" xfId="2673" xr:uid="{00000000-0005-0000-0000-0000010A0000}"/>
    <cellStyle name="Ç¥ÁØ_LZ3.5´ë4.5_ÀüÈÄ Â÷ÀÌºñ±³ _Dr inr comple 요약_AM_WS_운반비_110708 2" xfId="2674" xr:uid="{00000000-0005-0000-0000-0000020A0000}"/>
    <cellStyle name="C￥AØ_LZ3.5´e4.5_AuEA A÷AIºn±³ _Dr inr comple 요약_AM_WS_운반비_110708 3" xfId="2675" xr:uid="{00000000-0005-0000-0000-0000030A0000}"/>
    <cellStyle name="Ç¥ÁØ_LZ3.5´ë4.5_ÀüÈÄ Â÷ÀÌºñ±³ _Dr inr comple 요약_AM_WS_운반비_110708 3" xfId="2676" xr:uid="{00000000-0005-0000-0000-0000040A0000}"/>
    <cellStyle name="C￥AØ_LZ3.5´e4.5_AuEA A÷AIºn±³ _Dr inr comple 요약_AM_WS_운반비_110708 4" xfId="2677" xr:uid="{00000000-0005-0000-0000-0000050A0000}"/>
    <cellStyle name="Ç¥ÁØ_LZ3.5´ë4.5_ÀüÈÄ Â÷ÀÌºñ±³ _Dr inr comple 요약_AM_WS_운반비_110708 4" xfId="2678" xr:uid="{00000000-0005-0000-0000-0000060A0000}"/>
    <cellStyle name="C￥AØ_LZ3.5´e4.5_AuEA A÷AIºn±³ _Dr inr comple 요약_Book2" xfId="2679" xr:uid="{00000000-0005-0000-0000-0000070A0000}"/>
    <cellStyle name="Ç¥ÁØ_LZ3.5´ë4.5_ÀüÈÄ Â÷ÀÌºñ±³ _Dr inr comple 요약_Book2" xfId="2680" xr:uid="{00000000-0005-0000-0000-0000080A0000}"/>
    <cellStyle name="C￥AØ_LZ3.5´e4.5_AuEA A÷AIºn±³ _Dr inr comple 요약_KMC_UB_단면적,코팅길이_110218" xfId="2681" xr:uid="{00000000-0005-0000-0000-0000090A0000}"/>
    <cellStyle name="Ç¥ÁØ_LZ3.5´ë4.5_ÀüÈÄ Â÷ÀÌºñ±³ _Dr inr comple 요약_KMC_UB_단면적,코팅길이_110218" xfId="2682" xr:uid="{00000000-0005-0000-0000-00000A0A0000}"/>
    <cellStyle name="C￥AØ_LZ3.5´e4.5_AuEA A÷AIºn±³ _Dr inr comple 요약_KMC_UB_단면적,코팅길이_110218 2" xfId="2683" xr:uid="{00000000-0005-0000-0000-00000B0A0000}"/>
    <cellStyle name="Ç¥ÁØ_LZ3.5´ë4.5_ÀüÈÄ Â÷ÀÌºñ±³ _Dr inr comple 요약_KMC_UB_단면적,코팅길이_110218 2" xfId="2684" xr:uid="{00000000-0005-0000-0000-00000C0A0000}"/>
    <cellStyle name="C￥AØ_LZ3.5´e4.5_AuEA A÷AIºn±³ _Dr inr comple 요약_KMC_UB_단면적,코팅길이_110218 3" xfId="2685" xr:uid="{00000000-0005-0000-0000-00000D0A0000}"/>
    <cellStyle name="Ç¥ÁØ_LZ3.5´ë4.5_ÀüÈÄ Â÷ÀÌºñ±³ _Dr inr comple 요약_KMC_UB_단면적,코팅길이_110218 3" xfId="2686" xr:uid="{00000000-0005-0000-0000-00000E0A0000}"/>
    <cellStyle name="C￥AØ_LZ3.5´e4.5_AuEA A÷AIºn±³ _Dr inr comple 요약_KMC_UB_단면적,코팅길이_110218 4" xfId="2687" xr:uid="{00000000-0005-0000-0000-00000F0A0000}"/>
    <cellStyle name="Ç¥ÁØ_LZ3.5´ë4.5_ÀüÈÄ Â÷ÀÌºñ±³ _Dr inr comple 요약_KMC_UB_단면적,코팅길이_110218 4" xfId="2688" xr:uid="{00000000-0005-0000-0000-0000100A0000}"/>
    <cellStyle name="C￥AØ_LZ3.5´e4.5_AuEA A÷AIºn±³ _Dr inr comple 요약_KMC_UB_조인트중량,조인트길이_110214" xfId="2689" xr:uid="{00000000-0005-0000-0000-0000110A0000}"/>
    <cellStyle name="Ç¥ÁØ_LZ3.5´ë4.5_ÀüÈÄ Â÷ÀÌºñ±³ _Dr inr comple 요약_KMC_UB_조인트중량,조인트길이_110214" xfId="2690" xr:uid="{00000000-0005-0000-0000-0000120A0000}"/>
    <cellStyle name="C￥AØ_LZ3.5´e4.5_AuEA A÷AIºn±³ _Dr inr comple 요약_KMC_UB_조인트중량,조인트길이_110214 2" xfId="2691" xr:uid="{00000000-0005-0000-0000-0000130A0000}"/>
    <cellStyle name="Ç¥ÁØ_LZ3.5´ë4.5_ÀüÈÄ Â÷ÀÌºñ±³ _Dr inr comple 요약_KMC_UB_조인트중량,조인트길이_110214 2" xfId="2692" xr:uid="{00000000-0005-0000-0000-0000140A0000}"/>
    <cellStyle name="C￥AØ_LZ3.5´e4.5_AuEA A÷AIºn±³ _Dr inr comple 요약_KMC_UB_조인트중량,조인트길이_110214 3" xfId="2693" xr:uid="{00000000-0005-0000-0000-0000150A0000}"/>
    <cellStyle name="Ç¥ÁØ_LZ3.5´ë4.5_ÀüÈÄ Â÷ÀÌºñ±³ _Dr inr comple 요약_KMC_UB_조인트중량,조인트길이_110214 3" xfId="2694" xr:uid="{00000000-0005-0000-0000-0000160A0000}"/>
    <cellStyle name="C￥AØ_LZ3.5´e4.5_AuEA A÷AIºn±³ _Dr inr comple 요약_KMC_UB_조인트중량,조인트길이_110214 4" xfId="2695" xr:uid="{00000000-0005-0000-0000-0000170A0000}"/>
    <cellStyle name="Ç¥ÁØ_LZ3.5´ë4.5_ÀüÈÄ Â÷ÀÌºñ±³ _Dr inr comple 요약_KMC_UB_조인트중량,조인트길이_110214 4" xfId="2696" xr:uid="{00000000-0005-0000-0000-0000180A0000}"/>
    <cellStyle name="C￥AØ_LZ3.5´e4.5_AuEA A÷AIºn±³ _Dr inr comple 요약_RBk(5DR)_GR_비교원가,원재료인상_110607" xfId="2697" xr:uid="{00000000-0005-0000-0000-0000190A0000}"/>
    <cellStyle name="Ç¥ÁØ_LZ3.5´ë4.5_ÀüÈÄ Â÷ÀÌºñ±³ _Dr inr comple 요약_RBk(5DR)_GR_비교원가,원재료인상_110607" xfId="2698" xr:uid="{00000000-0005-0000-0000-00001A0A0000}"/>
    <cellStyle name="C￥AØ_LZ3.5´e4.5_AuEA A÷AIºn±³ _Dr inr comple 요약_RBk(5DR)_GR_비교원가,원재료인상_110607 2" xfId="2699" xr:uid="{00000000-0005-0000-0000-00001B0A0000}"/>
    <cellStyle name="Ç¥ÁØ_LZ3.5´ë4.5_ÀüÈÄ Â÷ÀÌºñ±³ _Dr inr comple 요약_RBk(5DR)_GR_비교원가,원재료인상_110607 2" xfId="2700" xr:uid="{00000000-0005-0000-0000-00001C0A0000}"/>
    <cellStyle name="C￥AØ_LZ3.5´e4.5_AuEA A÷AIºn±³ _Dr inr comple 요약_RBk(5DR)_GR_비교원가,원재료인상_110607 3" xfId="2701" xr:uid="{00000000-0005-0000-0000-00001D0A0000}"/>
    <cellStyle name="Ç¥ÁØ_LZ3.5´ë4.5_ÀüÈÄ Â÷ÀÌºñ±³ _Dr inr comple 요약_RBk(5DR)_GR_비교원가,원재료인상_110607 3" xfId="2702" xr:uid="{00000000-0005-0000-0000-00001E0A0000}"/>
    <cellStyle name="C￥AØ_LZ3.5´e4.5_AuEA A÷AIºn±³ _Dr inr comple 요약_RBk(5DR)_GR_비교원가,원재료인상_110607 4" xfId="2703" xr:uid="{00000000-0005-0000-0000-00001F0A0000}"/>
    <cellStyle name="Ç¥ÁØ_LZ3.5´ë4.5_ÀüÈÄ Â÷ÀÌºñ±³ _Dr inr comple 요약_RBk(5DR)_GR_비교원가,원재료인상_110607 4" xfId="2704" xr:uid="{00000000-0005-0000-0000-0000200A0000}"/>
    <cellStyle name="C￥AØ_LZ3.5´e4.5_AuEA A÷AIºn±³ _Dr inr comple 요약_VIL_WS_비교원가_110708" xfId="2705" xr:uid="{00000000-0005-0000-0000-0000210A0000}"/>
    <cellStyle name="Ç¥ÁØ_LZ3.5´ë4.5_ÀüÈÄ Â÷ÀÌºñ±³ _Dr inr comple 요약_VIL_WS_비교원가_110708" xfId="2706" xr:uid="{00000000-0005-0000-0000-0000220A0000}"/>
    <cellStyle name="C￥AØ_LZ3.5´e4.5_AuEA A÷AIºn±³ _JB 차체부품 원가계산 대책(보고完-04.10.04)" xfId="2707" xr:uid="{00000000-0005-0000-0000-0000230A0000}"/>
    <cellStyle name="Ç¥ÁØ_LZ3.5´ë4.5_ÀüÈÄ Â÷ÀÌºñ±³ _JB 차체부품 원가계산 대책(보고完-04.10.04)" xfId="2708" xr:uid="{00000000-0005-0000-0000-0000240A0000}"/>
    <cellStyle name="C￥AØ_LZ3.5´e4.5_AuEA A÷AIºn±³ _TB차체부품외주화원가검토0007" xfId="2709" xr:uid="{00000000-0005-0000-0000-0000250A0000}"/>
    <cellStyle name="Ç¥ÁØ_LZ3.5´ë4.5_ÀüÈÄ Â÷ÀÌºñ±³ _TB차체부품외주화원가검토0007" xfId="2710" xr:uid="{00000000-0005-0000-0000-0000260A0000}"/>
    <cellStyle name="C￥AØ_M105CDT " xfId="2711" xr:uid="{00000000-0005-0000-0000-0000270A0000}"/>
    <cellStyle name="Ç¥ÁØ_MHPORTER " xfId="2712" xr:uid="{00000000-0005-0000-0000-0000280A0000}"/>
    <cellStyle name="C￥AØ_MIP LIST_¿ø´UA§ " xfId="2713" xr:uid="{00000000-0005-0000-0000-0000290A0000}"/>
    <cellStyle name="Ç¥ÁØ_MIP LIST_¿ø´ÜÀ§ " xfId="2714" xr:uid="{00000000-0005-0000-0000-00002A0A0000}"/>
    <cellStyle name="C￥AØ_MKN-M1.1 " xfId="2715" xr:uid="{00000000-0005-0000-0000-00002B0A0000}"/>
    <cellStyle name="Ç¥ÁØ_MKN-M1.1 " xfId="2716" xr:uid="{00000000-0005-0000-0000-00002C0A0000}"/>
    <cellStyle name="C￥AØ_MX E¸AC·I_금형견적" xfId="2717" xr:uid="{00000000-0005-0000-0000-00002D0A0000}"/>
    <cellStyle name="Ç¥ÁØ_º¯µ¿XG-±¸ºÐ,³»¿ë¼öÁ¤_KDº¯µ¿ " xfId="2718" xr:uid="{00000000-0005-0000-0000-00002E0A0000}"/>
    <cellStyle name="C￥AØ_º¸°i_KDº?μ¿ " xfId="2719" xr:uid="{00000000-0005-0000-0000-00002F0A0000}"/>
    <cellStyle name="Ç¥ÁØ_º¸°í_KDº¯µ¿ " xfId="2720" xr:uid="{00000000-0005-0000-0000-0000300A0000}"/>
    <cellStyle name="C￥AØ_º≫ºIA¶A÷ " xfId="2721" xr:uid="{00000000-0005-0000-0000-0000310A0000}"/>
    <cellStyle name="Ç¥ÁØ_ºÎÇ°LISTDY (" xfId="2722" xr:uid="{00000000-0005-0000-0000-0000320A0000}"/>
    <cellStyle name="C￥AØ_ºn±³    _TB차체부품외주화원가검토0007" xfId="2723" xr:uid="{00000000-0005-0000-0000-0000330A0000}"/>
    <cellStyle name="Ç¥ÁØ_ºñ±³    _TB차체부품외주화원가검토0007" xfId="2724" xr:uid="{00000000-0005-0000-0000-0000340A0000}"/>
    <cellStyle name="C￥AØ_ºn±³¿ø°¡" xfId="2725" xr:uid="{00000000-0005-0000-0000-0000350A0000}"/>
    <cellStyle name="Ç¥ÁØ_PRCPOSITION J-100 " xfId="3917" xr:uid="{1B617FE7-DCD3-482A-AE8D-7226E44BA360}"/>
    <cellStyle name="C￥AØ_RDTR99ML " xfId="2726" xr:uid="{00000000-0005-0000-0000-0000370A0000}"/>
    <cellStyle name="Ç¥ÁØ_RDTR99ML " xfId="2727" xr:uid="{00000000-0005-0000-0000-0000380A0000}"/>
    <cellStyle name="C￥AØ_RDTR99ML _진합-BH-MID사진1" xfId="2728" xr:uid="{00000000-0005-0000-0000-0000390A0000}"/>
    <cellStyle name="Ç¥ÁØ_RDTR99ML _진합-BH-MID사진1" xfId="2729" xr:uid="{00000000-0005-0000-0000-00003A0A0000}"/>
    <cellStyle name="C￥AØ_RDTR99ML _진합-BH-MID사진1 2" xfId="2730" xr:uid="{00000000-0005-0000-0000-00003B0A0000}"/>
    <cellStyle name="Ç¥ÁØ_RDTR99ML _진합-BH-MID사진1 2" xfId="2731" xr:uid="{00000000-0005-0000-0000-00003C0A0000}"/>
    <cellStyle name="C￥AØ_RDTR99ML _진합-BH-MID사진1 3" xfId="2732" xr:uid="{00000000-0005-0000-0000-00003D0A0000}"/>
    <cellStyle name="Ç¥ÁØ_RDTR99ML _진합-BH-MID사진1 3" xfId="2733" xr:uid="{00000000-0005-0000-0000-00003E0A0000}"/>
    <cellStyle name="C￥AØ_RDTR99ML _진합-BH-MID사진1 4" xfId="2734" xr:uid="{00000000-0005-0000-0000-00003F0A0000}"/>
    <cellStyle name="Ç¥ÁØ_RDTR99ML _진합-BH-MID사진1 4" xfId="2735" xr:uid="{00000000-0005-0000-0000-0000400A0000}"/>
    <cellStyle name="C￥AØ_RR1¾E " xfId="2736" xr:uid="{00000000-0005-0000-0000-0000410A0000}"/>
    <cellStyle name="Ç¥ÁØ_Sheet1" xfId="2737" xr:uid="{00000000-0005-0000-0000-0000420A0000}"/>
    <cellStyle name="C￥AØ_Sheet1 (2)" xfId="2738" xr:uid="{00000000-0005-0000-0000-0000430A0000}"/>
    <cellStyle name="Ç¥ÁØ_Sheet1 (2)" xfId="2739" xr:uid="{00000000-0005-0000-0000-0000440A0000}"/>
    <cellStyle name="C￥AØ_Sheet1 (2)_1.SUMMARY " xfId="2740" xr:uid="{00000000-0005-0000-0000-0000450A0000}"/>
    <cellStyle name="Ç¥ÁØ_Sheet1 (2)_1.SUMMARY " xfId="2741" xr:uid="{00000000-0005-0000-0000-0000460A0000}"/>
    <cellStyle name="C￥AØ_Sheet1 (2)_3.MSCHEDULE¿μ¹R " xfId="2742" xr:uid="{00000000-0005-0000-0000-0000470A0000}"/>
    <cellStyle name="Ç¥ÁØ_Sheet1 2" xfId="2743" xr:uid="{00000000-0005-0000-0000-0000480A0000}"/>
    <cellStyle name="C￥AØ_Sheet1_¿ø´UA§ " xfId="2744" xr:uid="{00000000-0005-0000-0000-0000490A0000}"/>
    <cellStyle name="Ç¥ÁØ_Sheet1_¿ø´ÜÀ§ " xfId="2745" xr:uid="{00000000-0005-0000-0000-00004A0A0000}"/>
    <cellStyle name="C￥AØ_Sheet1_¿ø´UA§ _카니발부품국산화개발방안-회장님(030616" xfId="2746" xr:uid="{00000000-0005-0000-0000-00004B0A0000}"/>
    <cellStyle name="Ç¥ÁØ_Sheet1_¿ø´ÜÀ§ _카니발부품국산화개발방안-회장님(030616" xfId="2747" xr:uid="{00000000-0005-0000-0000-00004C0A0000}"/>
    <cellStyle name="C￥AØ_Sheet1_¿ø´UA§ _카니발부품국산화개발방안-회장님(030616 2" xfId="2748" xr:uid="{00000000-0005-0000-0000-00004D0A0000}"/>
    <cellStyle name="Ç¥ÁØ_Sheet1_¿ø´ÜÀ§ _카니발부품국산화개발방안-회장님(030616 2" xfId="2749" xr:uid="{00000000-0005-0000-0000-00004E0A0000}"/>
    <cellStyle name="C￥AØ_Sheet1_¿ø´UA§ _카니발부품국산화개발방안-회장님(030616 3" xfId="2750" xr:uid="{00000000-0005-0000-0000-00004F0A0000}"/>
    <cellStyle name="Ç¥ÁØ_Sheet1_¿ø´ÜÀ§ _카니발부품국산화개발방안-회장님(030616 3" xfId="2751" xr:uid="{00000000-0005-0000-0000-0000500A0000}"/>
    <cellStyle name="C￥AØ_Sheet1_¿ø´UA§ _카니발부품국산화개발방안-회장님(030616 4" xfId="2752" xr:uid="{00000000-0005-0000-0000-0000510A0000}"/>
    <cellStyle name="Ç¥ÁØ_Sheet1_¿ø´ÜÀ§ _카니발부품국산화개발방안-회장님(030616 4" xfId="2753" xr:uid="{00000000-0005-0000-0000-0000520A0000}"/>
    <cellStyle name="C￥AØ_Sheet1_¿μ¾÷CoE² " xfId="2754" xr:uid="{00000000-0005-0000-0000-0000530A0000}"/>
    <cellStyle name="Ç¥ÁØ_Sheet1_0N-HANDLING " xfId="2755" xr:uid="{00000000-0005-0000-0000-0000540A0000}"/>
    <cellStyle name="C￥AØ_Sheet1_1_1.SUMMARY " xfId="2756" xr:uid="{00000000-0005-0000-0000-0000550A0000}"/>
    <cellStyle name="Ç¥ÁØ_Sheet1_1_1.SUMMARY " xfId="2757" xr:uid="{00000000-0005-0000-0000-0000560A0000}"/>
    <cellStyle name="C￥AØ_Sheet1_1_3.MSCHEDULE¿μ¹R " xfId="2758" xr:uid="{00000000-0005-0000-0000-0000570A0000}"/>
    <cellStyle name="Ç¥ÁØ_Sheet1_1_XD ÃÖÁ¾ÀÏÁ¤ " xfId="2759" xr:uid="{00000000-0005-0000-0000-0000580A0000}"/>
    <cellStyle name="C￥AØ_Sheet1_3.MSCHEDULE¿μ¹R " xfId="2760" xr:uid="{00000000-0005-0000-0000-0000590A0000}"/>
    <cellStyle name="Ç¥ÁØ_Sheet1_Áý°èÇ¥(2¿ù) " xfId="2761" xr:uid="{00000000-0005-0000-0000-00005A0A0000}"/>
    <cellStyle name="C￥AØ_Sheet1_BRK¿ø´U.XLS " xfId="2762" xr:uid="{00000000-0005-0000-0000-00005B0A0000}"/>
    <cellStyle name="Ç¥ÁØ_Sheet1_BRK¿ø´Ü.XLS " xfId="2763" xr:uid="{00000000-0005-0000-0000-00005C0A0000}"/>
    <cellStyle name="C￥AØ_Sheet1_BRK¿ø´U.XLS _카니발부품국산화개발방안-회장님(030616" xfId="2764" xr:uid="{00000000-0005-0000-0000-00005D0A0000}"/>
    <cellStyle name="Ç¥ÁØ_Sheet1_BRK¿ø´Ü.XLS _카니발부품국산화개발방안-회장님(030616" xfId="2765" xr:uid="{00000000-0005-0000-0000-00005E0A0000}"/>
    <cellStyle name="C￥AØ_Sheet1_BRK¿ø´U.XLS _카니발부품국산화개발방안-회장님(030616 2" xfId="2766" xr:uid="{00000000-0005-0000-0000-00005F0A0000}"/>
    <cellStyle name="Ç¥ÁØ_Sheet1_BRK¿ø´Ü.XLS _카니발부품국산화개발방안-회장님(030616 2" xfId="2767" xr:uid="{00000000-0005-0000-0000-0000600A0000}"/>
    <cellStyle name="C￥AØ_Sheet1_BRK¿ø´U.XLS _카니발부품국산화개발방안-회장님(030616 3" xfId="2768" xr:uid="{00000000-0005-0000-0000-0000610A0000}"/>
    <cellStyle name="Ç¥ÁØ_Sheet1_BRK¿ø´Ü.XLS _카니발부품국산화개발방안-회장님(030616 3" xfId="2769" xr:uid="{00000000-0005-0000-0000-0000620A0000}"/>
    <cellStyle name="C￥AØ_Sheet1_BRK¿ø´U.XLS _카니발부품국산화개발방안-회장님(030616 4" xfId="2770" xr:uid="{00000000-0005-0000-0000-0000630A0000}"/>
    <cellStyle name="Ç¥ÁØ_Sheet1_BRK¿ø´Ü.XLS _카니발부품국산화개발방안-회장님(030616 4" xfId="2771" xr:uid="{00000000-0005-0000-0000-0000640A0000}"/>
    <cellStyle name="C￥AØ_Sheet1_CO¸RE­¾E " xfId="2772" xr:uid="{00000000-0005-0000-0000-0000650A0000}"/>
    <cellStyle name="Ç¥ÁØ_Sheet1_CON¿ø´Ü.XLS " xfId="2773" xr:uid="{00000000-0005-0000-0000-0000660A0000}"/>
    <cellStyle name="C￥AØ_Sheet1_CON¿ø´U.XLS _카니발부품국산화개발방안-회장님(030616" xfId="2774" xr:uid="{00000000-0005-0000-0000-0000670A0000}"/>
    <cellStyle name="Ç¥ÁØ_Sheet1_CON¿ø´Ü.XLS _카니발부품국산화개발방안-회장님(030616" xfId="2775" xr:uid="{00000000-0005-0000-0000-0000680A0000}"/>
    <cellStyle name="C￥AØ_Sheet1_CON¿ø´U.XLS _카니발부품국산화개발방안-회장님(030616 2" xfId="2776" xr:uid="{00000000-0005-0000-0000-0000690A0000}"/>
    <cellStyle name="Ç¥ÁØ_Sheet1_CON¿ø´Ü.XLS _카니발부품국산화개발방안-회장님(030616 2" xfId="2777" xr:uid="{00000000-0005-0000-0000-00006A0A0000}"/>
    <cellStyle name="C￥AØ_Sheet1_CON¿ø´U.XLS _카니발부품국산화개발방안-회장님(030616 3" xfId="2778" xr:uid="{00000000-0005-0000-0000-00006B0A0000}"/>
    <cellStyle name="Ç¥ÁØ_Sheet1_CON¿ø´Ü.XLS _카니발부품국산화개발방안-회장님(030616 3" xfId="2779" xr:uid="{00000000-0005-0000-0000-00006C0A0000}"/>
    <cellStyle name="C￥AØ_Sheet1_CON¿ø´U.XLS _카니발부품국산화개발방안-회장님(030616 4" xfId="2780" xr:uid="{00000000-0005-0000-0000-00006D0A0000}"/>
    <cellStyle name="Ç¥ÁØ_Sheet1_CON¿ø´Ü.XLS _카니발부품국산화개발방안-회장님(030616 4" xfId="2781" xr:uid="{00000000-0005-0000-0000-00006E0A0000}"/>
    <cellStyle name="C￥AØ_Sheet1_EF PAD " xfId="2782" xr:uid="{00000000-0005-0000-0000-00006F0A0000}"/>
    <cellStyle name="Ç¥ÁØ_Sheet1_XD ÃÖÁ¾ÀÏÁ¤ " xfId="2783" xr:uid="{00000000-0005-0000-0000-0000700A0000}"/>
    <cellStyle name="C￥AØ_Sheet2 (2)_1" xfId="2784" xr:uid="{00000000-0005-0000-0000-0000710A0000}"/>
    <cellStyle name="Ç¥ÁØ_Sheet2 (2)_1" xfId="2785" xr:uid="{00000000-0005-0000-0000-0000720A0000}"/>
    <cellStyle name="C￥AØ_Sheet2 (2)_1_비교원가" xfId="2786" xr:uid="{00000000-0005-0000-0000-0000730A0000}"/>
    <cellStyle name="Ç¥ÁØ_Sheet4" xfId="2787" xr:uid="{00000000-0005-0000-0000-0000740A0000}"/>
    <cellStyle name="C￥AØ_Sheet4_비교원가" xfId="2788" xr:uid="{00000000-0005-0000-0000-0000750A0000}"/>
    <cellStyle name="Ç¥ÁØ_SMG-CKD-d1.1 " xfId="2789" xr:uid="{00000000-0005-0000-0000-0000760A0000}"/>
    <cellStyle name="C￥AØ_T-100 ³≫¼o 4DR NB PHASE I " xfId="3918" xr:uid="{6289B51A-0328-4E04-8AAB-9B9AF829DEA1}"/>
    <cellStyle name="Ç¥ÁØ_USAGL_¿ø´ÜÀ§ " xfId="2790" xr:uid="{00000000-0005-0000-0000-0000780A0000}"/>
    <cellStyle name="C￥AØ_USAGL_¿ø´UA§ _Dr inr comple 요약" xfId="2791" xr:uid="{00000000-0005-0000-0000-0000790A0000}"/>
    <cellStyle name="Ç¥ÁØ_USAGL_¿ø´ÜÀ§ _Dr inr comple 요약" xfId="2792" xr:uid="{00000000-0005-0000-0000-00007A0A0000}"/>
    <cellStyle name="C￥AØ_USAGL_¿ø´UA§ _Dr inr comple 요약 2" xfId="2793" xr:uid="{00000000-0005-0000-0000-00007B0A0000}"/>
    <cellStyle name="Ç¥ÁØ_USAGL_¿ø´ÜÀ§ _Dr inr comple 요약 2" xfId="2794" xr:uid="{00000000-0005-0000-0000-00007C0A0000}"/>
    <cellStyle name="C￥AØ_USAGL_¿ø´UA§ _Dr inr comple 요약 3" xfId="2795" xr:uid="{00000000-0005-0000-0000-00007D0A0000}"/>
    <cellStyle name="Ç¥ÁØ_USAGL_¿ø´ÜÀ§ _Dr inr comple 요약 3" xfId="2796" xr:uid="{00000000-0005-0000-0000-00007E0A0000}"/>
    <cellStyle name="C￥AØ_USAGL_¿ø´UA§ _Dr inr comple 요약 4" xfId="2797" xr:uid="{00000000-0005-0000-0000-00007F0A0000}"/>
    <cellStyle name="Ç¥ÁØ_USAGL_¿ø´ÜÀ§ _Dr inr comple 요약 4" xfId="2798" xr:uid="{00000000-0005-0000-0000-0000800A0000}"/>
    <cellStyle name="C￥AØ_USAGL_¿ø´UA§ _Dr inr comple 요약_■EN_BS_비교원가,원재료인상_110621" xfId="2799" xr:uid="{00000000-0005-0000-0000-0000810A0000}"/>
    <cellStyle name="Ç¥ÁØ_USAGL_¿ø´ÜÀ§ _Dr inr comple 요약_■EN_BS_비교원가,원재료인상_110621" xfId="2800" xr:uid="{00000000-0005-0000-0000-0000820A0000}"/>
    <cellStyle name="C￥AØ_USAGL_¿ø´UA§ _Dr inr comple 요약_■EN_BS_비교원가,원재료인상_110621 2" xfId="2801" xr:uid="{00000000-0005-0000-0000-0000830A0000}"/>
    <cellStyle name="Ç¥ÁØ_USAGL_¿ø´ÜÀ§ _Dr inr comple 요약_■EN_BS_비교원가,원재료인상_110621 2" xfId="2802" xr:uid="{00000000-0005-0000-0000-0000840A0000}"/>
    <cellStyle name="C￥AØ_USAGL_¿ø´UA§ _Dr inr comple 요약_■EN_BS_비교원가,원재료인상_110621 3" xfId="2803" xr:uid="{00000000-0005-0000-0000-0000850A0000}"/>
    <cellStyle name="Ç¥ÁØ_USAGL_¿ø´ÜÀ§ _Dr inr comple 요약_■EN_BS_비교원가,원재료인상_110621 3" xfId="2804" xr:uid="{00000000-0005-0000-0000-0000860A0000}"/>
    <cellStyle name="C￥AØ_USAGL_¿ø´UA§ _Dr inr comple 요약_■EN_BS_비교원가,원재료인상_110621 4" xfId="2805" xr:uid="{00000000-0005-0000-0000-0000870A0000}"/>
    <cellStyle name="Ç¥ÁØ_USAGL_¿ø´ÜÀ§ _Dr inr comple 요약_■EN_BS_비교원가,원재료인상_110621 4" xfId="2806" xr:uid="{00000000-0005-0000-0000-0000880A0000}"/>
    <cellStyle name="C￥AØ_USAGL_¿ø´UA§ _Dr inr comple 요약_110810_UB_도아_바디웨자_초도가_(화승R&amp;A)" xfId="2807" xr:uid="{00000000-0005-0000-0000-0000890A0000}"/>
    <cellStyle name="Ç¥ÁØ_USAGL_¿ø´ÜÀ§ _Dr inr comple 요약_110810_UB_도아_바디웨자_초도가_(화승R&amp;A)" xfId="2808" xr:uid="{00000000-0005-0000-0000-00008A0A0000}"/>
    <cellStyle name="C￥AØ_USAGL_¿ø´UA§ _Dr inr comple 요약_110810_철판 SCRAP조정_자동_화승R&amp;A" xfId="2809" xr:uid="{00000000-0005-0000-0000-00008B0A0000}"/>
    <cellStyle name="Ç¥ÁØ_USAGL_¿ø´ÜÀ§ _Dr inr comple 요약_110810_철판 SCRAP조정_자동_화승R&amp;A" xfId="2810" xr:uid="{00000000-0005-0000-0000-00008C0A0000}"/>
    <cellStyle name="C￥AØ_USAGL_¿ø´UA§ _Dr inr comple 요약_110810_철판 SCRAP조정_자동_화승R&amp;A 2" xfId="2811" xr:uid="{00000000-0005-0000-0000-00008D0A0000}"/>
    <cellStyle name="Ç¥ÁØ_USAGL_¿ø´ÜÀ§ _Dr inr comple 요약_110810_철판 SCRAP조정_자동_화승R&amp;A 2" xfId="2812" xr:uid="{00000000-0005-0000-0000-00008E0A0000}"/>
    <cellStyle name="C￥AØ_USAGL_¿ø´UA§ _Dr inr comple 요약_110810_철판 SCRAP조정_자동_화승R&amp;A 3" xfId="2813" xr:uid="{00000000-0005-0000-0000-00008F0A0000}"/>
    <cellStyle name="Ç¥ÁØ_USAGL_¿ø´ÜÀ§ _Dr inr comple 요약_110810_철판 SCRAP조정_자동_화승R&amp;A 3" xfId="2814" xr:uid="{00000000-0005-0000-0000-0000900A0000}"/>
    <cellStyle name="C￥AØ_USAGL_¿ø´UA§ _Dr inr comple 요약_110810_철판 SCRAP조정_자동_화승R&amp;A 4" xfId="2815" xr:uid="{00000000-0005-0000-0000-0000910A0000}"/>
    <cellStyle name="Ç¥ÁØ_USAGL_¿ø´ÜÀ§ _Dr inr comple 요약_110810_철판 SCRAP조정_자동_화승R&amp;A 4" xfId="2816" xr:uid="{00000000-0005-0000-0000-0000920A0000}"/>
    <cellStyle name="C￥AØ_USAGL_¿ø´UA§ _Dr inr comple 요약_AM_WS_운반비_110708" xfId="2817" xr:uid="{00000000-0005-0000-0000-0000930A0000}"/>
    <cellStyle name="Ç¥ÁØ_USAGL_¿ø´ÜÀ§ _Dr inr comple 요약_AM_WS_운반비_110708" xfId="2818" xr:uid="{00000000-0005-0000-0000-0000940A0000}"/>
    <cellStyle name="C￥AØ_USAGL_¿ø´UA§ _Dr inr comple 요약_AM_WS_운반비_110708 2" xfId="2819" xr:uid="{00000000-0005-0000-0000-0000950A0000}"/>
    <cellStyle name="Ç¥ÁØ_USAGL_¿ø´ÜÀ§ _Dr inr comple 요약_AM_WS_운반비_110708 2" xfId="2820" xr:uid="{00000000-0005-0000-0000-0000960A0000}"/>
    <cellStyle name="C￥AØ_USAGL_¿ø´UA§ _Dr inr comple 요약_AM_WS_운반비_110708 3" xfId="2821" xr:uid="{00000000-0005-0000-0000-0000970A0000}"/>
    <cellStyle name="Ç¥ÁØ_USAGL_¿ø´ÜÀ§ _Dr inr comple 요약_AM_WS_운반비_110708 3" xfId="2822" xr:uid="{00000000-0005-0000-0000-0000980A0000}"/>
    <cellStyle name="C￥AØ_USAGL_¿ø´UA§ _Dr inr comple 요약_AM_WS_운반비_110708 4" xfId="2823" xr:uid="{00000000-0005-0000-0000-0000990A0000}"/>
    <cellStyle name="Ç¥ÁØ_USAGL_¿ø´ÜÀ§ _Dr inr comple 요약_AM_WS_운반비_110708 4" xfId="2824" xr:uid="{00000000-0005-0000-0000-00009A0A0000}"/>
    <cellStyle name="C￥AØ_USAGL_¿ø´UA§ _Dr inr comple 요약_Book2" xfId="2825" xr:uid="{00000000-0005-0000-0000-00009B0A0000}"/>
    <cellStyle name="Ç¥ÁØ_USAGL_¿ø´ÜÀ§ _Dr inr comple 요약_Book2" xfId="2826" xr:uid="{00000000-0005-0000-0000-00009C0A0000}"/>
    <cellStyle name="C￥AØ_USAGL_¿ø´UA§ _Dr inr comple 요약_KMC_UB_단면적,코팅길이_110218" xfId="2827" xr:uid="{00000000-0005-0000-0000-00009D0A0000}"/>
    <cellStyle name="Ç¥ÁØ_USAGL_¿ø´ÜÀ§ _Dr inr comple 요약_KMC_UB_단면적,코팅길이_110218" xfId="2828" xr:uid="{00000000-0005-0000-0000-00009E0A0000}"/>
    <cellStyle name="C￥AØ_USAGL_¿ø´UA§ _Dr inr comple 요약_KMC_UB_단면적,코팅길이_110218 2" xfId="2829" xr:uid="{00000000-0005-0000-0000-00009F0A0000}"/>
    <cellStyle name="Ç¥ÁØ_USAGL_¿ø´ÜÀ§ _Dr inr comple 요약_KMC_UB_단면적,코팅길이_110218 2" xfId="2830" xr:uid="{00000000-0005-0000-0000-0000A00A0000}"/>
    <cellStyle name="C￥AØ_USAGL_¿ø´UA§ _Dr inr comple 요약_KMC_UB_단면적,코팅길이_110218 3" xfId="2831" xr:uid="{00000000-0005-0000-0000-0000A10A0000}"/>
    <cellStyle name="Ç¥ÁØ_USAGL_¿ø´ÜÀ§ _Dr inr comple 요약_KMC_UB_단면적,코팅길이_110218 3" xfId="2832" xr:uid="{00000000-0005-0000-0000-0000A20A0000}"/>
    <cellStyle name="C￥AØ_USAGL_¿ø´UA§ _Dr inr comple 요약_KMC_UB_단면적,코팅길이_110218 4" xfId="2833" xr:uid="{00000000-0005-0000-0000-0000A30A0000}"/>
    <cellStyle name="Ç¥ÁØ_USAGL_¿ø´ÜÀ§ _Dr inr comple 요약_KMC_UB_단면적,코팅길이_110218 4" xfId="2834" xr:uid="{00000000-0005-0000-0000-0000A40A0000}"/>
    <cellStyle name="C￥AØ_USAGL_¿ø´UA§ _Dr inr comple 요약_KMC_UB_조인트중량,조인트길이_110214" xfId="2835" xr:uid="{00000000-0005-0000-0000-0000A50A0000}"/>
    <cellStyle name="Ç¥ÁØ_USAGL_¿ø´ÜÀ§ _Dr inr comple 요약_KMC_UB_조인트중량,조인트길이_110214" xfId="2836" xr:uid="{00000000-0005-0000-0000-0000A60A0000}"/>
    <cellStyle name="C￥AØ_USAGL_¿ø´UA§ _Dr inr comple 요약_KMC_UB_조인트중량,조인트길이_110214 2" xfId="2837" xr:uid="{00000000-0005-0000-0000-0000A70A0000}"/>
    <cellStyle name="Ç¥ÁØ_USAGL_¿ø´ÜÀ§ _Dr inr comple 요약_KMC_UB_조인트중량,조인트길이_110214 2" xfId="2838" xr:uid="{00000000-0005-0000-0000-0000A80A0000}"/>
    <cellStyle name="C￥AØ_USAGL_¿ø´UA§ _Dr inr comple 요약_KMC_UB_조인트중량,조인트길이_110214 3" xfId="2839" xr:uid="{00000000-0005-0000-0000-0000A90A0000}"/>
    <cellStyle name="Ç¥ÁØ_USAGL_¿ø´ÜÀ§ _Dr inr comple 요약_KMC_UB_조인트중량,조인트길이_110214 3" xfId="2840" xr:uid="{00000000-0005-0000-0000-0000AA0A0000}"/>
    <cellStyle name="C￥AØ_USAGL_¿ø´UA§ _Dr inr comple 요약_KMC_UB_조인트중량,조인트길이_110214 4" xfId="2841" xr:uid="{00000000-0005-0000-0000-0000AB0A0000}"/>
    <cellStyle name="Ç¥ÁØ_USAGL_¿ø´ÜÀ§ _Dr inr comple 요약_KMC_UB_조인트중량,조인트길이_110214 4" xfId="2842" xr:uid="{00000000-0005-0000-0000-0000AC0A0000}"/>
    <cellStyle name="C￥AØ_USAGL_¿ø´UA§ _Dr inr comple 요약_RBk(5DR)_GR_비교원가,원재료인상_110607" xfId="2843" xr:uid="{00000000-0005-0000-0000-0000AD0A0000}"/>
    <cellStyle name="Ç¥ÁØ_USAGL_¿ø´ÜÀ§ _Dr inr comple 요약_RBk(5DR)_GR_비교원가,원재료인상_110607" xfId="2844" xr:uid="{00000000-0005-0000-0000-0000AE0A0000}"/>
    <cellStyle name="C￥AØ_USAGL_¿ø´UA§ _Dr inr comple 요약_RBk(5DR)_GR_비교원가,원재료인상_110607 2" xfId="2845" xr:uid="{00000000-0005-0000-0000-0000AF0A0000}"/>
    <cellStyle name="Ç¥ÁØ_USAGL_¿ø´ÜÀ§ _Dr inr comple 요약_RBk(5DR)_GR_비교원가,원재료인상_110607 2" xfId="2846" xr:uid="{00000000-0005-0000-0000-0000B00A0000}"/>
    <cellStyle name="C￥AØ_USAGL_¿ø´UA§ _Dr inr comple 요약_RBk(5DR)_GR_비교원가,원재료인상_110607 3" xfId="2847" xr:uid="{00000000-0005-0000-0000-0000B10A0000}"/>
    <cellStyle name="Ç¥ÁØ_USAGL_¿ø´ÜÀ§ _Dr inr comple 요약_RBk(5DR)_GR_비교원가,원재료인상_110607 3" xfId="2848" xr:uid="{00000000-0005-0000-0000-0000B20A0000}"/>
    <cellStyle name="C￥AØ_USAGL_¿ø´UA§ _Dr inr comple 요약_RBk(5DR)_GR_비교원가,원재료인상_110607 4" xfId="2849" xr:uid="{00000000-0005-0000-0000-0000B30A0000}"/>
    <cellStyle name="Ç¥ÁØ_USAGL_¿ø´ÜÀ§ _Dr inr comple 요약_RBk(5DR)_GR_비교원가,원재료인상_110607 4" xfId="2850" xr:uid="{00000000-0005-0000-0000-0000B40A0000}"/>
    <cellStyle name="C￥AØ_USAGL_¿ø´UA§ _Dr inr comple 요약_VIL_WS_비교원가_110708" xfId="2851" xr:uid="{00000000-0005-0000-0000-0000B50A0000}"/>
    <cellStyle name="Ç¥ÁØ_USAGL_¿ø´ÜÀ§ _Dr inr comple 요약_VIL_WS_비교원가_110708" xfId="2852" xr:uid="{00000000-0005-0000-0000-0000B60A0000}"/>
    <cellStyle name="C￥AØ_USAGL_¿ø´UA§ _JB 차체부품 원가계산 대책(보고完-04.10.04)" xfId="2853" xr:uid="{00000000-0005-0000-0000-0000B70A0000}"/>
    <cellStyle name="Ç¥ÁØ_USAGL_¿ø´ÜÀ§ _JB 차체부품 원가계산 대책(보고完-04.10.04)" xfId="2854" xr:uid="{00000000-0005-0000-0000-0000B80A0000}"/>
    <cellStyle name="C￥AØ_USAGL_¿ø´UA§ _TB차체부품외주화원가검토0007" xfId="2855" xr:uid="{00000000-0005-0000-0000-0000B90A0000}"/>
    <cellStyle name="Ç¥ÁØ_USAGL_¿ø´ÜÀ§ _TB차체부품외주화원가검토0007" xfId="2856" xr:uid="{00000000-0005-0000-0000-0000BA0A0000}"/>
    <cellStyle name="C￥AØ_V10 VARIATION MODEL SOP TIMING " xfId="2857" xr:uid="{00000000-0005-0000-0000-0000BB0A0000}"/>
    <cellStyle name="Ç¥ÁØ_WIPER " xfId="2858" xr:uid="{00000000-0005-0000-0000-0000BC0A0000}"/>
    <cellStyle name="C￥AØ_WIRING " xfId="2859" xr:uid="{00000000-0005-0000-0000-0000BD0A0000}"/>
    <cellStyle name="Ç¥ÁØ_WIRING " xfId="2860" xr:uid="{00000000-0005-0000-0000-0000BE0A0000}"/>
    <cellStyle name="C￥AØ_WIRING _±¸¸A½CAu " xfId="2861" xr:uid="{00000000-0005-0000-0000-0000BF0A0000}"/>
    <cellStyle name="Ç¥ÁØ_WIRING _Dr inr comple 요약" xfId="2862" xr:uid="{00000000-0005-0000-0000-0000C00A0000}"/>
    <cellStyle name="C￥AØ_WIRING _Dr inr comple 요약_■EN_BS_비교원가,원재료인상_110621" xfId="2863" xr:uid="{00000000-0005-0000-0000-0000C10A0000}"/>
    <cellStyle name="Ç¥ÁØ_WIRING _Dr inr comple 요약_■EN_BS_비교원가,원재료인상_110621" xfId="2864" xr:uid="{00000000-0005-0000-0000-0000C20A0000}"/>
    <cellStyle name="C￥AØ_WIRING _Dr inr comple 요약_■EN_BS_비교원가,원재료인상_110621 2" xfId="2865" xr:uid="{00000000-0005-0000-0000-0000C30A0000}"/>
    <cellStyle name="Ç¥ÁØ_WIRING _Dr inr comple 요약_■EN_BS_비교원가,원재료인상_110621 2" xfId="2866" xr:uid="{00000000-0005-0000-0000-0000C40A0000}"/>
    <cellStyle name="C￥AØ_WIRING _Dr inr comple 요약_■EN_BS_비교원가,원재료인상_110621 3" xfId="2867" xr:uid="{00000000-0005-0000-0000-0000C50A0000}"/>
    <cellStyle name="Ç¥ÁØ_WIRING _Dr inr comple 요약_■EN_BS_비교원가,원재료인상_110621 3" xfId="2868" xr:uid="{00000000-0005-0000-0000-0000C60A0000}"/>
    <cellStyle name="C￥AØ_WIRING _Dr inr comple 요약_■EN_BS_비교원가,원재료인상_110621 4" xfId="2869" xr:uid="{00000000-0005-0000-0000-0000C70A0000}"/>
    <cellStyle name="Ç¥ÁØ_WIRING _Dr inr comple 요약_■EN_BS_비교원가,원재료인상_110621 4" xfId="2870" xr:uid="{00000000-0005-0000-0000-0000C80A0000}"/>
    <cellStyle name="C￥AØ_WIRING _Dr inr comple 요약_110810_UB_도아_바디웨자_초도가_(화승R&amp;A)" xfId="2871" xr:uid="{00000000-0005-0000-0000-0000C90A0000}"/>
    <cellStyle name="Ç¥ÁØ_WIRING _Dr inr comple 요약_110810_UB_도아_바디웨자_초도가_(화승R&amp;A)" xfId="2872" xr:uid="{00000000-0005-0000-0000-0000CA0A0000}"/>
    <cellStyle name="C￥AØ_WIRING _Dr inr comple 요약_110810_철판 SCRAP조정_자동_화승R&amp;A" xfId="2873" xr:uid="{00000000-0005-0000-0000-0000CB0A0000}"/>
    <cellStyle name="Ç¥ÁØ_WIRING _Dr inr comple 요약_110810_철판 SCRAP조정_자동_화승R&amp;A" xfId="2874" xr:uid="{00000000-0005-0000-0000-0000CC0A0000}"/>
    <cellStyle name="C￥AØ_WIRING _Dr inr comple 요약_110810_철판 SCRAP조정_자동_화승R&amp;A 2" xfId="2875" xr:uid="{00000000-0005-0000-0000-0000CD0A0000}"/>
    <cellStyle name="Ç¥ÁØ_WIRING _Dr inr comple 요약_110810_철판 SCRAP조정_자동_화승R&amp;A 2" xfId="2876" xr:uid="{00000000-0005-0000-0000-0000CE0A0000}"/>
    <cellStyle name="C￥AØ_WIRING _Dr inr comple 요약_110810_철판 SCRAP조정_자동_화승R&amp;A 3" xfId="2877" xr:uid="{00000000-0005-0000-0000-0000CF0A0000}"/>
    <cellStyle name="Ç¥ÁØ_WIRING _Dr inr comple 요약_110810_철판 SCRAP조정_자동_화승R&amp;A 3" xfId="2878" xr:uid="{00000000-0005-0000-0000-0000D00A0000}"/>
    <cellStyle name="C￥AØ_WIRING _Dr inr comple 요약_110810_철판 SCRAP조정_자동_화승R&amp;A 4" xfId="2879" xr:uid="{00000000-0005-0000-0000-0000D10A0000}"/>
    <cellStyle name="Ç¥ÁØ_WIRING _Dr inr comple 요약_110810_철판 SCRAP조정_자동_화승R&amp;A 4" xfId="2880" xr:uid="{00000000-0005-0000-0000-0000D20A0000}"/>
    <cellStyle name="C￥AØ_WIRING _Dr inr comple 요약_AM_WS_운반비_110708" xfId="2881" xr:uid="{00000000-0005-0000-0000-0000D30A0000}"/>
    <cellStyle name="Ç¥ÁØ_WIRING _Dr inr comple 요약_AM_WS_운반비_110708" xfId="2882" xr:uid="{00000000-0005-0000-0000-0000D40A0000}"/>
    <cellStyle name="C￥AØ_WIRING _Dr inr comple 요약_AM_WS_운반비_110708 2" xfId="2883" xr:uid="{00000000-0005-0000-0000-0000D50A0000}"/>
    <cellStyle name="Ç¥ÁØ_WIRING _Dr inr comple 요약_AM_WS_운반비_110708 2" xfId="2884" xr:uid="{00000000-0005-0000-0000-0000D60A0000}"/>
    <cellStyle name="C￥AØ_WIRING _Dr inr comple 요약_AM_WS_운반비_110708 3" xfId="2885" xr:uid="{00000000-0005-0000-0000-0000D70A0000}"/>
    <cellStyle name="Ç¥ÁØ_WIRING _Dr inr comple 요약_AM_WS_운반비_110708 3" xfId="2886" xr:uid="{00000000-0005-0000-0000-0000D80A0000}"/>
    <cellStyle name="C￥AØ_WIRING _Dr inr comple 요약_AM_WS_운반비_110708 4" xfId="2887" xr:uid="{00000000-0005-0000-0000-0000D90A0000}"/>
    <cellStyle name="Ç¥ÁØ_WIRING _Dr inr comple 요약_AM_WS_운반비_110708 4" xfId="2888" xr:uid="{00000000-0005-0000-0000-0000DA0A0000}"/>
    <cellStyle name="C￥AØ_WIRING _Dr inr comple 요약_Book2" xfId="2889" xr:uid="{00000000-0005-0000-0000-0000DB0A0000}"/>
    <cellStyle name="Ç¥ÁØ_WIRING _Dr inr comple 요약_Book2" xfId="2890" xr:uid="{00000000-0005-0000-0000-0000DC0A0000}"/>
    <cellStyle name="C￥AØ_WIRING _Dr inr comple 요약_KMC_UB_단면적,코팅길이_110218" xfId="2891" xr:uid="{00000000-0005-0000-0000-0000DD0A0000}"/>
    <cellStyle name="Ç¥ÁØ_WIRING _Dr inr comple 요약_KMC_UB_단면적,코팅길이_110218" xfId="2892" xr:uid="{00000000-0005-0000-0000-0000DE0A0000}"/>
    <cellStyle name="C￥AØ_WIRING _Dr inr comple 요약_KMC_UB_단면적,코팅길이_110218 2" xfId="2893" xr:uid="{00000000-0005-0000-0000-0000DF0A0000}"/>
    <cellStyle name="Ç¥ÁØ_WIRING _Dr inr comple 요약_KMC_UB_단면적,코팅길이_110218 2" xfId="2894" xr:uid="{00000000-0005-0000-0000-0000E00A0000}"/>
    <cellStyle name="C￥AØ_WIRING _Dr inr comple 요약_KMC_UB_단면적,코팅길이_110218 3" xfId="2895" xr:uid="{00000000-0005-0000-0000-0000E10A0000}"/>
    <cellStyle name="Ç¥ÁØ_WIRING _Dr inr comple 요약_KMC_UB_단면적,코팅길이_110218 3" xfId="2896" xr:uid="{00000000-0005-0000-0000-0000E20A0000}"/>
    <cellStyle name="C￥AØ_WIRING _Dr inr comple 요약_KMC_UB_단면적,코팅길이_110218 4" xfId="2897" xr:uid="{00000000-0005-0000-0000-0000E30A0000}"/>
    <cellStyle name="Ç¥ÁØ_WIRING _Dr inr comple 요약_KMC_UB_단면적,코팅길이_110218 4" xfId="2898" xr:uid="{00000000-0005-0000-0000-0000E40A0000}"/>
    <cellStyle name="C￥AØ_WIRING _Dr inr comple 요약_KMC_UB_조인트중량,조인트길이_110214" xfId="2899" xr:uid="{00000000-0005-0000-0000-0000E50A0000}"/>
    <cellStyle name="Ç¥ÁØ_WIRING _Dr inr comple 요약_KMC_UB_조인트중량,조인트길이_110214" xfId="2900" xr:uid="{00000000-0005-0000-0000-0000E60A0000}"/>
    <cellStyle name="C￥AØ_WIRING _Dr inr comple 요약_KMC_UB_조인트중량,조인트길이_110214 2" xfId="2901" xr:uid="{00000000-0005-0000-0000-0000E70A0000}"/>
    <cellStyle name="Ç¥ÁØ_WIRING _Dr inr comple 요약_KMC_UB_조인트중량,조인트길이_110214 2" xfId="2902" xr:uid="{00000000-0005-0000-0000-0000E80A0000}"/>
    <cellStyle name="C￥AØ_WIRING _Dr inr comple 요약_KMC_UB_조인트중량,조인트길이_110214 3" xfId="2903" xr:uid="{00000000-0005-0000-0000-0000E90A0000}"/>
    <cellStyle name="Ç¥ÁØ_WIRING _Dr inr comple 요약_KMC_UB_조인트중량,조인트길이_110214 3" xfId="2904" xr:uid="{00000000-0005-0000-0000-0000EA0A0000}"/>
    <cellStyle name="C￥AØ_WIRING _Dr inr comple 요약_KMC_UB_조인트중량,조인트길이_110214 4" xfId="2905" xr:uid="{00000000-0005-0000-0000-0000EB0A0000}"/>
    <cellStyle name="Ç¥ÁØ_WIRING _Dr inr comple 요약_KMC_UB_조인트중량,조인트길이_110214 4" xfId="2906" xr:uid="{00000000-0005-0000-0000-0000EC0A0000}"/>
    <cellStyle name="C￥AØ_WIRING _Dr inr comple 요약_RBk(5DR)_GR_비교원가,원재료인상_110607" xfId="2907" xr:uid="{00000000-0005-0000-0000-0000ED0A0000}"/>
    <cellStyle name="Ç¥ÁØ_WIRING _Dr inr comple 요약_RBk(5DR)_GR_비교원가,원재료인상_110607" xfId="2908" xr:uid="{00000000-0005-0000-0000-0000EE0A0000}"/>
    <cellStyle name="C￥AØ_WIRING _Dr inr comple 요약_RBk(5DR)_GR_비교원가,원재료인상_110607 2" xfId="2909" xr:uid="{00000000-0005-0000-0000-0000EF0A0000}"/>
    <cellStyle name="Ç¥ÁØ_WIRING _Dr inr comple 요약_RBk(5DR)_GR_비교원가,원재료인상_110607 2" xfId="2910" xr:uid="{00000000-0005-0000-0000-0000F00A0000}"/>
    <cellStyle name="C￥AØ_WIRING _Dr inr comple 요약_RBk(5DR)_GR_비교원가,원재료인상_110607 3" xfId="2911" xr:uid="{00000000-0005-0000-0000-0000F10A0000}"/>
    <cellStyle name="Ç¥ÁØ_WIRING _Dr inr comple 요약_RBk(5DR)_GR_비교원가,원재료인상_110607 3" xfId="2912" xr:uid="{00000000-0005-0000-0000-0000F20A0000}"/>
    <cellStyle name="C￥AØ_WIRING _Dr inr comple 요약_RBk(5DR)_GR_비교원가,원재료인상_110607 4" xfId="2913" xr:uid="{00000000-0005-0000-0000-0000F30A0000}"/>
    <cellStyle name="Ç¥ÁØ_WIRING _Dr inr comple 요약_RBk(5DR)_GR_비교원가,원재료인상_110607 4" xfId="2914" xr:uid="{00000000-0005-0000-0000-0000F40A0000}"/>
    <cellStyle name="C￥AØ_WIRING _Dr inr comple 요약_VIL_WS_비교원가_110708" xfId="2915" xr:uid="{00000000-0005-0000-0000-0000F50A0000}"/>
    <cellStyle name="Ç¥ÁØ_WIRING _Dr inr comple 요약_VIL_WS_비교원가_110708" xfId="2916" xr:uid="{00000000-0005-0000-0000-0000F60A0000}"/>
    <cellStyle name="C￥AØ_WIRING _JB 차체부품 원가계산 대책(보고完-04.10.04)" xfId="2917" xr:uid="{00000000-0005-0000-0000-0000F70A0000}"/>
    <cellStyle name="Ç¥ÁØ_WIRING _JB 차체부품 원가계산 대책(보고完-04.10.04)" xfId="2918" xr:uid="{00000000-0005-0000-0000-0000F80A0000}"/>
    <cellStyle name="C￥AØ_WIRING _TB차체부품외주화원가검토0007" xfId="2919" xr:uid="{00000000-0005-0000-0000-0000F90A0000}"/>
    <cellStyle name="Ç¥ÁØ_WIRING _TB차체부품외주화원가검토0007" xfId="2920" xr:uid="{00000000-0005-0000-0000-0000FA0A0000}"/>
    <cellStyle name="C￥AØ_XD AOA¾AIA¤ " xfId="2921" xr:uid="{00000000-0005-0000-0000-0000FB0A0000}"/>
    <cellStyle name="Ç¥ÁØ_XD ÃÖÁ¾ÀÏÁ¤ " xfId="2922" xr:uid="{00000000-0005-0000-0000-0000FC0A0000}"/>
    <cellStyle name="C￥AØ_XD±aAØ " xfId="2923" xr:uid="{00000000-0005-0000-0000-0000FD0A0000}"/>
    <cellStyle name="Ç¥ÁØ_XD±âÁØ " xfId="2924" xr:uid="{00000000-0005-0000-0000-0000FE0A0000}"/>
    <cellStyle name="C￥AØ_XD±aAØ _Book2" xfId="2925" xr:uid="{00000000-0005-0000-0000-0000FF0A0000}"/>
    <cellStyle name="Ç¥ÁØ_XD±âÁØ _Book2" xfId="2926" xr:uid="{00000000-0005-0000-0000-0000000B0000}"/>
    <cellStyle name="C￥AØ_XD±aAØ _Dr inr comple 요약" xfId="2927" xr:uid="{00000000-0005-0000-0000-0000010B0000}"/>
    <cellStyle name="Ç¥ÁØ_XD±âÁØ _Dr inr comple 요약" xfId="2928" xr:uid="{00000000-0005-0000-0000-0000020B0000}"/>
    <cellStyle name="C￥AØ_XD±aAØ _Dr inr comple 요약 2" xfId="2929" xr:uid="{00000000-0005-0000-0000-0000030B0000}"/>
    <cellStyle name="Ç¥ÁØ_XD±âÁØ _Dr inr comple 요약 2" xfId="2930" xr:uid="{00000000-0005-0000-0000-0000040B0000}"/>
    <cellStyle name="C￥AØ_XD±aAØ _Dr inr comple 요약 3" xfId="2931" xr:uid="{00000000-0005-0000-0000-0000050B0000}"/>
    <cellStyle name="Ç¥ÁØ_XD±âÁØ _Dr inr comple 요약 3" xfId="2932" xr:uid="{00000000-0005-0000-0000-0000060B0000}"/>
    <cellStyle name="C￥AØ_XD±aAØ _Dr inr comple 요약 4" xfId="2933" xr:uid="{00000000-0005-0000-0000-0000070B0000}"/>
    <cellStyle name="Ç¥ÁØ_XD±âÁØ _Dr inr comple 요약 4" xfId="2934" xr:uid="{00000000-0005-0000-0000-0000080B0000}"/>
    <cellStyle name="C￥AØ_XD±aAØ _Dr inr comple 요약_■EN_BS_비교원가,원재료인상_110621" xfId="2935" xr:uid="{00000000-0005-0000-0000-0000090B0000}"/>
    <cellStyle name="Ç¥ÁØ_XD±âÁØ _Dr inr comple 요약_■EN_BS_비교원가,원재료인상_110621" xfId="2936" xr:uid="{00000000-0005-0000-0000-00000A0B0000}"/>
    <cellStyle name="C￥AØ_XD±aAØ _Dr inr comple 요약_■EN_BS_비교원가,원재료인상_110621 2" xfId="2937" xr:uid="{00000000-0005-0000-0000-00000B0B0000}"/>
    <cellStyle name="Ç¥ÁØ_XD±âÁØ _Dr inr comple 요약_■EN_BS_비교원가,원재료인상_110621 2" xfId="2938" xr:uid="{00000000-0005-0000-0000-00000C0B0000}"/>
    <cellStyle name="C￥AØ_XD±aAØ _Dr inr comple 요약_■EN_BS_비교원가,원재료인상_110621 3" xfId="2939" xr:uid="{00000000-0005-0000-0000-00000D0B0000}"/>
    <cellStyle name="Ç¥ÁØ_XD±âÁØ _Dr inr comple 요약_■EN_BS_비교원가,원재료인상_110621 3" xfId="2940" xr:uid="{00000000-0005-0000-0000-00000E0B0000}"/>
    <cellStyle name="C￥AØ_XD±aAØ _Dr inr comple 요약_■EN_BS_비교원가,원재료인상_110621 4" xfId="2941" xr:uid="{00000000-0005-0000-0000-00000F0B0000}"/>
    <cellStyle name="Ç¥ÁØ_XD±âÁØ _Dr inr comple 요약_■EN_BS_비교원가,원재료인상_110621 4" xfId="2942" xr:uid="{00000000-0005-0000-0000-0000100B0000}"/>
    <cellStyle name="C￥AØ_XD±aAØ _Dr inr comple 요약_110810_UB_도아_바디웨자_초도가_(화승R&amp;A)" xfId="2943" xr:uid="{00000000-0005-0000-0000-0000110B0000}"/>
    <cellStyle name="Ç¥ÁØ_XD±âÁØ _Dr inr comple 요약_110810_UB_도아_바디웨자_초도가_(화승R&amp;A)" xfId="2944" xr:uid="{00000000-0005-0000-0000-0000120B0000}"/>
    <cellStyle name="C￥AØ_XD±aAØ _Dr inr comple 요약_110810_철판 SCRAP조정_자동_화승R&amp;A" xfId="2945" xr:uid="{00000000-0005-0000-0000-0000130B0000}"/>
    <cellStyle name="Ç¥ÁØ_XD±âÁØ _Dr inr comple 요약_110810_철판 SCRAP조정_자동_화승R&amp;A" xfId="2946" xr:uid="{00000000-0005-0000-0000-0000140B0000}"/>
    <cellStyle name="C￥AØ_XD±aAØ _Dr inr comple 요약_110810_철판 SCRAP조정_자동_화승R&amp;A 2" xfId="2947" xr:uid="{00000000-0005-0000-0000-0000150B0000}"/>
    <cellStyle name="Ç¥ÁØ_XD±âÁØ _Dr inr comple 요약_110810_철판 SCRAP조정_자동_화승R&amp;A 2" xfId="2948" xr:uid="{00000000-0005-0000-0000-0000160B0000}"/>
    <cellStyle name="C￥AØ_XD±aAØ _Dr inr comple 요약_110810_철판 SCRAP조정_자동_화승R&amp;A 3" xfId="2949" xr:uid="{00000000-0005-0000-0000-0000170B0000}"/>
    <cellStyle name="Ç¥ÁØ_XD±âÁØ _Dr inr comple 요약_110810_철판 SCRAP조정_자동_화승R&amp;A 3" xfId="2950" xr:uid="{00000000-0005-0000-0000-0000180B0000}"/>
    <cellStyle name="C￥AØ_XD±aAØ _Dr inr comple 요약_110810_철판 SCRAP조정_자동_화승R&amp;A 4" xfId="2951" xr:uid="{00000000-0005-0000-0000-0000190B0000}"/>
    <cellStyle name="Ç¥ÁØ_XD±âÁØ _Dr inr comple 요약_110810_철판 SCRAP조정_자동_화승R&amp;A 4" xfId="2952" xr:uid="{00000000-0005-0000-0000-00001A0B0000}"/>
    <cellStyle name="C￥AØ_XD±aAØ _Dr inr comple 요약_AM_WS_운반비_110708" xfId="2953" xr:uid="{00000000-0005-0000-0000-00001B0B0000}"/>
    <cellStyle name="Ç¥ÁØ_XD±âÁØ _Dr inr comple 요약_AM_WS_운반비_110708" xfId="2954" xr:uid="{00000000-0005-0000-0000-00001C0B0000}"/>
    <cellStyle name="C￥AØ_XD±aAØ _Dr inr comple 요약_AM_WS_운반비_110708 2" xfId="2955" xr:uid="{00000000-0005-0000-0000-00001D0B0000}"/>
    <cellStyle name="Ç¥ÁØ_XD±âÁØ _Dr inr comple 요약_AM_WS_운반비_110708 2" xfId="2956" xr:uid="{00000000-0005-0000-0000-00001E0B0000}"/>
    <cellStyle name="C￥AØ_XD±aAØ _Dr inr comple 요약_AM_WS_운반비_110708 3" xfId="2957" xr:uid="{00000000-0005-0000-0000-00001F0B0000}"/>
    <cellStyle name="Ç¥ÁØ_XD±âÁØ _Dr inr comple 요약_AM_WS_운반비_110708 3" xfId="2958" xr:uid="{00000000-0005-0000-0000-0000200B0000}"/>
    <cellStyle name="C￥AØ_XD±aAØ _Dr inr comple 요약_AM_WS_운반비_110708 4" xfId="2959" xr:uid="{00000000-0005-0000-0000-0000210B0000}"/>
    <cellStyle name="Ç¥ÁØ_XD±âÁØ _Dr inr comple 요약_AM_WS_운반비_110708 4" xfId="2960" xr:uid="{00000000-0005-0000-0000-0000220B0000}"/>
    <cellStyle name="C￥AØ_XD±aAØ _Dr inr comple 요약_Book2" xfId="2961" xr:uid="{00000000-0005-0000-0000-0000230B0000}"/>
    <cellStyle name="Ç¥ÁØ_XD±âÁØ _Dr inr comple 요약_Book2" xfId="2962" xr:uid="{00000000-0005-0000-0000-0000240B0000}"/>
    <cellStyle name="C￥AØ_XD±aAØ _Dr inr comple 요약_KMC_UB_단면적,코팅길이_110218" xfId="2963" xr:uid="{00000000-0005-0000-0000-0000250B0000}"/>
    <cellStyle name="Ç¥ÁØ_XD±âÁØ _Dr inr comple 요약_KMC_UB_단면적,코팅길이_110218" xfId="2964" xr:uid="{00000000-0005-0000-0000-0000260B0000}"/>
    <cellStyle name="C￥AØ_XD±aAØ _Dr inr comple 요약_KMC_UB_단면적,코팅길이_110218 2" xfId="2965" xr:uid="{00000000-0005-0000-0000-0000270B0000}"/>
    <cellStyle name="Ç¥ÁØ_XD±âÁØ _Dr inr comple 요약_KMC_UB_단면적,코팅길이_110218 2" xfId="2966" xr:uid="{00000000-0005-0000-0000-0000280B0000}"/>
    <cellStyle name="C￥AØ_XD±aAØ _Dr inr comple 요약_KMC_UB_단면적,코팅길이_110218 3" xfId="2967" xr:uid="{00000000-0005-0000-0000-0000290B0000}"/>
    <cellStyle name="Ç¥ÁØ_XD±âÁØ _Dr inr comple 요약_KMC_UB_단면적,코팅길이_110218 3" xfId="2968" xr:uid="{00000000-0005-0000-0000-00002A0B0000}"/>
    <cellStyle name="C￥AØ_XD±aAØ _Dr inr comple 요약_KMC_UB_단면적,코팅길이_110218 4" xfId="2969" xr:uid="{00000000-0005-0000-0000-00002B0B0000}"/>
    <cellStyle name="Ç¥ÁØ_XD±âÁØ _Dr inr comple 요약_KMC_UB_단면적,코팅길이_110218 4" xfId="2970" xr:uid="{00000000-0005-0000-0000-00002C0B0000}"/>
    <cellStyle name="C￥AØ_XD±aAØ _Dr inr comple 요약_KMC_UB_조인트중량,조인트길이_110214" xfId="2971" xr:uid="{00000000-0005-0000-0000-00002D0B0000}"/>
    <cellStyle name="Ç¥ÁØ_XD±âÁØ _Dr inr comple 요약_KMC_UB_조인트중량,조인트길이_110214" xfId="2972" xr:uid="{00000000-0005-0000-0000-00002E0B0000}"/>
    <cellStyle name="C￥AØ_XD±aAØ _Dr inr comple 요약_KMC_UB_조인트중량,조인트길이_110214 2" xfId="2973" xr:uid="{00000000-0005-0000-0000-00002F0B0000}"/>
    <cellStyle name="Ç¥ÁØ_XD±âÁØ _Dr inr comple 요약_KMC_UB_조인트중량,조인트길이_110214 2" xfId="2974" xr:uid="{00000000-0005-0000-0000-0000300B0000}"/>
    <cellStyle name="C￥AØ_XD±aAØ _Dr inr comple 요약_KMC_UB_조인트중량,조인트길이_110214 3" xfId="2975" xr:uid="{00000000-0005-0000-0000-0000310B0000}"/>
    <cellStyle name="Ç¥ÁØ_XD±âÁØ _Dr inr comple 요약_KMC_UB_조인트중량,조인트길이_110214 3" xfId="2976" xr:uid="{00000000-0005-0000-0000-0000320B0000}"/>
    <cellStyle name="C￥AØ_XD±aAØ _Dr inr comple 요약_KMC_UB_조인트중량,조인트길이_110214 4" xfId="2977" xr:uid="{00000000-0005-0000-0000-0000330B0000}"/>
    <cellStyle name="Ç¥ÁØ_XD±âÁØ _Dr inr comple 요약_KMC_UB_조인트중량,조인트길이_110214 4" xfId="2978" xr:uid="{00000000-0005-0000-0000-0000340B0000}"/>
    <cellStyle name="C￥AØ_XD±aAØ _Dr inr comple 요약_RBk(5DR)_GR_비교원가,원재료인상_110607" xfId="2979" xr:uid="{00000000-0005-0000-0000-0000350B0000}"/>
    <cellStyle name="Ç¥ÁØ_XD±âÁØ _Dr inr comple 요약_RBk(5DR)_GR_비교원가,원재료인상_110607" xfId="2980" xr:uid="{00000000-0005-0000-0000-0000360B0000}"/>
    <cellStyle name="C￥AØ_XD±aAØ _Dr inr comple 요약_RBk(5DR)_GR_비교원가,원재료인상_110607 2" xfId="2981" xr:uid="{00000000-0005-0000-0000-0000370B0000}"/>
    <cellStyle name="Ç¥ÁØ_XD±âÁØ _Dr inr comple 요약_RBk(5DR)_GR_비교원가,원재료인상_110607 2" xfId="2982" xr:uid="{00000000-0005-0000-0000-0000380B0000}"/>
    <cellStyle name="C￥AØ_XD±aAØ _Dr inr comple 요약_RBk(5DR)_GR_비교원가,원재료인상_110607 3" xfId="2983" xr:uid="{00000000-0005-0000-0000-0000390B0000}"/>
    <cellStyle name="Ç¥ÁØ_XD±âÁØ _Dr inr comple 요약_RBk(5DR)_GR_비교원가,원재료인상_110607 3" xfId="2984" xr:uid="{00000000-0005-0000-0000-00003A0B0000}"/>
    <cellStyle name="C￥AØ_XD±aAØ _Dr inr comple 요약_RBk(5DR)_GR_비교원가,원재료인상_110607 4" xfId="2985" xr:uid="{00000000-0005-0000-0000-00003B0B0000}"/>
    <cellStyle name="Ç¥ÁØ_XD±âÁØ _Dr inr comple 요약_RBk(5DR)_GR_비교원가,원재료인상_110607 4" xfId="2986" xr:uid="{00000000-0005-0000-0000-00003C0B0000}"/>
    <cellStyle name="C￥AØ_XD±aAØ _Dr inr comple 요약_VIL_WS_비교원가_110708" xfId="2987" xr:uid="{00000000-0005-0000-0000-00003D0B0000}"/>
    <cellStyle name="Ç¥ÁØ_XD±âÁØ _Dr inr comple 요약_VIL_WS_비교원가_110708" xfId="2988" xr:uid="{00000000-0005-0000-0000-00003E0B0000}"/>
    <cellStyle name="C￥AØ_XD±aAØ _JB 차체부품 원가계산 대책(보고完-04.10.04)" xfId="2989" xr:uid="{00000000-0005-0000-0000-00003F0B0000}"/>
    <cellStyle name="Ç¥ÁØ_XD±âÁØ _JB 차체부품 원가계산 대책(보고完-04.10.04)" xfId="2990" xr:uid="{00000000-0005-0000-0000-0000400B0000}"/>
    <cellStyle name="C￥AØ_XD±aAØ _TB차체부품외주화원가검토0007" xfId="2991" xr:uid="{00000000-0005-0000-0000-0000410B0000}"/>
    <cellStyle name="Ç¥ÁØ_XD±âÁØ _TB차체부품외주화원가검토0007" xfId="2992" xr:uid="{00000000-0005-0000-0000-0000420B0000}"/>
    <cellStyle name="C￥AØ_XG¿ø´UA§ " xfId="2993" xr:uid="{00000000-0005-0000-0000-0000430B0000}"/>
    <cellStyle name="Ç¥ÁØ_XG¿ø´ÜÀ§ " xfId="2994" xr:uid="{00000000-0005-0000-0000-0000440B0000}"/>
    <cellStyle name="C￥AØ_XG¿ø´UA§ _카니발부품국산화개발방안-회장님(030616" xfId="2995" xr:uid="{00000000-0005-0000-0000-0000450B0000}"/>
    <cellStyle name="Ç¥ÁØ_XG¿ø´ÜÀ§ _카니발부품국산화개발방안-회장님(030616" xfId="2996" xr:uid="{00000000-0005-0000-0000-0000460B0000}"/>
    <cellStyle name="C￥AØ_XG¿ø´UA§ _카니발부품국산화개발방안-회장님(030616 2" xfId="2997" xr:uid="{00000000-0005-0000-0000-0000470B0000}"/>
    <cellStyle name="Ç¥ÁØ_XG¿ø´ÜÀ§ _카니발부품국산화개발방안-회장님(030616 2" xfId="2998" xr:uid="{00000000-0005-0000-0000-0000480B0000}"/>
    <cellStyle name="C￥AØ_XG¿ø´UA§ _카니발부품국산화개발방안-회장님(030616 3" xfId="2999" xr:uid="{00000000-0005-0000-0000-0000490B0000}"/>
    <cellStyle name="Ç¥ÁØ_XG¿ø´ÜÀ§ _카니발부품국산화개발방안-회장님(030616 3" xfId="3000" xr:uid="{00000000-0005-0000-0000-00004A0B0000}"/>
    <cellStyle name="C￥AØ_XG¿ø´UA§ _카니발부품국산화개발방안-회장님(030616 4" xfId="3001" xr:uid="{00000000-0005-0000-0000-00004B0B0000}"/>
    <cellStyle name="Ç¥ÁØ_XG¿ø´ÜÀ§ _카니발부품국산화개발방안-회장님(030616 4" xfId="3002" xr:uid="{00000000-0005-0000-0000-00004C0B0000}"/>
    <cellStyle name="C￥AØ_XG¿ø´UA§(2A÷°e≫e) " xfId="3003" xr:uid="{00000000-0005-0000-0000-00004D0B0000}"/>
    <cellStyle name="Ç¥ÁØ_XG3Â÷°è»ê¿ø´ÜÀ§ " xfId="3004" xr:uid="{00000000-0005-0000-0000-00004E0B0000}"/>
    <cellStyle name="C￥AØ_XG3A÷°e≫e¿ø´UA§ " xfId="3005" xr:uid="{00000000-0005-0000-0000-00004F0B0000}"/>
    <cellStyle name="Calc Units (2)" xfId="41" xr:uid="{00000000-0005-0000-0000-0000500B0000}"/>
    <cellStyle name="Calculation" xfId="3006" xr:uid="{00000000-0005-0000-0000-0000510B0000}"/>
    <cellStyle name="category" xfId="42" xr:uid="{00000000-0005-0000-0000-0000520B0000}"/>
    <cellStyle name="Check Cell" xfId="3007" xr:uid="{00000000-0005-0000-0000-0000530B0000}"/>
    <cellStyle name="Co¨ma [0]_MATERAL2_구입내역_우창HP품의서" xfId="3008" xr:uid="{00000000-0005-0000-0000-0000540B0000}"/>
    <cellStyle name="Comma" xfId="3009" xr:uid="{00000000-0005-0000-0000-0000550B0000}"/>
    <cellStyle name="Comma  - Style1" xfId="3010" xr:uid="{00000000-0005-0000-0000-0000560B0000}"/>
    <cellStyle name="Comma [0]" xfId="3011" xr:uid="{00000000-0005-0000-0000-0000570B0000}"/>
    <cellStyle name="Comma [0] 2" xfId="3012" xr:uid="{00000000-0005-0000-0000-0000580B0000}"/>
    <cellStyle name="Comma [0]_ SG&amp;A Bridge " xfId="43" xr:uid="{00000000-0005-0000-0000-0000590B0000}"/>
    <cellStyle name="Comma [00]" xfId="44" xr:uid="{00000000-0005-0000-0000-00005A0B0000}"/>
    <cellStyle name="Comma [00] 2" xfId="3013" xr:uid="{00000000-0005-0000-0000-00005B0B0000}"/>
    <cellStyle name="comma zerodec" xfId="3014" xr:uid="{00000000-0005-0000-0000-00005C0B0000}"/>
    <cellStyle name="comma zerodec 2" xfId="3015" xr:uid="{00000000-0005-0000-0000-00005D0B0000}"/>
    <cellStyle name="Comma_ SG&amp;A Bridge " xfId="45" xr:uid="{00000000-0005-0000-0000-00005E0B0000}"/>
    <cellStyle name="Cost" xfId="3016" xr:uid="{00000000-0005-0000-0000-00005F0B0000}"/>
    <cellStyle name="Curre" xfId="3017" xr:uid="{00000000-0005-0000-0000-0000600B0000}"/>
    <cellStyle name="Curren - Style2" xfId="3018" xr:uid="{00000000-0005-0000-0000-0000610B0000}"/>
    <cellStyle name="Currency" xfId="3019" xr:uid="{00000000-0005-0000-0000-0000620B0000}"/>
    <cellStyle name="Currency $" xfId="46" xr:uid="{00000000-0005-0000-0000-0000630B0000}"/>
    <cellStyle name="Currency $ 2" xfId="3020" xr:uid="{00000000-0005-0000-0000-0000640B0000}"/>
    <cellStyle name="Currency [0]" xfId="3021" xr:uid="{00000000-0005-0000-0000-0000650B0000}"/>
    <cellStyle name="Currency [00]" xfId="47" xr:uid="{00000000-0005-0000-0000-0000660B0000}"/>
    <cellStyle name="Currency_ SG&amp;A Bridge " xfId="48" xr:uid="{00000000-0005-0000-0000-0000670B0000}"/>
    <cellStyle name="Currency1" xfId="3022" xr:uid="{00000000-0005-0000-0000-0000680B0000}"/>
    <cellStyle name="Currency1 2" xfId="3919" xr:uid="{97AEDC08-AE00-477B-AAAA-71800B5141ED}"/>
    <cellStyle name="custom" xfId="49" xr:uid="{00000000-0005-0000-0000-0000690B0000}"/>
    <cellStyle name="Date" xfId="50" xr:uid="{00000000-0005-0000-0000-00006A0B0000}"/>
    <cellStyle name="Date 2" xfId="3023" xr:uid="{00000000-0005-0000-0000-00006B0B0000}"/>
    <cellStyle name="Date Short" xfId="51" xr:uid="{00000000-0005-0000-0000-00006C0B0000}"/>
    <cellStyle name="Date_080923_PB INNER BELT 오륙공사 견적서" xfId="3024" xr:uid="{00000000-0005-0000-0000-00006D0B0000}"/>
    <cellStyle name="DATPDATPDATPDAT?PATE" xfId="3025" xr:uid="{00000000-0005-0000-0000-00006E0B0000}"/>
    <cellStyle name="Dollar (zero dec)" xfId="3026" xr:uid="{00000000-0005-0000-0000-00006F0B0000}"/>
    <cellStyle name="Dollar (zero dec) 2" xfId="3027" xr:uid="{00000000-0005-0000-0000-0000700B0000}"/>
    <cellStyle name="eD" xfId="3028" xr:uid="{00000000-0005-0000-0000-0000710B0000}"/>
    <cellStyle name="ᲲéᴲéᶲéḲéẲéἲéᾲé′é₲éℲé↲é" xfId="3029" xr:uid="{00000000-0005-0000-0000-0000720B0000}"/>
    <cellStyle name="Enter Currency (0)" xfId="52" xr:uid="{00000000-0005-0000-0000-0000730B0000}"/>
    <cellStyle name="Enter Currency (0) 2" xfId="3030" xr:uid="{00000000-0005-0000-0000-0000740B0000}"/>
    <cellStyle name="Enter Currency (2)" xfId="53" xr:uid="{00000000-0005-0000-0000-0000750B0000}"/>
    <cellStyle name="Enter Units (0)" xfId="54" xr:uid="{00000000-0005-0000-0000-0000760B0000}"/>
    <cellStyle name="Enter Units (0) 2" xfId="3031" xr:uid="{00000000-0005-0000-0000-0000770B0000}"/>
    <cellStyle name="Enter Units (1)" xfId="55" xr:uid="{00000000-0005-0000-0000-0000780B0000}"/>
    <cellStyle name="Enter Units (2)" xfId="56" xr:uid="{00000000-0005-0000-0000-0000790B0000}"/>
    <cellStyle name="ERAL2" xfId="3032" xr:uid="{00000000-0005-0000-0000-00007A0B0000}"/>
    <cellStyle name="ETAIL FY96" xfId="3033" xr:uid="{00000000-0005-0000-0000-00007B0B0000}"/>
    <cellStyle name="ETAIL Q1" xfId="3034" xr:uid="{00000000-0005-0000-0000-00007C0B0000}"/>
    <cellStyle name="ETAIL Q2" xfId="3035" xr:uid="{00000000-0005-0000-0000-00007D0B0000}"/>
    <cellStyle name="Explanatory Text" xfId="3036" xr:uid="{00000000-0005-0000-0000-00007E0B0000}"/>
    <cellStyle name="Fixed" xfId="3037" xr:uid="{00000000-0005-0000-0000-00007F0B0000}"/>
    <cellStyle name="Good" xfId="3038" xr:uid="{00000000-0005-0000-0000-0000800B0000}"/>
    <cellStyle name="Grey" xfId="57" xr:uid="{00000000-0005-0000-0000-0000810B0000}"/>
    <cellStyle name="HEADER" xfId="58" xr:uid="{00000000-0005-0000-0000-0000820B0000}"/>
    <cellStyle name="Header1" xfId="59" xr:uid="{00000000-0005-0000-0000-0000830B0000}"/>
    <cellStyle name="Header2" xfId="60" xr:uid="{00000000-0005-0000-0000-0000840B0000}"/>
    <cellStyle name="Heading 1" xfId="3039" xr:uid="{00000000-0005-0000-0000-0000850B0000}"/>
    <cellStyle name="Heading 2" xfId="3040" xr:uid="{00000000-0005-0000-0000-0000860B0000}"/>
    <cellStyle name="Heading 3" xfId="3041" xr:uid="{00000000-0005-0000-0000-0000870B0000}"/>
    <cellStyle name="Heading 4" xfId="3042" xr:uid="{00000000-0005-0000-0000-0000880B0000}"/>
    <cellStyle name="Heading1" xfId="3043" xr:uid="{00000000-0005-0000-0000-0000890B0000}"/>
    <cellStyle name="Heading2" xfId="3044" xr:uid="{00000000-0005-0000-0000-00008A0B0000}"/>
    <cellStyle name="Hyperlink" xfId="61" xr:uid="{00000000-0005-0000-0000-00008B0B0000}"/>
    <cellStyle name="iles|_x0005_h" xfId="62" xr:uid="{00000000-0005-0000-0000-00008C0B0000}"/>
    <cellStyle name="iles|_x0005_h 2" xfId="3045" xr:uid="{00000000-0005-0000-0000-00008D0B0000}"/>
    <cellStyle name="iles|_x0005_h 2 2" xfId="3046" xr:uid="{00000000-0005-0000-0000-00008E0B0000}"/>
    <cellStyle name="Input" xfId="3047" xr:uid="{00000000-0005-0000-0000-00008F0B0000}"/>
    <cellStyle name="Input [yellow]" xfId="63" xr:uid="{00000000-0005-0000-0000-0000900B0000}"/>
    <cellStyle name="Item_Current" xfId="3048" xr:uid="{00000000-0005-0000-0000-0000910B0000}"/>
    <cellStyle name="KAGE" xfId="3049" xr:uid="{00000000-0005-0000-0000-0000920B0000}"/>
    <cellStyle name="KAGE 2" xfId="3050" xr:uid="{00000000-0005-0000-0000-0000930B0000}"/>
    <cellStyle name="LAY-OUT" xfId="3051" xr:uid="{00000000-0005-0000-0000-0000940B0000}"/>
    <cellStyle name="les" xfId="64" xr:uid="{00000000-0005-0000-0000-0000950B0000}"/>
    <cellStyle name="les 2" xfId="3052" xr:uid="{00000000-0005-0000-0000-0000960B0000}"/>
    <cellStyle name="les 2 2" xfId="3053" xr:uid="{00000000-0005-0000-0000-0000970B0000}"/>
    <cellStyle name="Link Currency (0)" xfId="65" xr:uid="{00000000-0005-0000-0000-0000980B0000}"/>
    <cellStyle name="Link Currency (0) 2" xfId="3054" xr:uid="{00000000-0005-0000-0000-0000990B0000}"/>
    <cellStyle name="Link Currency (2)" xfId="66" xr:uid="{00000000-0005-0000-0000-00009A0B0000}"/>
    <cellStyle name="Link Units (0)" xfId="67" xr:uid="{00000000-0005-0000-0000-00009B0B0000}"/>
    <cellStyle name="Link Units (0) 2" xfId="3055" xr:uid="{00000000-0005-0000-0000-00009C0B0000}"/>
    <cellStyle name="Link Units (1)" xfId="68" xr:uid="{00000000-0005-0000-0000-00009D0B0000}"/>
    <cellStyle name="Link Units (2)" xfId="69" xr:uid="{00000000-0005-0000-0000-00009E0B0000}"/>
    <cellStyle name="Linked Cell" xfId="3056" xr:uid="{00000000-0005-0000-0000-00009F0B0000}"/>
    <cellStyle name="Millares_AC-0-CTS" xfId="3057" xr:uid="{00000000-0005-0000-0000-0000A00B0000}"/>
    <cellStyle name="Milliers [0]_!!!GO" xfId="70" xr:uid="{00000000-0005-0000-0000-0000A10B0000}"/>
    <cellStyle name="Milliers_!!!GO" xfId="71" xr:uid="{00000000-0005-0000-0000-0000A20B0000}"/>
    <cellStyle name="Model" xfId="72" xr:uid="{00000000-0005-0000-0000-0000A30B0000}"/>
    <cellStyle name="Moeda [0]_aola" xfId="3058" xr:uid="{00000000-0005-0000-0000-0000A40B0000}"/>
    <cellStyle name="Moeda_aola" xfId="3059" xr:uid="{00000000-0005-0000-0000-0000A50B0000}"/>
    <cellStyle name="Mon?aire [0]_Arabian Spec" xfId="3060" xr:uid="{00000000-0005-0000-0000-0000A60B0000}"/>
    <cellStyle name="Mon?aire_Arabian Spec" xfId="3061" xr:uid="{00000000-0005-0000-0000-0000A70B0000}"/>
    <cellStyle name="Moneda [0]_FAXE" xfId="3062" xr:uid="{00000000-0005-0000-0000-0000A80B0000}"/>
    <cellStyle name="Moneda_FAXE" xfId="3063" xr:uid="{00000000-0005-0000-0000-0000A90B0000}"/>
    <cellStyle name="Monétaire [0]_!!!GO" xfId="73" xr:uid="{00000000-0005-0000-0000-0000AA0B0000}"/>
    <cellStyle name="Monetaire [0]_Feuil1" xfId="3064" xr:uid="{00000000-0005-0000-0000-0000AB0B0000}"/>
    <cellStyle name="Monétaire_!!!GO" xfId="74" xr:uid="{00000000-0005-0000-0000-0000AC0B0000}"/>
    <cellStyle name="Monetaire_Feuil1" xfId="3065" xr:uid="{00000000-0005-0000-0000-0000AD0B0000}"/>
    <cellStyle name="Neutral" xfId="3066" xr:uid="{00000000-0005-0000-0000-0000AE0B0000}"/>
    <cellStyle name="no dec" xfId="3067" xr:uid="{00000000-0005-0000-0000-0000AF0B0000}"/>
    <cellStyle name="Non défini" xfId="3068" xr:uid="{00000000-0005-0000-0000-0000B00B0000}"/>
    <cellStyle name="Normal - Style1" xfId="75" xr:uid="{00000000-0005-0000-0000-0000B10B0000}"/>
    <cellStyle name="Normal - Style1 2" xfId="3920" xr:uid="{EDC66883-B639-41F3-86A4-6FE07417B1C0}"/>
    <cellStyle name="Normal 2" xfId="3069" xr:uid="{00000000-0005-0000-0000-0000B20B0000}"/>
    <cellStyle name="Normal 3" xfId="3070" xr:uid="{00000000-0005-0000-0000-0000B30B0000}"/>
    <cellStyle name="Normal_ Cost Centre Code" xfId="76" xr:uid="{00000000-0005-0000-0000-0000B40B0000}"/>
    <cellStyle name="Normal像?154KV 최종Nego 95.5.3" xfId="3921" xr:uid="{760C9A0F-B87E-4E2A-9DA8-D33AB4864D13}"/>
    <cellStyle name="Normal견적_상세 내역_laroux" xfId="3922" xr:uid="{55DCE173-2F8F-4208-8A96-DA72986EF3CE}"/>
    <cellStyle name="Normal忈OTD thru NOR " xfId="3071" xr:uid="{00000000-0005-0000-0000-0000B50B0000}"/>
    <cellStyle name="Note" xfId="3072" xr:uid="{00000000-0005-0000-0000-0000B60B0000}"/>
    <cellStyle name="nt bolted_BOOK1" xfId="3073" xr:uid="{00000000-0005-0000-0000-0000B70B0000}"/>
    <cellStyle name="NUM_" xfId="3074" xr:uid="{00000000-0005-0000-0000-0000B80B0000}"/>
    <cellStyle name="Number" xfId="3075" xr:uid="{00000000-0005-0000-0000-0000B90B0000}"/>
    <cellStyle name="o??귟 [0.00]_PRODUCT DETAIL Q1" xfId="3076" xr:uid="{00000000-0005-0000-0000-0000BA0B0000}"/>
    <cellStyle name="Œ…?æ맖?e [0.00]_laroux" xfId="3077" xr:uid="{00000000-0005-0000-0000-0000BB0B0000}"/>
    <cellStyle name="Œ…?æ맖?e_laroux" xfId="3078" xr:uid="{00000000-0005-0000-0000-0000BC0B0000}"/>
    <cellStyle name="Œ…‹æØ‚è [0.00]_!!!GO" xfId="77" xr:uid="{00000000-0005-0000-0000-0000BD0B0000}"/>
    <cellStyle name="Œ…‹æØ‚è_!!!GO" xfId="78" xr:uid="{00000000-0005-0000-0000-0000BE0B0000}"/>
    <cellStyle name="Option_Contents" xfId="3923" xr:uid="{124D98D3-B432-4D13-94BB-C25960BBD0D9}"/>
    <cellStyle name="Output" xfId="3079" xr:uid="{00000000-0005-0000-0000-0000BF0B0000}"/>
    <cellStyle name="per.style" xfId="79" xr:uid="{00000000-0005-0000-0000-0000C00B0000}"/>
    <cellStyle name="Percent" xfId="3080" xr:uid="{00000000-0005-0000-0000-0000C10B0000}"/>
    <cellStyle name="Percent [0]" xfId="80" xr:uid="{00000000-0005-0000-0000-0000C20B0000}"/>
    <cellStyle name="Percent [0] 2" xfId="3081" xr:uid="{00000000-0005-0000-0000-0000C30B0000}"/>
    <cellStyle name="Percent [00]" xfId="81" xr:uid="{00000000-0005-0000-0000-0000C40B0000}"/>
    <cellStyle name="Percent [00] 2" xfId="3082" xr:uid="{00000000-0005-0000-0000-0000C50B0000}"/>
    <cellStyle name="Percent [2]" xfId="82" xr:uid="{00000000-0005-0000-0000-0000C60B0000}"/>
    <cellStyle name="Percent 2" xfId="3083" xr:uid="{00000000-0005-0000-0000-0000C70B0000}"/>
    <cellStyle name="Percent_110810_철판 SCRAP조정_자동_화승R&amp;A" xfId="3084" xr:uid="{00000000-0005-0000-0000-0000C80B0000}"/>
    <cellStyle name="PrePop Currency (0)" xfId="83" xr:uid="{00000000-0005-0000-0000-0000C90B0000}"/>
    <cellStyle name="PrePop Currency (0) 2" xfId="3085" xr:uid="{00000000-0005-0000-0000-0000CA0B0000}"/>
    <cellStyle name="PrePop Currency (2)" xfId="84" xr:uid="{00000000-0005-0000-0000-0000CB0B0000}"/>
    <cellStyle name="PrePop Units (0)" xfId="85" xr:uid="{00000000-0005-0000-0000-0000CC0B0000}"/>
    <cellStyle name="PrePop Units (0) 2" xfId="3086" xr:uid="{00000000-0005-0000-0000-0000CD0B0000}"/>
    <cellStyle name="PrePop Units (1)" xfId="86" xr:uid="{00000000-0005-0000-0000-0000CE0B0000}"/>
    <cellStyle name="PrePop Units (2)" xfId="87" xr:uid="{00000000-0005-0000-0000-0000CF0B0000}"/>
    <cellStyle name="Prices_Data" xfId="3924" xr:uid="{80686201-0AE8-4F65-8CE0-867D69A7AE47}"/>
    <cellStyle name="PSChar" xfId="88" xr:uid="{00000000-0005-0000-0000-0000D00B0000}"/>
    <cellStyle name="PSDate" xfId="89" xr:uid="{00000000-0005-0000-0000-0000D10B0000}"/>
    <cellStyle name="PSDec" xfId="90" xr:uid="{00000000-0005-0000-0000-0000D20B0000}"/>
    <cellStyle name="PSHeading" xfId="91" xr:uid="{00000000-0005-0000-0000-0000D30B0000}"/>
    <cellStyle name="PSInt" xfId="92" xr:uid="{00000000-0005-0000-0000-0000D40B0000}"/>
    <cellStyle name="PSSpacer" xfId="93" xr:uid="{00000000-0005-0000-0000-0000D50B0000}"/>
    <cellStyle name="Q3 SG&amp;A Bridge" xfId="3087" xr:uid="{00000000-0005-0000-0000-0000D60B0000}"/>
    <cellStyle name="R?" xfId="94" xr:uid="{00000000-0005-0000-0000-0000D70B0000}"/>
    <cellStyle name="R? 2" xfId="3088" xr:uid="{00000000-0005-0000-0000-0000D80B0000}"/>
    <cellStyle name="R? 2 2" xfId="3089" xr:uid="{00000000-0005-0000-0000-0000D90B0000}"/>
    <cellStyle name="R_TITLE" xfId="3090" xr:uid="{00000000-0005-0000-0000-0000DA0B0000}"/>
    <cellStyle name="R_TITLE_■EN_BS_비교원가,원재료인상_110621" xfId="3091" xr:uid="{00000000-0005-0000-0000-0000DB0B0000}"/>
    <cellStyle name="R_TITLE_■EN_BS_비교원가,원재료인상_110621_7" xfId="3092" xr:uid="{00000000-0005-0000-0000-0000DC0B0000}"/>
    <cellStyle name="R_TITLE_■EN_BS_비교원가,원재료인상_110621_8" xfId="3093" xr:uid="{00000000-0005-0000-0000-0000DD0B0000}"/>
    <cellStyle name="R_TITLE_■EN_BS_비교원가,원재료인상_110621_중량" xfId="3094" xr:uid="{00000000-0005-0000-0000-0000DE0B0000}"/>
    <cellStyle name="R_TITLE_110810_UB_도아_바디웨자_초도가_(화승R&amp;A)" xfId="3095" xr:uid="{00000000-0005-0000-0000-0000DF0B0000}"/>
    <cellStyle name="R_TITLE_110810_UB_도아_바디웨자_초도가_(화승R&amp;A)_7" xfId="3096" xr:uid="{00000000-0005-0000-0000-0000E00B0000}"/>
    <cellStyle name="R_TITLE_110810_UB_도아_바디웨자_초도가_(화승R&amp;A)_8" xfId="3097" xr:uid="{00000000-0005-0000-0000-0000E10B0000}"/>
    <cellStyle name="R_TITLE_110810_UB_도아_바디웨자_초도가_(화승R&amp;A)_중량" xfId="3098" xr:uid="{00000000-0005-0000-0000-0000E20B0000}"/>
    <cellStyle name="R_TITLE_110810_철판 SCRAP조정_자동_화승R&amp;A" xfId="3099" xr:uid="{00000000-0005-0000-0000-0000E30B0000}"/>
    <cellStyle name="R_TITLE_110810_철판 SCRAP조정_자동_화승R&amp;A_7" xfId="3100" xr:uid="{00000000-0005-0000-0000-0000E40B0000}"/>
    <cellStyle name="R_TITLE_110810_철판 SCRAP조정_자동_화승R&amp;A_8" xfId="3101" xr:uid="{00000000-0005-0000-0000-0000E50B0000}"/>
    <cellStyle name="R_TITLE_110810_철판 SCRAP조정_자동_화승R&amp;A_중량" xfId="3102" xr:uid="{00000000-0005-0000-0000-0000E60B0000}"/>
    <cellStyle name="R_TITLE_7" xfId="3103" xr:uid="{00000000-0005-0000-0000-0000E70B0000}"/>
    <cellStyle name="R_TITLE_8" xfId="3104" xr:uid="{00000000-0005-0000-0000-0000E80B0000}"/>
    <cellStyle name="R_TITLE_AM_WS_운반비_110708" xfId="3105" xr:uid="{00000000-0005-0000-0000-0000E90B0000}"/>
    <cellStyle name="R_TITLE_AM_WS_운반비_110708_7" xfId="3106" xr:uid="{00000000-0005-0000-0000-0000EA0B0000}"/>
    <cellStyle name="R_TITLE_AM_WS_운반비_110708_8" xfId="3107" xr:uid="{00000000-0005-0000-0000-0000EB0B0000}"/>
    <cellStyle name="R_TITLE_AM_WS_운반비_110708_중량" xfId="3108" xr:uid="{00000000-0005-0000-0000-0000EC0B0000}"/>
    <cellStyle name="R_TITLE_Book2" xfId="3109" xr:uid="{00000000-0005-0000-0000-0000ED0B0000}"/>
    <cellStyle name="R_TITLE_Book2_7" xfId="3110" xr:uid="{00000000-0005-0000-0000-0000EE0B0000}"/>
    <cellStyle name="R_TITLE_Book2_8" xfId="3111" xr:uid="{00000000-0005-0000-0000-0000EF0B0000}"/>
    <cellStyle name="R_TITLE_Book2_중량" xfId="3112" xr:uid="{00000000-0005-0000-0000-0000F00B0000}"/>
    <cellStyle name="R_TITLE_KMC_UB_단면적,코팅길이_110218" xfId="3113" xr:uid="{00000000-0005-0000-0000-0000F10B0000}"/>
    <cellStyle name="R_TITLE_KMC_UB_단면적,코팅길이_110218_7" xfId="3114" xr:uid="{00000000-0005-0000-0000-0000F20B0000}"/>
    <cellStyle name="R_TITLE_KMC_UB_단면적,코팅길이_110218_8" xfId="3115" xr:uid="{00000000-0005-0000-0000-0000F30B0000}"/>
    <cellStyle name="R_TITLE_KMC_UB_단면적,코팅길이_110218_중량" xfId="3116" xr:uid="{00000000-0005-0000-0000-0000F40B0000}"/>
    <cellStyle name="R_TITLE_KMC_UB_조인트중량,조인트길이_110214" xfId="3117" xr:uid="{00000000-0005-0000-0000-0000F50B0000}"/>
    <cellStyle name="R_TITLE_KMC_UB_조인트중량,조인트길이_110214_7" xfId="3118" xr:uid="{00000000-0005-0000-0000-0000F60B0000}"/>
    <cellStyle name="R_TITLE_KMC_UB_조인트중량,조인트길이_110214_8" xfId="3119" xr:uid="{00000000-0005-0000-0000-0000F70B0000}"/>
    <cellStyle name="R_TITLE_KMC_UB_조인트중량,조인트길이_110214_중량" xfId="3120" xr:uid="{00000000-0005-0000-0000-0000F80B0000}"/>
    <cellStyle name="R_TITLE_RBk(5DR)_GR_비교원가,원재료인상_110607" xfId="3121" xr:uid="{00000000-0005-0000-0000-0000F90B0000}"/>
    <cellStyle name="R_TITLE_RBk(5DR)_GR_비교원가,원재료인상_110607_7" xfId="3122" xr:uid="{00000000-0005-0000-0000-0000FA0B0000}"/>
    <cellStyle name="R_TITLE_RBk(5DR)_GR_비교원가,원재료인상_110607_8" xfId="3123" xr:uid="{00000000-0005-0000-0000-0000FB0B0000}"/>
    <cellStyle name="R_TITLE_RBk(5DR)_GR_비교원가,원재료인상_110607_중량" xfId="3124" xr:uid="{00000000-0005-0000-0000-0000FC0B0000}"/>
    <cellStyle name="R_TITLE_VIL_WS_비교원가_110708" xfId="3125" xr:uid="{00000000-0005-0000-0000-0000FD0B0000}"/>
    <cellStyle name="R_TITLE_VIL_WS_비교원가_110708_7" xfId="3126" xr:uid="{00000000-0005-0000-0000-0000FE0B0000}"/>
    <cellStyle name="R_TITLE_VIL_WS_비교원가_110708_8" xfId="3127" xr:uid="{00000000-0005-0000-0000-0000FF0B0000}"/>
    <cellStyle name="R_TITLE_VIL_WS_비교원가_110708_중량" xfId="3128" xr:uid="{00000000-0005-0000-0000-0000000C0000}"/>
    <cellStyle name="R_TITLE_중량" xfId="3129" xr:uid="{00000000-0005-0000-0000-0000010C0000}"/>
    <cellStyle name="rmal_Q1_FF" xfId="3130" xr:uid="{00000000-0005-0000-0000-0000020C0000}"/>
    <cellStyle name="RSONAL" xfId="3131" xr:uid="{00000000-0005-0000-0000-0000030C0000}"/>
    <cellStyle name="sche|_x0005_" xfId="95" xr:uid="{00000000-0005-0000-0000-0000040C0000}"/>
    <cellStyle name="sche|_x0005_ 2" xfId="3132" xr:uid="{00000000-0005-0000-0000-0000050C0000}"/>
    <cellStyle name="sche|_x0005_ 3" xfId="3925" xr:uid="{40468B4F-6241-42D0-806D-B06E5E058AF4}"/>
    <cellStyle name="sche|_x0005__13" xfId="3133" xr:uid="{00000000-0005-0000-0000-0000060C0000}"/>
    <cellStyle name="Separador de milhares [0]_Person" xfId="3134" xr:uid="{00000000-0005-0000-0000-0000070C0000}"/>
    <cellStyle name="Separador de milhares_Person" xfId="3135" xr:uid="{00000000-0005-0000-0000-0000080C0000}"/>
    <cellStyle name="Sl_ Sl_ S퀬P Sl_ Sl_ Sl_ Sl_ Sl_ " xfId="3926" xr:uid="{06B6FC16-2026-44B2-9537-C5A6F0791FD1}"/>
    <cellStyle name="STANDARD" xfId="96" xr:uid="{00000000-0005-0000-0000-0000090C0000}"/>
    <cellStyle name="STANDARD 2" xfId="3136" xr:uid="{00000000-0005-0000-0000-00000A0C0000}"/>
    <cellStyle name="STFRM" xfId="3137" xr:uid="{00000000-0005-0000-0000-00000B0C0000}"/>
    <cellStyle name="Style 1" xfId="3138" xr:uid="{00000000-0005-0000-0000-00000C0C0000}"/>
    <cellStyle name="Style 2" xfId="3139" xr:uid="{00000000-0005-0000-0000-00000D0C0000}"/>
    <cellStyle name="Style 3" xfId="3140" xr:uid="{00000000-0005-0000-0000-00000E0C0000}"/>
    <cellStyle name="subhead" xfId="97" xr:uid="{00000000-0005-0000-0000-00000F0C0000}"/>
    <cellStyle name="Text Indent A" xfId="98" xr:uid="{00000000-0005-0000-0000-0000100C0000}"/>
    <cellStyle name="Text Indent B" xfId="99" xr:uid="{00000000-0005-0000-0000-0000110C0000}"/>
    <cellStyle name="Text Indent C" xfId="100" xr:uid="{00000000-0005-0000-0000-0000120C0000}"/>
    <cellStyle name="þ_x001d_ð'&amp;O" xfId="3141" xr:uid="{00000000-0005-0000-0000-0000130C0000}"/>
    <cellStyle name="þ_x001d_ð'&amp;Oy?Hy9_x0008__x000f__x0007_æ_x0007__x0007__x0001__x0001_" xfId="3142" xr:uid="{00000000-0005-0000-0000-0000140C0000}"/>
    <cellStyle name="Title" xfId="3143" xr:uid="{00000000-0005-0000-0000-0000150C0000}"/>
    <cellStyle name="Total" xfId="3144" xr:uid="{00000000-0005-0000-0000-0000160C0000}"/>
    <cellStyle name="tttttt" xfId="101" xr:uid="{00000000-0005-0000-0000-0000170C0000}"/>
    <cellStyle name="UR" xfId="3145" xr:uid="{00000000-0005-0000-0000-0000180C0000}"/>
    <cellStyle name="User_Defined_A" xfId="3146" xr:uid="{00000000-0005-0000-0000-0000190C0000}"/>
    <cellStyle name="Ǚ_x0010_ᄼǙȤ" xfId="3147" xr:uid="{00000000-0005-0000-0000-00001A0C0000}"/>
    <cellStyle name="Vehicle_Benchmark" xfId="3148" xr:uid="{00000000-0005-0000-0000-00001B0C0000}"/>
    <cellStyle name="Version_Header" xfId="3149" xr:uid="{00000000-0005-0000-0000-00001C0C0000}"/>
    <cellStyle name="Volumes_Data" xfId="3150" xr:uid="{00000000-0005-0000-0000-00001D0C0000}"/>
    <cellStyle name="‧W?_CR-581-CCQ-1 " xfId="3151" xr:uid="{00000000-0005-0000-0000-00001E0C0000}"/>
    <cellStyle name="Warning Text" xfId="3152" xr:uid="{00000000-0005-0000-0000-00001F0C0000}"/>
    <cellStyle name="XLS'|_x0005_t" xfId="102" xr:uid="{00000000-0005-0000-0000-0000200C0000}"/>
    <cellStyle name="XLS'|_x0005_t 2" xfId="3153" xr:uid="{00000000-0005-0000-0000-0000210C0000}"/>
    <cellStyle name="XLS'|_x0005_t 2 2" xfId="3154" xr:uid="{00000000-0005-0000-0000-0000220C0000}"/>
    <cellStyle name="ޘ_Sheet1_1.SUMMARY _00년 사업계획 수립지침" xfId="3155" xr:uid="{00000000-0005-0000-0000-0000230C0000}"/>
    <cellStyle name="ન࿿ઇ૆૞૩૴ાઝુ૥઻ઢઓહ઩ૣોિૐ૭ઊૅ૶૮૯ઁમભ૵૎࿿૬૒_VBA_PROJECT_CUR" xfId="3156" xr:uid="{00000000-0005-0000-0000-0000240C0000}"/>
    <cellStyle name=" 坪 l_Sheet1_Q4 (2)" xfId="3157" xr:uid="{00000000-0005-0000-0000-0000250C0000}"/>
    <cellStyle name="강조색1 2" xfId="3158" xr:uid="{00000000-0005-0000-0000-0000260C0000}"/>
    <cellStyle name="강조색1 2 2" xfId="3159" xr:uid="{00000000-0005-0000-0000-0000270C0000}"/>
    <cellStyle name="강조색1 3" xfId="3160" xr:uid="{00000000-0005-0000-0000-0000280C0000}"/>
    <cellStyle name="강조색1 3 2" xfId="3161" xr:uid="{00000000-0005-0000-0000-0000290C0000}"/>
    <cellStyle name="강조색2 2" xfId="3162" xr:uid="{00000000-0005-0000-0000-00002A0C0000}"/>
    <cellStyle name="강조색2 2 2" xfId="3163" xr:uid="{00000000-0005-0000-0000-00002B0C0000}"/>
    <cellStyle name="강조색2 3" xfId="3164" xr:uid="{00000000-0005-0000-0000-00002C0C0000}"/>
    <cellStyle name="강조색2 3 2" xfId="3165" xr:uid="{00000000-0005-0000-0000-00002D0C0000}"/>
    <cellStyle name="강조색3 2" xfId="3166" xr:uid="{00000000-0005-0000-0000-00002E0C0000}"/>
    <cellStyle name="강조색3 2 2" xfId="3167" xr:uid="{00000000-0005-0000-0000-00002F0C0000}"/>
    <cellStyle name="강조색3 3" xfId="3168" xr:uid="{00000000-0005-0000-0000-0000300C0000}"/>
    <cellStyle name="강조색3 3 2" xfId="3169" xr:uid="{00000000-0005-0000-0000-0000310C0000}"/>
    <cellStyle name="강조색4 2" xfId="3170" xr:uid="{00000000-0005-0000-0000-0000320C0000}"/>
    <cellStyle name="강조색4 2 2" xfId="3171" xr:uid="{00000000-0005-0000-0000-0000330C0000}"/>
    <cellStyle name="강조색4 3" xfId="3172" xr:uid="{00000000-0005-0000-0000-0000340C0000}"/>
    <cellStyle name="강조색4 3 2" xfId="3173" xr:uid="{00000000-0005-0000-0000-0000350C0000}"/>
    <cellStyle name="강조색5 2" xfId="3174" xr:uid="{00000000-0005-0000-0000-0000360C0000}"/>
    <cellStyle name="강조색5 2 2" xfId="3175" xr:uid="{00000000-0005-0000-0000-0000370C0000}"/>
    <cellStyle name="강조색5 3" xfId="3176" xr:uid="{00000000-0005-0000-0000-0000380C0000}"/>
    <cellStyle name="강조색5 3 2" xfId="3177" xr:uid="{00000000-0005-0000-0000-0000390C0000}"/>
    <cellStyle name="강조색6 2" xfId="3178" xr:uid="{00000000-0005-0000-0000-00003A0C0000}"/>
    <cellStyle name="강조색6 2 2" xfId="3179" xr:uid="{00000000-0005-0000-0000-00003B0C0000}"/>
    <cellStyle name="강조색6 3" xfId="3180" xr:uid="{00000000-0005-0000-0000-00003C0C0000}"/>
    <cellStyle name="강조색6 3 2" xfId="3181" xr:uid="{00000000-0005-0000-0000-00003D0C0000}"/>
    <cellStyle name="경고문 2" xfId="3182" xr:uid="{00000000-0005-0000-0000-00003E0C0000}"/>
    <cellStyle name="경고문 2 2" xfId="3183" xr:uid="{00000000-0005-0000-0000-00003F0C0000}"/>
    <cellStyle name="경고문 3" xfId="3184" xr:uid="{00000000-0005-0000-0000-0000400C0000}"/>
    <cellStyle name="경고문 3 2" xfId="3185" xr:uid="{00000000-0005-0000-0000-0000410C0000}"/>
    <cellStyle name="계산 2" xfId="3186" xr:uid="{00000000-0005-0000-0000-0000420C0000}"/>
    <cellStyle name="계산 2 2" xfId="3187" xr:uid="{00000000-0005-0000-0000-0000430C0000}"/>
    <cellStyle name="계산 3" xfId="3188" xr:uid="{00000000-0005-0000-0000-0000440C0000}"/>
    <cellStyle name="계산 3 2" xfId="3189" xr:uid="{00000000-0005-0000-0000-0000450C0000}"/>
    <cellStyle name="고정소숫점" xfId="3190" xr:uid="{00000000-0005-0000-0000-0000460C0000}"/>
    <cellStyle name="고정출력1" xfId="3191" xr:uid="{00000000-0005-0000-0000-0000470C0000}"/>
    <cellStyle name="고정출력2" xfId="3192" xr:uid="{00000000-0005-0000-0000-0000480C0000}"/>
    <cellStyle name="나쁨 2" xfId="3193" xr:uid="{00000000-0005-0000-0000-0000490C0000}"/>
    <cellStyle name="나쁨 2 2" xfId="3194" xr:uid="{00000000-0005-0000-0000-00004A0C0000}"/>
    <cellStyle name="나쁨 3" xfId="3195" xr:uid="{00000000-0005-0000-0000-00004B0C0000}"/>
    <cellStyle name="나쁨 3 2" xfId="3196" xr:uid="{00000000-0005-0000-0000-00004C0C0000}"/>
    <cellStyle name="날짜" xfId="3197" xr:uid="{00000000-0005-0000-0000-00004D0C0000}"/>
    <cellStyle name="달러" xfId="3198" xr:uid="{00000000-0005-0000-0000-00004E0C0000}"/>
    <cellStyle name="동수" xfId="3199" xr:uid="{00000000-0005-0000-0000-00004F0C0000}"/>
    <cellStyle name="뒤에 오는 하이퍼링크" xfId="103" xr:uid="{00000000-0005-0000-0000-0000500C0000}"/>
    <cellStyle name="뒤에 오는 하이퍼링크 2" xfId="3200" xr:uid="{00000000-0005-0000-0000-0000510C0000}"/>
    <cellStyle name="뒤에 오는 하이퍼링크_01PJT투자종합-rev(12.21)" xfId="3927" xr:uid="{BF357FCB-63C9-42D0-A671-AF37137893B6}"/>
    <cellStyle name="똿떓죶Ø괻 [0.00]_PRODUCT DETAIL Q1" xfId="3201" xr:uid="{00000000-0005-0000-0000-0000520C0000}"/>
    <cellStyle name="똿떓죶Ø괻_PRODUCT DETAIL Q1" xfId="3202" xr:uid="{00000000-0005-0000-0000-0000530C0000}"/>
    <cellStyle name="똿뗦먛귟 [0.00]_127뤵?럁댡걁똮뎑딃됪걂" xfId="104" xr:uid="{00000000-0005-0000-0000-0000540C0000}"/>
    <cellStyle name="똿뗦먛귟_127뤵?럁댡걁똮뎑딃됪걂" xfId="105" xr:uid="{00000000-0005-0000-0000-0000550C0000}"/>
    <cellStyle name="메모 2" xfId="3203" xr:uid="{00000000-0005-0000-0000-0000560C0000}"/>
    <cellStyle name="메모 2 2" xfId="3204" xr:uid="{00000000-0005-0000-0000-0000570C0000}"/>
    <cellStyle name="메모 2 3" xfId="3205" xr:uid="{00000000-0005-0000-0000-0000580C0000}"/>
    <cellStyle name="메모 2_7" xfId="3206" xr:uid="{00000000-0005-0000-0000-0000590C0000}"/>
    <cellStyle name="메모 3" xfId="3207" xr:uid="{00000000-0005-0000-0000-00005A0C0000}"/>
    <cellStyle name="메모 3 2" xfId="3208" xr:uid="{00000000-0005-0000-0000-00005B0C0000}"/>
    <cellStyle name="메모 3 3" xfId="3209" xr:uid="{00000000-0005-0000-0000-00005C0C0000}"/>
    <cellStyle name="명조" xfId="3210" xr:uid="{00000000-0005-0000-0000-00005D0C0000}"/>
    <cellStyle name="묮뎋 [0.00]_PRODUCT DETAIL Q1" xfId="3211" xr:uid="{00000000-0005-0000-0000-00005E0C0000}"/>
    <cellStyle name="묮뎋_PRODUCT DETAIL Q1" xfId="3212" xr:uid="{00000000-0005-0000-0000-00005F0C0000}"/>
    <cellStyle name="믅됞 [0.00]_127뤵?럁댡걁똮뎑딃됪걂" xfId="106" xr:uid="{00000000-0005-0000-0000-0000600C0000}"/>
    <cellStyle name="믅됞_127뤵?럁댡걁똮뎑딃됪걂" xfId="107" xr:uid="{00000000-0005-0000-0000-0000610C0000}"/>
    <cellStyle name="밍? [0]_엄넷?? " xfId="3213" xr:uid="{00000000-0005-0000-0000-0000620C0000}"/>
    <cellStyle name="밍?_엄넷?? " xfId="3214" xr:uid="{00000000-0005-0000-0000-0000630C0000}"/>
    <cellStyle name="_x0004_怑" xfId="3215" xr:uid="{00000000-0005-0000-0000-0000640C0000}"/>
    <cellStyle name="백_연휴 및 신구정 공사보고 " xfId="3216" xr:uid="{00000000-0005-0000-0000-0000650C0000}"/>
    <cellStyle name="백_연휴 및 신구정 공사보고  2" xfId="3217" xr:uid="{00000000-0005-0000-0000-0000660C0000}"/>
    <cellStyle name="백_연휴 및 신구정 공사보고 _프레스안별검토3(1207)" xfId="3218" xr:uid="{00000000-0005-0000-0000-0000670C0000}"/>
    <cellStyle name="백_연휴 및 신구정 공사보고 _프레스안별검토3(1207) 2" xfId="3219" xr:uid="{00000000-0005-0000-0000-0000680C0000}"/>
    <cellStyle name="백_연휴 및 신구정 공사보고 _해외공장 조직도(1)" xfId="3220" xr:uid="{00000000-0005-0000-0000-0000690C0000}"/>
    <cellStyle name="백_연휴 및 신구정 공사보고 _해외공장 조직현황(030707)" xfId="3221" xr:uid="{00000000-0005-0000-0000-00006A0C0000}"/>
    <cellStyle name="백_정이사님 보고용 1226 " xfId="3222" xr:uid="{00000000-0005-0000-0000-00006B0C0000}"/>
    <cellStyle name="백_정이사님 보고용 1226  2" xfId="3223" xr:uid="{00000000-0005-0000-0000-00006C0C0000}"/>
    <cellStyle name="백_정이사님 보고용 1226 _프레스안별검토3(1207)" xfId="3224" xr:uid="{00000000-0005-0000-0000-00006D0C0000}"/>
    <cellStyle name="백_정이사님 보고용 1226 _프레스안별검토3(1207) 2" xfId="3225" xr:uid="{00000000-0005-0000-0000-00006E0C0000}"/>
    <cellStyle name="백_정이사님 보고용 1226 _해외공장 조직도(1)" xfId="3226" xr:uid="{00000000-0005-0000-0000-00006F0C0000}"/>
    <cellStyle name="백_정이사님 보고용 1226 _해외공장 조직현황(030707)" xfId="3227" xr:uid="{00000000-0005-0000-0000-0000700C0000}"/>
    <cellStyle name="百分比_ORDER COVER SHEET(D9905-3)" xfId="3228" xr:uid="{00000000-0005-0000-0000-0000710C0000}"/>
    <cellStyle name="백분율" xfId="3807" builtinId="5"/>
    <cellStyle name="백분율 10" xfId="3229" xr:uid="{00000000-0005-0000-0000-0000730C0000}"/>
    <cellStyle name="백분율 10 2" xfId="3230" xr:uid="{00000000-0005-0000-0000-0000740C0000}"/>
    <cellStyle name="백분율 11" xfId="3231" xr:uid="{00000000-0005-0000-0000-0000750C0000}"/>
    <cellStyle name="백분율 2" xfId="3232" xr:uid="{00000000-0005-0000-0000-0000760C0000}"/>
    <cellStyle name="백분율 2 10" xfId="3808" xr:uid="{7D3CFDC1-E6F9-4ACF-BBF6-064DE22E6046}"/>
    <cellStyle name="백분율 2 2" xfId="3233" xr:uid="{00000000-0005-0000-0000-0000770C0000}"/>
    <cellStyle name="백분율 2 2 2" xfId="3234" xr:uid="{00000000-0005-0000-0000-0000780C0000}"/>
    <cellStyle name="백분율 2 2 3" xfId="3235" xr:uid="{00000000-0005-0000-0000-0000790C0000}"/>
    <cellStyle name="백분율 2 2 4" xfId="3236" xr:uid="{00000000-0005-0000-0000-00007A0C0000}"/>
    <cellStyle name="백분율 2 3" xfId="3237" xr:uid="{00000000-0005-0000-0000-00007B0C0000}"/>
    <cellStyle name="백분율 2 3 2" xfId="3238" xr:uid="{00000000-0005-0000-0000-00007C0C0000}"/>
    <cellStyle name="백분율 2 3 3" xfId="3239" xr:uid="{00000000-0005-0000-0000-00007D0C0000}"/>
    <cellStyle name="백분율 2 4" xfId="3240" xr:uid="{00000000-0005-0000-0000-00007E0C0000}"/>
    <cellStyle name="백분율 2 5" xfId="3241" xr:uid="{00000000-0005-0000-0000-00007F0C0000}"/>
    <cellStyle name="백분율 2 6" xfId="3242" xr:uid="{00000000-0005-0000-0000-0000800C0000}"/>
    <cellStyle name="백분율 2 7" xfId="3243" xr:uid="{00000000-0005-0000-0000-0000810C0000}"/>
    <cellStyle name="백분율 2 7 2" xfId="3244" xr:uid="{00000000-0005-0000-0000-0000820C0000}"/>
    <cellStyle name="백분율 2 8" xfId="3245" xr:uid="{00000000-0005-0000-0000-0000830C0000}"/>
    <cellStyle name="백분율 2 9" xfId="3246" xr:uid="{00000000-0005-0000-0000-0000840C0000}"/>
    <cellStyle name="백분율 3" xfId="3247" xr:uid="{00000000-0005-0000-0000-0000850C0000}"/>
    <cellStyle name="백분율 4" xfId="3248" xr:uid="{00000000-0005-0000-0000-0000860C0000}"/>
    <cellStyle name="백분율 4 2" xfId="3249" xr:uid="{00000000-0005-0000-0000-0000870C0000}"/>
    <cellStyle name="백분율 4 3" xfId="3250" xr:uid="{00000000-0005-0000-0000-0000880C0000}"/>
    <cellStyle name="백분율 5" xfId="3251" xr:uid="{00000000-0005-0000-0000-0000890C0000}"/>
    <cellStyle name="백분율 5 2" xfId="3252" xr:uid="{00000000-0005-0000-0000-00008A0C0000}"/>
    <cellStyle name="백분율 5 3" xfId="3253" xr:uid="{00000000-0005-0000-0000-00008B0C0000}"/>
    <cellStyle name="백분율 6" xfId="3254" xr:uid="{00000000-0005-0000-0000-00008C0C0000}"/>
    <cellStyle name="백분율 6 2" xfId="3255" xr:uid="{00000000-0005-0000-0000-00008D0C0000}"/>
    <cellStyle name="백분율 6 3" xfId="3256" xr:uid="{00000000-0005-0000-0000-00008E0C0000}"/>
    <cellStyle name="백분율 6 4" xfId="3257" xr:uid="{00000000-0005-0000-0000-00008F0C0000}"/>
    <cellStyle name="백분율 7" xfId="3258" xr:uid="{00000000-0005-0000-0000-0000900C0000}"/>
    <cellStyle name="백분율 7 2" xfId="3259" xr:uid="{00000000-0005-0000-0000-0000910C0000}"/>
    <cellStyle name="백분율 8" xfId="3260" xr:uid="{00000000-0005-0000-0000-0000920C0000}"/>
    <cellStyle name="백분율 8 2" xfId="3261" xr:uid="{00000000-0005-0000-0000-0000930C0000}"/>
    <cellStyle name="백분율 8 3" xfId="3262" xr:uid="{00000000-0005-0000-0000-0000940C0000}"/>
    <cellStyle name="백분율 8 4" xfId="3263" xr:uid="{00000000-0005-0000-0000-0000950C0000}"/>
    <cellStyle name="백분율 9" xfId="3264" xr:uid="{00000000-0005-0000-0000-0000960C0000}"/>
    <cellStyle name="보통 2" xfId="3265" xr:uid="{00000000-0005-0000-0000-0000970C0000}"/>
    <cellStyle name="보통 3" xfId="3266" xr:uid="{00000000-0005-0000-0000-0000980C0000}"/>
    <cellStyle name="뷭?" xfId="3267" xr:uid="{00000000-0005-0000-0000-0000990C0000}"/>
    <cellStyle name="뷭? 2" xfId="3268" xr:uid="{00000000-0005-0000-0000-00009A0C0000}"/>
    <cellStyle name="뷭?_?딖딈?Delivery" xfId="108" xr:uid="{00000000-0005-0000-0000-00009B0C0000}"/>
    <cellStyle name="뷰A? [0]_엄넷?? " xfId="3269" xr:uid="{00000000-0005-0000-0000-00009C0C0000}"/>
    <cellStyle name="뷰A?_엄넷?? " xfId="3270" xr:uid="{00000000-0005-0000-0000-00009D0C0000}"/>
    <cellStyle name="常规_12月原料在库" xfId="109" xr:uid="{00000000-0005-0000-0000-00009E0C0000}"/>
    <cellStyle name="새귑[0]_RESULTS" xfId="3271" xr:uid="{00000000-0005-0000-0000-00009F0C0000}"/>
    <cellStyle name="새귑_RESULTS" xfId="3272" xr:uid="{00000000-0005-0000-0000-0000A00C0000}"/>
    <cellStyle name="설명 텍스트 2" xfId="3273" xr:uid="{00000000-0005-0000-0000-0000A10C0000}"/>
    <cellStyle name="설명 텍스트 2 2" xfId="3274" xr:uid="{00000000-0005-0000-0000-0000A20C0000}"/>
    <cellStyle name="설명 텍스트 3" xfId="3275" xr:uid="{00000000-0005-0000-0000-0000A30C0000}"/>
    <cellStyle name="설명 텍스트 3 2" xfId="3276" xr:uid="{00000000-0005-0000-0000-0000A40C0000}"/>
    <cellStyle name="셀 확인 2" xfId="3277" xr:uid="{00000000-0005-0000-0000-0000A50C0000}"/>
    <cellStyle name="셀 확인 2 2" xfId="3278" xr:uid="{00000000-0005-0000-0000-0000A60C0000}"/>
    <cellStyle name="셀 확인 3" xfId="3279" xr:uid="{00000000-0005-0000-0000-0000A70C0000}"/>
    <cellStyle name="셀 확인 3 2" xfId="3280" xr:uid="{00000000-0005-0000-0000-0000A80C0000}"/>
    <cellStyle name="셈迷?XLS!check_filesche|_x0005_" xfId="110" xr:uid="{00000000-0005-0000-0000-0000A90C0000}"/>
    <cellStyle name="쉼표 [0]" xfId="111" builtinId="6"/>
    <cellStyle name="쉼표 [0] 10 2" xfId="3281" xr:uid="{00000000-0005-0000-0000-0000AB0C0000}"/>
    <cellStyle name="쉼표 [0] 10 2 2" xfId="3282" xr:uid="{00000000-0005-0000-0000-0000AC0C0000}"/>
    <cellStyle name="쉼표 [0] 11" xfId="112" xr:uid="{00000000-0005-0000-0000-0000AD0C0000}"/>
    <cellStyle name="쉼표 [0] 11 2" xfId="3283" xr:uid="{00000000-0005-0000-0000-0000AE0C0000}"/>
    <cellStyle name="쉼표 [0] 11 3" xfId="3284" xr:uid="{00000000-0005-0000-0000-0000AF0C0000}"/>
    <cellStyle name="쉼표 [0] 11 4" xfId="3285" xr:uid="{00000000-0005-0000-0000-0000B00C0000}"/>
    <cellStyle name="쉼표 [0] 12 2" xfId="3286" xr:uid="{00000000-0005-0000-0000-0000B10C0000}"/>
    <cellStyle name="쉼표 [0] 13" xfId="113" xr:uid="{00000000-0005-0000-0000-0000B20C0000}"/>
    <cellStyle name="쉼표 [0] 13 2" xfId="3287" xr:uid="{00000000-0005-0000-0000-0000B30C0000}"/>
    <cellStyle name="쉼표 [0] 14" xfId="114" xr:uid="{00000000-0005-0000-0000-0000B40C0000}"/>
    <cellStyle name="쉼표 [0] 14 2" xfId="3288" xr:uid="{00000000-0005-0000-0000-0000B50C0000}"/>
    <cellStyle name="쉼표 [0] 15" xfId="115" xr:uid="{00000000-0005-0000-0000-0000B60C0000}"/>
    <cellStyle name="쉼표 [0] 15 2" xfId="3289" xr:uid="{00000000-0005-0000-0000-0000B70C0000}"/>
    <cellStyle name="쉼표 [0] 2" xfId="116" xr:uid="{00000000-0005-0000-0000-0000B80C0000}"/>
    <cellStyle name="쉼표 [0] 2 2" xfId="117" xr:uid="{00000000-0005-0000-0000-0000B90C0000}"/>
    <cellStyle name="쉼표 [0] 2 2 10" xfId="3291" xr:uid="{00000000-0005-0000-0000-0000BA0C0000}"/>
    <cellStyle name="쉼표 [0] 2 2 11" xfId="3708" xr:uid="{00000000-0005-0000-0000-0000BB0C0000}"/>
    <cellStyle name="쉼표 [0] 2 2 12" xfId="3702" xr:uid="{00000000-0005-0000-0000-0000BC0C0000}"/>
    <cellStyle name="쉼표 [0] 2 2 13" xfId="3707" xr:uid="{00000000-0005-0000-0000-0000BD0C0000}"/>
    <cellStyle name="쉼표 [0] 2 2 14" xfId="3701" xr:uid="{00000000-0005-0000-0000-0000BE0C0000}"/>
    <cellStyle name="쉼표 [0] 2 2 15" xfId="3709" xr:uid="{00000000-0005-0000-0000-0000BF0C0000}"/>
    <cellStyle name="쉼표 [0] 2 2 16" xfId="3700" xr:uid="{00000000-0005-0000-0000-0000C00C0000}"/>
    <cellStyle name="쉼표 [0] 2 2 17" xfId="3710" xr:uid="{00000000-0005-0000-0000-0000C10C0000}"/>
    <cellStyle name="쉼표 [0] 2 2 18" xfId="3703" xr:uid="{00000000-0005-0000-0000-0000C20C0000}"/>
    <cellStyle name="쉼표 [0] 2 2 19" xfId="3711" xr:uid="{00000000-0005-0000-0000-0000C30C0000}"/>
    <cellStyle name="쉼표 [0] 2 2 2" xfId="153" xr:uid="{00000000-0005-0000-0000-0000C40C0000}"/>
    <cellStyle name="쉼표 [0] 2 2 2 2" xfId="3292" xr:uid="{00000000-0005-0000-0000-0000C50C0000}"/>
    <cellStyle name="쉼표 [0] 2 2 2 2 2" xfId="3293" xr:uid="{00000000-0005-0000-0000-0000C60C0000}"/>
    <cellStyle name="쉼표 [0] 2 2 2 2 2 2" xfId="3294" xr:uid="{00000000-0005-0000-0000-0000C70C0000}"/>
    <cellStyle name="쉼표 [0] 2 2 2 2 2 2 2" xfId="3295" xr:uid="{00000000-0005-0000-0000-0000C80C0000}"/>
    <cellStyle name="쉼표 [0] 2 2 2 2 2 2 2 2" xfId="3296" xr:uid="{00000000-0005-0000-0000-0000C90C0000}"/>
    <cellStyle name="쉼표 [0] 2 2 2 2 2 2 2 2 2" xfId="3297" xr:uid="{00000000-0005-0000-0000-0000CA0C0000}"/>
    <cellStyle name="쉼표 [0] 2 2 2 2 2 2 2 2 2 2" xfId="3298" xr:uid="{00000000-0005-0000-0000-0000CB0C0000}"/>
    <cellStyle name="쉼표 [0] 2 2 2 2 2 2 2 2 2 2 2" xfId="3299" xr:uid="{00000000-0005-0000-0000-0000CC0C0000}"/>
    <cellStyle name="쉼표 [0] 2 2 2 2 2 2 2 2 2 2 2 2" xfId="3300" xr:uid="{00000000-0005-0000-0000-0000CD0C0000}"/>
    <cellStyle name="쉼표 [0] 2 2 2 2 2 2 2 2 3" xfId="3301" xr:uid="{00000000-0005-0000-0000-0000CE0C0000}"/>
    <cellStyle name="쉼표 [0] 2 2 2 2 2 2 2 3" xfId="3302" xr:uid="{00000000-0005-0000-0000-0000CF0C0000}"/>
    <cellStyle name="쉼표 [0] 2 2 2 2 2 2 2 3 2" xfId="3303" xr:uid="{00000000-0005-0000-0000-0000D00C0000}"/>
    <cellStyle name="쉼표 [0] 2 2 2 2 2 2 3" xfId="3304" xr:uid="{00000000-0005-0000-0000-0000D10C0000}"/>
    <cellStyle name="쉼표 [0] 2 2 2 2 2 2 3 2" xfId="3305" xr:uid="{00000000-0005-0000-0000-0000D20C0000}"/>
    <cellStyle name="쉼표 [0] 2 2 2 2 2 2 3 2 2" xfId="3306" xr:uid="{00000000-0005-0000-0000-0000D30C0000}"/>
    <cellStyle name="쉼표 [0] 2 2 2 2 2 2 4" xfId="3307" xr:uid="{00000000-0005-0000-0000-0000D40C0000}"/>
    <cellStyle name="쉼표 [0] 2 2 2 2 2 3" xfId="3308" xr:uid="{00000000-0005-0000-0000-0000D50C0000}"/>
    <cellStyle name="쉼표 [0] 2 2 2 2 2 3 2" xfId="3309" xr:uid="{00000000-0005-0000-0000-0000D60C0000}"/>
    <cellStyle name="쉼표 [0] 2 2 2 2 2 3 2 2" xfId="3310" xr:uid="{00000000-0005-0000-0000-0000D70C0000}"/>
    <cellStyle name="쉼표 [0] 2 2 2 2 2 3 2 2 2" xfId="3311" xr:uid="{00000000-0005-0000-0000-0000D80C0000}"/>
    <cellStyle name="쉼표 [0] 2 2 2 2 2 3 3" xfId="3312" xr:uid="{00000000-0005-0000-0000-0000D90C0000}"/>
    <cellStyle name="쉼표 [0] 2 2 2 2 2 4" xfId="3313" xr:uid="{00000000-0005-0000-0000-0000DA0C0000}"/>
    <cellStyle name="쉼표 [0] 2 2 2 2 2 4 2" xfId="3314" xr:uid="{00000000-0005-0000-0000-0000DB0C0000}"/>
    <cellStyle name="쉼표 [0] 2 2 2 2 3" xfId="3315" xr:uid="{00000000-0005-0000-0000-0000DC0C0000}"/>
    <cellStyle name="쉼표 [0] 2 2 2 2 3 2" xfId="3316" xr:uid="{00000000-0005-0000-0000-0000DD0C0000}"/>
    <cellStyle name="쉼표 [0] 2 2 2 2 3 2 2" xfId="3317" xr:uid="{00000000-0005-0000-0000-0000DE0C0000}"/>
    <cellStyle name="쉼표 [0] 2 2 2 2 3 2 2 2" xfId="3318" xr:uid="{00000000-0005-0000-0000-0000DF0C0000}"/>
    <cellStyle name="쉼표 [0] 2 2 2 2 3 2 2 2 2" xfId="3319" xr:uid="{00000000-0005-0000-0000-0000E00C0000}"/>
    <cellStyle name="쉼표 [0] 2 2 2 2 3 2 3" xfId="3320" xr:uid="{00000000-0005-0000-0000-0000E10C0000}"/>
    <cellStyle name="쉼표 [0] 2 2 2 2 3 3" xfId="3321" xr:uid="{00000000-0005-0000-0000-0000E20C0000}"/>
    <cellStyle name="쉼표 [0] 2 2 2 2 3 3 2" xfId="3322" xr:uid="{00000000-0005-0000-0000-0000E30C0000}"/>
    <cellStyle name="쉼표 [0] 2 2 2 2 4" xfId="3323" xr:uid="{00000000-0005-0000-0000-0000E40C0000}"/>
    <cellStyle name="쉼표 [0] 2 2 2 2 4 2" xfId="3324" xr:uid="{00000000-0005-0000-0000-0000E50C0000}"/>
    <cellStyle name="쉼표 [0] 2 2 2 2 4 2 2" xfId="3325" xr:uid="{00000000-0005-0000-0000-0000E60C0000}"/>
    <cellStyle name="쉼표 [0] 2 2 2 2 5" xfId="3326" xr:uid="{00000000-0005-0000-0000-0000E70C0000}"/>
    <cellStyle name="쉼표 [0] 2 2 2 3" xfId="3327" xr:uid="{00000000-0005-0000-0000-0000E80C0000}"/>
    <cellStyle name="쉼표 [0] 2 2 2 3 2" xfId="3328" xr:uid="{00000000-0005-0000-0000-0000E90C0000}"/>
    <cellStyle name="쉼표 [0] 2 2 2 3 2 2" xfId="3329" xr:uid="{00000000-0005-0000-0000-0000EA0C0000}"/>
    <cellStyle name="쉼표 [0] 2 2 2 3 2 2 2" xfId="3330" xr:uid="{00000000-0005-0000-0000-0000EB0C0000}"/>
    <cellStyle name="쉼표 [0] 2 2 2 3 2 2 2 2" xfId="3331" xr:uid="{00000000-0005-0000-0000-0000EC0C0000}"/>
    <cellStyle name="쉼표 [0] 2 2 2 3 2 2 2 2 2" xfId="3332" xr:uid="{00000000-0005-0000-0000-0000ED0C0000}"/>
    <cellStyle name="쉼표 [0] 2 2 2 3 2 2 3" xfId="3333" xr:uid="{00000000-0005-0000-0000-0000EE0C0000}"/>
    <cellStyle name="쉼표 [0] 2 2 2 3 2 3" xfId="3334" xr:uid="{00000000-0005-0000-0000-0000EF0C0000}"/>
    <cellStyle name="쉼표 [0] 2 2 2 3 2 3 2" xfId="3335" xr:uid="{00000000-0005-0000-0000-0000F00C0000}"/>
    <cellStyle name="쉼표 [0] 2 2 2 3 3" xfId="3336" xr:uid="{00000000-0005-0000-0000-0000F10C0000}"/>
    <cellStyle name="쉼표 [0] 2 2 2 3 3 2" xfId="3337" xr:uid="{00000000-0005-0000-0000-0000F20C0000}"/>
    <cellStyle name="쉼표 [0] 2 2 2 3 3 2 2" xfId="3338" xr:uid="{00000000-0005-0000-0000-0000F30C0000}"/>
    <cellStyle name="쉼표 [0] 2 2 2 3 4" xfId="3339" xr:uid="{00000000-0005-0000-0000-0000F40C0000}"/>
    <cellStyle name="쉼표 [0] 2 2 2 4" xfId="3340" xr:uid="{00000000-0005-0000-0000-0000F50C0000}"/>
    <cellStyle name="쉼표 [0] 2 2 2 4 2" xfId="3341" xr:uid="{00000000-0005-0000-0000-0000F60C0000}"/>
    <cellStyle name="쉼표 [0] 2 2 2 4 2 2" xfId="3342" xr:uid="{00000000-0005-0000-0000-0000F70C0000}"/>
    <cellStyle name="쉼표 [0] 2 2 2 4 2 2 2" xfId="3343" xr:uid="{00000000-0005-0000-0000-0000F80C0000}"/>
    <cellStyle name="쉼표 [0] 2 2 2 4 3" xfId="3344" xr:uid="{00000000-0005-0000-0000-0000F90C0000}"/>
    <cellStyle name="쉼표 [0] 2 2 2 5" xfId="3345" xr:uid="{00000000-0005-0000-0000-0000FA0C0000}"/>
    <cellStyle name="쉼표 [0] 2 2 2 5 2" xfId="3346" xr:uid="{00000000-0005-0000-0000-0000FB0C0000}"/>
    <cellStyle name="쉼표 [0] 2 2 2 6" xfId="3347" xr:uid="{00000000-0005-0000-0000-0000FC0C0000}"/>
    <cellStyle name="쉼표 [0] 2 2 2 7" xfId="3348" xr:uid="{00000000-0005-0000-0000-0000FD0C0000}"/>
    <cellStyle name="쉼표 [0] 2 2 2 7 2" xfId="3349" xr:uid="{00000000-0005-0000-0000-0000FE0C0000}"/>
    <cellStyle name="쉼표 [0] 2 2 2 8" xfId="3350" xr:uid="{00000000-0005-0000-0000-0000FF0C0000}"/>
    <cellStyle name="쉼표 [0] 2 2 2 9" xfId="3351" xr:uid="{00000000-0005-0000-0000-0000000D0000}"/>
    <cellStyle name="쉼표 [0] 2 2 20" xfId="3712" xr:uid="{00000000-0005-0000-0000-0000010D0000}"/>
    <cellStyle name="쉼표 [0] 2 2 21" xfId="3704" xr:uid="{00000000-0005-0000-0000-0000020D0000}"/>
    <cellStyle name="쉼표 [0] 2 2 22" xfId="3699" xr:uid="{00000000-0005-0000-0000-0000030D0000}"/>
    <cellStyle name="쉼표 [0] 2 2 23" xfId="3705" xr:uid="{00000000-0005-0000-0000-0000040D0000}"/>
    <cellStyle name="쉼표 [0] 2 2 24" xfId="3698" xr:uid="{00000000-0005-0000-0000-0000050D0000}"/>
    <cellStyle name="쉼표 [0] 2 2 25" xfId="3706" xr:uid="{00000000-0005-0000-0000-0000060D0000}"/>
    <cellStyle name="쉼표 [0] 2 2 26" xfId="3718" xr:uid="{00000000-0005-0000-0000-0000070D0000}"/>
    <cellStyle name="쉼표 [0] 2 2 27" xfId="3716" xr:uid="{00000000-0005-0000-0000-0000080D0000}"/>
    <cellStyle name="쉼표 [0] 2 2 28" xfId="3717" xr:uid="{00000000-0005-0000-0000-0000090D0000}"/>
    <cellStyle name="쉼표 [0] 2 2 29" xfId="3715" xr:uid="{00000000-0005-0000-0000-00000A0D0000}"/>
    <cellStyle name="쉼표 [0] 2 2 3" xfId="152" xr:uid="{00000000-0005-0000-0000-00000B0D0000}"/>
    <cellStyle name="쉼표 [0] 2 2 3 2" xfId="3352" xr:uid="{00000000-0005-0000-0000-00000C0D0000}"/>
    <cellStyle name="쉼표 [0] 2 2 3 2 2" xfId="3353" xr:uid="{00000000-0005-0000-0000-00000D0D0000}"/>
    <cellStyle name="쉼표 [0] 2 2 3 2 2 2" xfId="3354" xr:uid="{00000000-0005-0000-0000-00000E0D0000}"/>
    <cellStyle name="쉼표 [0] 2 2 3 2 2 2 2" xfId="3355" xr:uid="{00000000-0005-0000-0000-00000F0D0000}"/>
    <cellStyle name="쉼표 [0] 2 2 3 2 2 2 2 2" xfId="3356" xr:uid="{00000000-0005-0000-0000-0000100D0000}"/>
    <cellStyle name="쉼표 [0] 2 2 3 2 2 2 2 2 2" xfId="3357" xr:uid="{00000000-0005-0000-0000-0000110D0000}"/>
    <cellStyle name="쉼표 [0] 2 2 3 2 2 2 2 2 2 2" xfId="3358" xr:uid="{00000000-0005-0000-0000-0000120D0000}"/>
    <cellStyle name="쉼표 [0] 2 2 3 2 2 2 3" xfId="3359" xr:uid="{00000000-0005-0000-0000-0000130D0000}"/>
    <cellStyle name="쉼표 [0] 2 2 3 2 2 3" xfId="3360" xr:uid="{00000000-0005-0000-0000-0000140D0000}"/>
    <cellStyle name="쉼표 [0] 2 2 3 2 2 3 2" xfId="3361" xr:uid="{00000000-0005-0000-0000-0000150D0000}"/>
    <cellStyle name="쉼표 [0] 2 2 3 2 3" xfId="3362" xr:uid="{00000000-0005-0000-0000-0000160D0000}"/>
    <cellStyle name="쉼표 [0] 2 2 3 2 3 2" xfId="3363" xr:uid="{00000000-0005-0000-0000-0000170D0000}"/>
    <cellStyle name="쉼표 [0] 2 2 3 2 3 2 2" xfId="3364" xr:uid="{00000000-0005-0000-0000-0000180D0000}"/>
    <cellStyle name="쉼표 [0] 2 2 3 2 4" xfId="3365" xr:uid="{00000000-0005-0000-0000-0000190D0000}"/>
    <cellStyle name="쉼표 [0] 2 2 3 3" xfId="3366" xr:uid="{00000000-0005-0000-0000-00001A0D0000}"/>
    <cellStyle name="쉼표 [0] 2 2 3 3 2" xfId="3367" xr:uid="{00000000-0005-0000-0000-00001B0D0000}"/>
    <cellStyle name="쉼표 [0] 2 2 3 3 2 2" xfId="3368" xr:uid="{00000000-0005-0000-0000-00001C0D0000}"/>
    <cellStyle name="쉼표 [0] 2 2 3 3 2 2 2" xfId="3369" xr:uid="{00000000-0005-0000-0000-00001D0D0000}"/>
    <cellStyle name="쉼표 [0] 2 2 3 3 3" xfId="3370" xr:uid="{00000000-0005-0000-0000-00001E0D0000}"/>
    <cellStyle name="쉼표 [0] 2 2 3 4" xfId="3371" xr:uid="{00000000-0005-0000-0000-00001F0D0000}"/>
    <cellStyle name="쉼표 [0] 2 2 3 4 2" xfId="3372" xr:uid="{00000000-0005-0000-0000-0000200D0000}"/>
    <cellStyle name="쉼표 [0] 2 2 30" xfId="3719" xr:uid="{00000000-0005-0000-0000-0000210D0000}"/>
    <cellStyle name="쉼표 [0] 2 2 31" xfId="3714" xr:uid="{00000000-0005-0000-0000-0000220D0000}"/>
    <cellStyle name="쉼표 [0] 2 2 32" xfId="3720" xr:uid="{00000000-0005-0000-0000-0000230D0000}"/>
    <cellStyle name="쉼표 [0] 2 2 33" xfId="3713" xr:uid="{00000000-0005-0000-0000-0000240D0000}"/>
    <cellStyle name="쉼표 [0] 2 2 34" xfId="3723" xr:uid="{00000000-0005-0000-0000-0000250D0000}"/>
    <cellStyle name="쉼표 [0] 2 2 35" xfId="3730" xr:uid="{00000000-0005-0000-0000-0000260D0000}"/>
    <cellStyle name="쉼표 [0] 2 2 36" xfId="3725" xr:uid="{00000000-0005-0000-0000-0000270D0000}"/>
    <cellStyle name="쉼표 [0] 2 2 37" xfId="3728" xr:uid="{00000000-0005-0000-0000-0000280D0000}"/>
    <cellStyle name="쉼표 [0] 2 2 38" xfId="3727" xr:uid="{00000000-0005-0000-0000-0000290D0000}"/>
    <cellStyle name="쉼표 [0] 2 2 39" xfId="3731" xr:uid="{00000000-0005-0000-0000-00002A0D0000}"/>
    <cellStyle name="쉼표 [0] 2 2 4" xfId="154" xr:uid="{00000000-0005-0000-0000-00002B0D0000}"/>
    <cellStyle name="쉼표 [0] 2 2 4 2" xfId="3373" xr:uid="{00000000-0005-0000-0000-00002C0D0000}"/>
    <cellStyle name="쉼표 [0] 2 2 4 2 2" xfId="3374" xr:uid="{00000000-0005-0000-0000-00002D0D0000}"/>
    <cellStyle name="쉼표 [0] 2 2 4 2 2 2" xfId="3375" xr:uid="{00000000-0005-0000-0000-00002E0D0000}"/>
    <cellStyle name="쉼표 [0] 2 2 4 2 2 2 2" xfId="3376" xr:uid="{00000000-0005-0000-0000-00002F0D0000}"/>
    <cellStyle name="쉼표 [0] 2 2 4 2 2 2 2 2" xfId="3377" xr:uid="{00000000-0005-0000-0000-0000300D0000}"/>
    <cellStyle name="쉼표 [0] 2 2 4 2 3" xfId="3378" xr:uid="{00000000-0005-0000-0000-0000310D0000}"/>
    <cellStyle name="쉼표 [0] 2 2 4 3" xfId="3379" xr:uid="{00000000-0005-0000-0000-0000320D0000}"/>
    <cellStyle name="쉼표 [0] 2 2 4 3 2" xfId="3380" xr:uid="{00000000-0005-0000-0000-0000330D0000}"/>
    <cellStyle name="쉼표 [0] 2 2 40" xfId="3724" xr:uid="{00000000-0005-0000-0000-0000340D0000}"/>
    <cellStyle name="쉼표 [0] 2 2 41" xfId="3729" xr:uid="{00000000-0005-0000-0000-0000350D0000}"/>
    <cellStyle name="쉼표 [0] 2 2 42" xfId="3726" xr:uid="{00000000-0005-0000-0000-0000360D0000}"/>
    <cellStyle name="쉼표 [0] 2 2 43" xfId="3750" xr:uid="{00000000-0005-0000-0000-0000370D0000}"/>
    <cellStyle name="쉼표 [0] 2 2 44" xfId="3755" xr:uid="{00000000-0005-0000-0000-0000380D0000}"/>
    <cellStyle name="쉼표 [0] 2 2 45" xfId="3752" xr:uid="{00000000-0005-0000-0000-0000390D0000}"/>
    <cellStyle name="쉼표 [0] 2 2 46" xfId="3754" xr:uid="{00000000-0005-0000-0000-00003A0D0000}"/>
    <cellStyle name="쉼표 [0] 2 2 47" xfId="3753" xr:uid="{00000000-0005-0000-0000-00003B0D0000}"/>
    <cellStyle name="쉼표 [0] 2 2 48" xfId="3756" xr:uid="{00000000-0005-0000-0000-00003C0D0000}"/>
    <cellStyle name="쉼표 [0] 2 2 49" xfId="3751" xr:uid="{00000000-0005-0000-0000-00003D0D0000}"/>
    <cellStyle name="쉼표 [0] 2 2 5" xfId="155" xr:uid="{00000000-0005-0000-0000-00003E0D0000}"/>
    <cellStyle name="쉼표 [0] 2 2 5 2" xfId="3381" xr:uid="{00000000-0005-0000-0000-00003F0D0000}"/>
    <cellStyle name="쉼표 [0] 2 2 5 2 2" xfId="3382" xr:uid="{00000000-0005-0000-0000-0000400D0000}"/>
    <cellStyle name="쉼표 [0] 2 2 5 2 2 2" xfId="3383" xr:uid="{00000000-0005-0000-0000-0000410D0000}"/>
    <cellStyle name="쉼표 [0] 2 2 6" xfId="156" xr:uid="{00000000-0005-0000-0000-0000420D0000}"/>
    <cellStyle name="쉼표 [0] 2 2 6 2" xfId="3384" xr:uid="{00000000-0005-0000-0000-0000430D0000}"/>
    <cellStyle name="쉼표 [0] 2 2 7" xfId="157" xr:uid="{00000000-0005-0000-0000-0000440D0000}"/>
    <cellStyle name="쉼표 [0] 2 2 8" xfId="158" xr:uid="{00000000-0005-0000-0000-0000450D0000}"/>
    <cellStyle name="쉼표 [0] 2 2 9" xfId="159" xr:uid="{00000000-0005-0000-0000-0000460D0000}"/>
    <cellStyle name="쉼표 [0] 2 3" xfId="118" xr:uid="{00000000-0005-0000-0000-0000470D0000}"/>
    <cellStyle name="쉼표 [0] 2 3 2" xfId="3385" xr:uid="{00000000-0005-0000-0000-0000480D0000}"/>
    <cellStyle name="쉼표 [0] 2 3 2 2" xfId="3386" xr:uid="{00000000-0005-0000-0000-0000490D0000}"/>
    <cellStyle name="쉼표 [0] 2 3 2 2 2" xfId="3387" xr:uid="{00000000-0005-0000-0000-00004A0D0000}"/>
    <cellStyle name="쉼표 [0] 2 3 2 2 2 2" xfId="3388" xr:uid="{00000000-0005-0000-0000-00004B0D0000}"/>
    <cellStyle name="쉼표 [0] 2 3 2 2 2 2 2" xfId="3389" xr:uid="{00000000-0005-0000-0000-00004C0D0000}"/>
    <cellStyle name="쉼표 [0] 2 3 2 2 2 2 2 2" xfId="3390" xr:uid="{00000000-0005-0000-0000-00004D0D0000}"/>
    <cellStyle name="쉼표 [0] 2 3 2 2 2 2 2 2 2" xfId="3391" xr:uid="{00000000-0005-0000-0000-00004E0D0000}"/>
    <cellStyle name="쉼표 [0] 2 3 2 2 2 2 2 2 2 2" xfId="3392" xr:uid="{00000000-0005-0000-0000-00004F0D0000}"/>
    <cellStyle name="쉼표 [0] 2 3 2 2 2 2 3" xfId="3393" xr:uid="{00000000-0005-0000-0000-0000500D0000}"/>
    <cellStyle name="쉼표 [0] 2 3 2 2 2 3" xfId="3394" xr:uid="{00000000-0005-0000-0000-0000510D0000}"/>
    <cellStyle name="쉼표 [0] 2 3 2 2 2 3 2" xfId="3395" xr:uid="{00000000-0005-0000-0000-0000520D0000}"/>
    <cellStyle name="쉼표 [0] 2 3 2 2 3" xfId="3396" xr:uid="{00000000-0005-0000-0000-0000530D0000}"/>
    <cellStyle name="쉼표 [0] 2 3 2 2 3 2" xfId="3397" xr:uid="{00000000-0005-0000-0000-0000540D0000}"/>
    <cellStyle name="쉼표 [0] 2 3 2 2 3 2 2" xfId="3398" xr:uid="{00000000-0005-0000-0000-0000550D0000}"/>
    <cellStyle name="쉼표 [0] 2 3 2 2 4" xfId="3399" xr:uid="{00000000-0005-0000-0000-0000560D0000}"/>
    <cellStyle name="쉼표 [0] 2 3 2 3" xfId="3400" xr:uid="{00000000-0005-0000-0000-0000570D0000}"/>
    <cellStyle name="쉼표 [0] 2 3 2 3 2" xfId="3401" xr:uid="{00000000-0005-0000-0000-0000580D0000}"/>
    <cellStyle name="쉼표 [0] 2 3 2 3 2 2" xfId="3402" xr:uid="{00000000-0005-0000-0000-0000590D0000}"/>
    <cellStyle name="쉼표 [0] 2 3 2 3 2 2 2" xfId="3403" xr:uid="{00000000-0005-0000-0000-00005A0D0000}"/>
    <cellStyle name="쉼표 [0] 2 3 2 3 3" xfId="3404" xr:uid="{00000000-0005-0000-0000-00005B0D0000}"/>
    <cellStyle name="쉼표 [0] 2 3 2 4" xfId="3405" xr:uid="{00000000-0005-0000-0000-00005C0D0000}"/>
    <cellStyle name="쉼표 [0] 2 3 2 4 2" xfId="3406" xr:uid="{00000000-0005-0000-0000-00005D0D0000}"/>
    <cellStyle name="쉼표 [0] 2 3 3" xfId="3407" xr:uid="{00000000-0005-0000-0000-00005E0D0000}"/>
    <cellStyle name="쉼표 [0] 2 3 3 2" xfId="3408" xr:uid="{00000000-0005-0000-0000-00005F0D0000}"/>
    <cellStyle name="쉼표 [0] 2 3 3 2 2" xfId="3409" xr:uid="{00000000-0005-0000-0000-0000600D0000}"/>
    <cellStyle name="쉼표 [0] 2 3 3 2 2 2" xfId="3410" xr:uid="{00000000-0005-0000-0000-0000610D0000}"/>
    <cellStyle name="쉼표 [0] 2 3 3 2 2 2 2" xfId="3411" xr:uid="{00000000-0005-0000-0000-0000620D0000}"/>
    <cellStyle name="쉼표 [0] 2 3 3 2 3" xfId="3412" xr:uid="{00000000-0005-0000-0000-0000630D0000}"/>
    <cellStyle name="쉼표 [0] 2 3 3 3" xfId="3413" xr:uid="{00000000-0005-0000-0000-0000640D0000}"/>
    <cellStyle name="쉼표 [0] 2 3 3 3 2" xfId="3414" xr:uid="{00000000-0005-0000-0000-0000650D0000}"/>
    <cellStyle name="쉼표 [0] 2 3 4" xfId="3415" xr:uid="{00000000-0005-0000-0000-0000660D0000}"/>
    <cellStyle name="쉼표 [0] 2 3 4 2" xfId="3416" xr:uid="{00000000-0005-0000-0000-0000670D0000}"/>
    <cellStyle name="쉼표 [0] 2 3 4 2 2" xfId="3417" xr:uid="{00000000-0005-0000-0000-0000680D0000}"/>
    <cellStyle name="쉼표 [0] 2 3 5" xfId="3418" xr:uid="{00000000-0005-0000-0000-0000690D0000}"/>
    <cellStyle name="쉼표 [0] 2 3 6" xfId="3419" xr:uid="{00000000-0005-0000-0000-00006A0D0000}"/>
    <cellStyle name="쉼표 [0] 2 3 7" xfId="3420" xr:uid="{00000000-0005-0000-0000-00006B0D0000}"/>
    <cellStyle name="쉼표 [0] 2 4" xfId="3290" xr:uid="{00000000-0005-0000-0000-00006C0D0000}"/>
    <cellStyle name="쉼표 [0] 2 4 2" xfId="3421" xr:uid="{00000000-0005-0000-0000-00006D0D0000}"/>
    <cellStyle name="쉼표 [0] 2 4 2 2" xfId="3422" xr:uid="{00000000-0005-0000-0000-00006E0D0000}"/>
    <cellStyle name="쉼표 [0] 2 4 2 2 2" xfId="3423" xr:uid="{00000000-0005-0000-0000-00006F0D0000}"/>
    <cellStyle name="쉼표 [0] 2 4 2 2 2 2" xfId="3424" xr:uid="{00000000-0005-0000-0000-0000700D0000}"/>
    <cellStyle name="쉼표 [0] 2 4 2 2 2 2 2" xfId="3425" xr:uid="{00000000-0005-0000-0000-0000710D0000}"/>
    <cellStyle name="쉼표 [0] 2 4 2 2 2 2 2 2" xfId="3426" xr:uid="{00000000-0005-0000-0000-0000720D0000}"/>
    <cellStyle name="쉼표 [0] 2 4 2 2 3" xfId="3427" xr:uid="{00000000-0005-0000-0000-0000730D0000}"/>
    <cellStyle name="쉼표 [0] 2 4 2 3" xfId="3428" xr:uid="{00000000-0005-0000-0000-0000740D0000}"/>
    <cellStyle name="쉼표 [0] 2 4 2 3 2" xfId="3429" xr:uid="{00000000-0005-0000-0000-0000750D0000}"/>
    <cellStyle name="쉼표 [0] 2 4 3" xfId="3430" xr:uid="{00000000-0005-0000-0000-0000760D0000}"/>
    <cellStyle name="쉼표 [0] 2 4 3 2" xfId="3431" xr:uid="{00000000-0005-0000-0000-0000770D0000}"/>
    <cellStyle name="쉼표 [0] 2 4 3 2 2" xfId="3432" xr:uid="{00000000-0005-0000-0000-0000780D0000}"/>
    <cellStyle name="쉼표 [0] 2 4 4" xfId="3433" xr:uid="{00000000-0005-0000-0000-0000790D0000}"/>
    <cellStyle name="쉼표 [0] 2 4 5" xfId="3434" xr:uid="{00000000-0005-0000-0000-00007A0D0000}"/>
    <cellStyle name="쉼표 [0] 2 4 6" xfId="3435" xr:uid="{00000000-0005-0000-0000-00007B0D0000}"/>
    <cellStyle name="쉼표 [0] 2 4 7" xfId="3436" xr:uid="{00000000-0005-0000-0000-00007C0D0000}"/>
    <cellStyle name="쉼표 [0] 2 5" xfId="3437" xr:uid="{00000000-0005-0000-0000-00007D0D0000}"/>
    <cellStyle name="쉼표 [0] 2 5 2" xfId="3438" xr:uid="{00000000-0005-0000-0000-00007E0D0000}"/>
    <cellStyle name="쉼표 [0] 2 5 2 2" xfId="3439" xr:uid="{00000000-0005-0000-0000-00007F0D0000}"/>
    <cellStyle name="쉼표 [0] 2 5 2 2 2" xfId="3440" xr:uid="{00000000-0005-0000-0000-0000800D0000}"/>
    <cellStyle name="쉼표 [0] 2 5 3" xfId="3441" xr:uid="{00000000-0005-0000-0000-0000810D0000}"/>
    <cellStyle name="쉼표 [0] 2 5 4" xfId="3442" xr:uid="{00000000-0005-0000-0000-0000820D0000}"/>
    <cellStyle name="쉼표 [0] 2 5 5" xfId="3443" xr:uid="{00000000-0005-0000-0000-0000830D0000}"/>
    <cellStyle name="쉼표 [0] 2 6" xfId="3444" xr:uid="{00000000-0005-0000-0000-0000840D0000}"/>
    <cellStyle name="쉼표 [0] 2 6 2" xfId="3445" xr:uid="{00000000-0005-0000-0000-0000850D0000}"/>
    <cellStyle name="쉼표 [0] 2 7" xfId="3446" xr:uid="{00000000-0005-0000-0000-0000860D0000}"/>
    <cellStyle name="쉼표 [0] 2 7 2" xfId="3447" xr:uid="{00000000-0005-0000-0000-0000870D0000}"/>
    <cellStyle name="쉼표 [0] 2 8" xfId="3448" xr:uid="{00000000-0005-0000-0000-0000880D0000}"/>
    <cellStyle name="쉼표 [0] 2 8 2" xfId="3449" xr:uid="{00000000-0005-0000-0000-0000890D0000}"/>
    <cellStyle name="쉼표 [0] 2 9" xfId="3450" xr:uid="{00000000-0005-0000-0000-00008A0D0000}"/>
    <cellStyle name="쉼표 [0] 3" xfId="119" xr:uid="{00000000-0005-0000-0000-00008B0D0000}"/>
    <cellStyle name="쉼표 [0] 3 2" xfId="3451" xr:uid="{00000000-0005-0000-0000-00008C0D0000}"/>
    <cellStyle name="쉼표 [0] 3 2 2" xfId="3452" xr:uid="{00000000-0005-0000-0000-00008D0D0000}"/>
    <cellStyle name="쉼표 [0] 3 2 2 2" xfId="3453" xr:uid="{00000000-0005-0000-0000-00008E0D0000}"/>
    <cellStyle name="쉼표 [0] 3 2 3" xfId="3454" xr:uid="{00000000-0005-0000-0000-00008F0D0000}"/>
    <cellStyle name="쉼표 [0] 3 2 4" xfId="3455" xr:uid="{00000000-0005-0000-0000-0000900D0000}"/>
    <cellStyle name="쉼표 [0] 3 3" xfId="3456" xr:uid="{00000000-0005-0000-0000-0000910D0000}"/>
    <cellStyle name="쉼표 [0] 3 4" xfId="3457" xr:uid="{00000000-0005-0000-0000-0000920D0000}"/>
    <cellStyle name="쉼표 [0] 3 5" xfId="3458" xr:uid="{00000000-0005-0000-0000-0000930D0000}"/>
    <cellStyle name="쉼표 [0] 3 6" xfId="3459" xr:uid="{00000000-0005-0000-0000-0000940D0000}"/>
    <cellStyle name="쉼표 [0] 3 7" xfId="3460" xr:uid="{00000000-0005-0000-0000-0000950D0000}"/>
    <cellStyle name="쉼표 [0] 3 8" xfId="3461" xr:uid="{00000000-0005-0000-0000-0000960D0000}"/>
    <cellStyle name="쉼표 [0] 4" xfId="3928" xr:uid="{01BA27D0-713F-418A-9501-03BD97E9A00C}"/>
    <cellStyle name="쉼표 [0] 4 2" xfId="3462" xr:uid="{00000000-0005-0000-0000-0000970D0000}"/>
    <cellStyle name="쉼표 [0] 4 3" xfId="3463" xr:uid="{00000000-0005-0000-0000-0000980D0000}"/>
    <cellStyle name="쉼표 [0] 4 4" xfId="3464" xr:uid="{00000000-0005-0000-0000-0000990D0000}"/>
    <cellStyle name="쉼표 [0] 4 5" xfId="3465" xr:uid="{00000000-0005-0000-0000-00009A0D0000}"/>
    <cellStyle name="쉼표 [0] 4 6" xfId="3466" xr:uid="{00000000-0005-0000-0000-00009B0D0000}"/>
    <cellStyle name="쉼표 [0] 5 2" xfId="3467" xr:uid="{00000000-0005-0000-0000-00009C0D0000}"/>
    <cellStyle name="쉼표 [0] 5 3" xfId="3468" xr:uid="{00000000-0005-0000-0000-00009D0D0000}"/>
    <cellStyle name="쉼표 [0] 6 2" xfId="3469" xr:uid="{00000000-0005-0000-0000-00009E0D0000}"/>
    <cellStyle name="쉼표 [0] 6 3" xfId="3470" xr:uid="{00000000-0005-0000-0000-00009F0D0000}"/>
    <cellStyle name="쉼표 [0] 7" xfId="120" xr:uid="{00000000-0005-0000-0000-0000A00D0000}"/>
    <cellStyle name="쉼표 [0] 7 2" xfId="3471" xr:uid="{00000000-0005-0000-0000-0000A10D0000}"/>
    <cellStyle name="쉼표 [0] 7 3" xfId="3472" xr:uid="{00000000-0005-0000-0000-0000A20D0000}"/>
    <cellStyle name="쉼표 [0] 7 4" xfId="3473" xr:uid="{00000000-0005-0000-0000-0000A30D0000}"/>
    <cellStyle name="쉼표 [0] 7 5" xfId="3474" xr:uid="{00000000-0005-0000-0000-0000A40D0000}"/>
    <cellStyle name="쉼표 [0] 8 2" xfId="3475" xr:uid="{00000000-0005-0000-0000-0000A50D0000}"/>
    <cellStyle name="쉼표 [0] 8 3" xfId="3476" xr:uid="{00000000-0005-0000-0000-0000A60D0000}"/>
    <cellStyle name="쉼표 [0] 8 4" xfId="3477" xr:uid="{00000000-0005-0000-0000-0000A70D0000}"/>
    <cellStyle name="쉼표 [0] 9" xfId="121" xr:uid="{00000000-0005-0000-0000-0000A80D0000}"/>
    <cellStyle name="쉼표 [0] 9 2" xfId="3478" xr:uid="{00000000-0005-0000-0000-0000A90D0000}"/>
    <cellStyle name="쉼표 [0]_자재LST2" xfId="122" xr:uid="{00000000-0005-0000-0000-0000AA0D0000}"/>
    <cellStyle name="쉼표 2" xfId="3479" xr:uid="{00000000-0005-0000-0000-0000AB0D0000}"/>
    <cellStyle name="쉼표 3" xfId="3480" xr:uid="{00000000-0005-0000-0000-0000AC0D0000}"/>
    <cellStyle name="쉼표 4" xfId="3481" xr:uid="{00000000-0005-0000-0000-0000AD0D0000}"/>
    <cellStyle name="쉼표 5" xfId="3482" xr:uid="{00000000-0005-0000-0000-0000AE0D0000}"/>
    <cellStyle name="쉼표 6" xfId="3483" xr:uid="{00000000-0005-0000-0000-0000AF0D0000}"/>
    <cellStyle name="스타일 1" xfId="123" xr:uid="{00000000-0005-0000-0000-0000B00D0000}"/>
    <cellStyle name="스타일 1 2" xfId="3484" xr:uid="{00000000-0005-0000-0000-0000B10D0000}"/>
    <cellStyle name="스타일 1 3" xfId="3929" xr:uid="{627358E3-DEA1-4530-8CE9-4235A7A4884D}"/>
    <cellStyle name="스타일 1_17" xfId="3485" xr:uid="{00000000-0005-0000-0000-0000B20D0000}"/>
    <cellStyle name="스타일 10" xfId="3486" xr:uid="{00000000-0005-0000-0000-0000B30D0000}"/>
    <cellStyle name="스타일 11" xfId="3487" xr:uid="{00000000-0005-0000-0000-0000B40D0000}"/>
    <cellStyle name="스타일 12" xfId="3488" xr:uid="{00000000-0005-0000-0000-0000B50D0000}"/>
    <cellStyle name="스타일 13" xfId="3489" xr:uid="{00000000-0005-0000-0000-0000B60D0000}"/>
    <cellStyle name="스타일 14" xfId="3490" xr:uid="{00000000-0005-0000-0000-0000B70D0000}"/>
    <cellStyle name="스타일 15" xfId="3491" xr:uid="{00000000-0005-0000-0000-0000B80D0000}"/>
    <cellStyle name="스타일 16" xfId="3492" xr:uid="{00000000-0005-0000-0000-0000B90D0000}"/>
    <cellStyle name="스타일 17" xfId="3493" xr:uid="{00000000-0005-0000-0000-0000BA0D0000}"/>
    <cellStyle name="스타일 18" xfId="3494" xr:uid="{00000000-0005-0000-0000-0000BB0D0000}"/>
    <cellStyle name="스타일 19" xfId="3495" xr:uid="{00000000-0005-0000-0000-0000BC0D0000}"/>
    <cellStyle name="스타일 2" xfId="3496" xr:uid="{00000000-0005-0000-0000-0000BD0D0000}"/>
    <cellStyle name="스타일 2 2" xfId="3497" xr:uid="{00000000-0005-0000-0000-0000BE0D0000}"/>
    <cellStyle name="스타일 20" xfId="3498" xr:uid="{00000000-0005-0000-0000-0000BF0D0000}"/>
    <cellStyle name="스타일 21" xfId="3499" xr:uid="{00000000-0005-0000-0000-0000C00D0000}"/>
    <cellStyle name="스타일 22" xfId="3500" xr:uid="{00000000-0005-0000-0000-0000C10D0000}"/>
    <cellStyle name="스타일 23" xfId="3501" xr:uid="{00000000-0005-0000-0000-0000C20D0000}"/>
    <cellStyle name="스타일 24" xfId="3502" xr:uid="{00000000-0005-0000-0000-0000C30D0000}"/>
    <cellStyle name="스타일 25" xfId="3503" xr:uid="{00000000-0005-0000-0000-0000C40D0000}"/>
    <cellStyle name="스타일 26" xfId="3504" xr:uid="{00000000-0005-0000-0000-0000C50D0000}"/>
    <cellStyle name="스타일 27" xfId="3505" xr:uid="{00000000-0005-0000-0000-0000C60D0000}"/>
    <cellStyle name="스타일 28" xfId="3506" xr:uid="{00000000-0005-0000-0000-0000C70D0000}"/>
    <cellStyle name="스타일 29" xfId="3507" xr:uid="{00000000-0005-0000-0000-0000C80D0000}"/>
    <cellStyle name="스타일 3" xfId="3508" xr:uid="{00000000-0005-0000-0000-0000C90D0000}"/>
    <cellStyle name="스타일 3 2" xfId="3509" xr:uid="{00000000-0005-0000-0000-0000CA0D0000}"/>
    <cellStyle name="스타일 30" xfId="3510" xr:uid="{00000000-0005-0000-0000-0000CB0D0000}"/>
    <cellStyle name="스타일 4" xfId="3511" xr:uid="{00000000-0005-0000-0000-0000CC0D0000}"/>
    <cellStyle name="스타일 4 2" xfId="3512" xr:uid="{00000000-0005-0000-0000-0000CD0D0000}"/>
    <cellStyle name="스타일 5" xfId="3513" xr:uid="{00000000-0005-0000-0000-0000CE0D0000}"/>
    <cellStyle name="스타일 5 2" xfId="3514" xr:uid="{00000000-0005-0000-0000-0000CF0D0000}"/>
    <cellStyle name="스타일 6" xfId="3515" xr:uid="{00000000-0005-0000-0000-0000D00D0000}"/>
    <cellStyle name="스타일 7" xfId="3516" xr:uid="{00000000-0005-0000-0000-0000D10D0000}"/>
    <cellStyle name="스타일 8" xfId="3517" xr:uid="{00000000-0005-0000-0000-0000D20D0000}"/>
    <cellStyle name="스타일 9" xfId="3518" xr:uid="{00000000-0005-0000-0000-0000D30D0000}"/>
    <cellStyle name="연결된 셀 2" xfId="3519" xr:uid="{00000000-0005-0000-0000-0000D40D0000}"/>
    <cellStyle name="연결된 셀 2 2" xfId="3520" xr:uid="{00000000-0005-0000-0000-0000D50D0000}"/>
    <cellStyle name="연결된 셀 3" xfId="3521" xr:uid="{00000000-0005-0000-0000-0000D60D0000}"/>
    <cellStyle name="연결된 셀 3 2" xfId="3522" xr:uid="{00000000-0005-0000-0000-0000D70D0000}"/>
    <cellStyle name="요약 2" xfId="3523" xr:uid="{00000000-0005-0000-0000-0000D80D0000}"/>
    <cellStyle name="요약 2 2" xfId="3524" xr:uid="{00000000-0005-0000-0000-0000D90D0000}"/>
    <cellStyle name="요약 3" xfId="3525" xr:uid="{00000000-0005-0000-0000-0000DA0D0000}"/>
    <cellStyle name="요약 3 2" xfId="3526" xr:uid="{00000000-0005-0000-0000-0000DB0D0000}"/>
    <cellStyle name="一般_Book1" xfId="3527" xr:uid="{00000000-0005-0000-0000-0000DC0D0000}"/>
    <cellStyle name="입력 2" xfId="3528" xr:uid="{00000000-0005-0000-0000-0000DD0D0000}"/>
    <cellStyle name="입력 2 2" xfId="3529" xr:uid="{00000000-0005-0000-0000-0000DE0D0000}"/>
    <cellStyle name="입력 3" xfId="3530" xr:uid="{00000000-0005-0000-0000-0000DF0D0000}"/>
    <cellStyle name="입력 3 2" xfId="3531" xr:uid="{00000000-0005-0000-0000-0000E00D0000}"/>
    <cellStyle name="자리수" xfId="3532" xr:uid="{00000000-0005-0000-0000-0000E10D0000}"/>
    <cellStyle name="자리수0" xfId="3533" xr:uid="{00000000-0005-0000-0000-0000E20D0000}"/>
    <cellStyle name="전용" xfId="3534" xr:uid="{00000000-0005-0000-0000-0000E30D0000}"/>
    <cellStyle name="제목 1 2" xfId="3535" xr:uid="{00000000-0005-0000-0000-0000E40D0000}"/>
    <cellStyle name="제목 1 3" xfId="3536" xr:uid="{00000000-0005-0000-0000-0000E50D0000}"/>
    <cellStyle name="제목 2 2" xfId="3537" xr:uid="{00000000-0005-0000-0000-0000E60D0000}"/>
    <cellStyle name="제목 2 3" xfId="3538" xr:uid="{00000000-0005-0000-0000-0000E70D0000}"/>
    <cellStyle name="제목 3 2" xfId="3539" xr:uid="{00000000-0005-0000-0000-0000E80D0000}"/>
    <cellStyle name="제목 3 3" xfId="3540" xr:uid="{00000000-0005-0000-0000-0000E90D0000}"/>
    <cellStyle name="제목 4 2" xfId="3541" xr:uid="{00000000-0005-0000-0000-0000EA0D0000}"/>
    <cellStyle name="제목 4 3" xfId="3542" xr:uid="{00000000-0005-0000-0000-0000EB0D0000}"/>
    <cellStyle name="제목 5" xfId="3543" xr:uid="{00000000-0005-0000-0000-0000EC0D0000}"/>
    <cellStyle name="제목 6" xfId="3544" xr:uid="{00000000-0005-0000-0000-0000ED0D0000}"/>
    <cellStyle name="좋음 2" xfId="3545" xr:uid="{00000000-0005-0000-0000-0000EE0D0000}"/>
    <cellStyle name="좋음 2 2" xfId="3546" xr:uid="{00000000-0005-0000-0000-0000EF0D0000}"/>
    <cellStyle name="좋음 3" xfId="3547" xr:uid="{00000000-0005-0000-0000-0000F00D0000}"/>
    <cellStyle name="좋음 3 2" xfId="3548" xr:uid="{00000000-0005-0000-0000-0000F10D0000}"/>
    <cellStyle name="줡" xfId="3549" xr:uid="{00000000-0005-0000-0000-0000F20D0000}"/>
    <cellStyle name="줿㼿㼿㼿?" xfId="3550" xr:uid="{00000000-0005-0000-0000-0000F30D0000}"/>
    <cellStyle name="지정되지 않음" xfId="124" xr:uid="{00000000-0005-0000-0000-0000F40D0000}"/>
    <cellStyle name="千位分隔[0]_GTHMSNZ" xfId="3551" xr:uid="{00000000-0005-0000-0000-0000F50D0000}"/>
    <cellStyle name="千位分隔_GTHMSNZ" xfId="3552" xr:uid="{00000000-0005-0000-0000-0000F60D0000}"/>
    <cellStyle name="출력 2" xfId="3553" xr:uid="{00000000-0005-0000-0000-0000F70D0000}"/>
    <cellStyle name="출력 2 2" xfId="3554" xr:uid="{00000000-0005-0000-0000-0000F80D0000}"/>
    <cellStyle name="출력 3" xfId="3555" xr:uid="{00000000-0005-0000-0000-0000F90D0000}"/>
    <cellStyle name="출력 3 2" xfId="3556" xr:uid="{00000000-0005-0000-0000-0000FA0D0000}"/>
    <cellStyle name="콤_연휴 및 신구정 공사보고 " xfId="3557" xr:uid="{00000000-0005-0000-0000-0000FB0D0000}"/>
    <cellStyle name="콤_연휴 및 신구정 공사보고  2" xfId="3558" xr:uid="{00000000-0005-0000-0000-0000FC0D0000}"/>
    <cellStyle name="콤_연휴 및 신구정 공사보고 _프레스안별검토3(1207)" xfId="3559" xr:uid="{00000000-0005-0000-0000-0000FD0D0000}"/>
    <cellStyle name="콤_연휴 및 신구정 공사보고 _프레스안별검토3(1207) 2" xfId="3560" xr:uid="{00000000-0005-0000-0000-0000FE0D0000}"/>
    <cellStyle name="콤_연휴 및 신구정 공사보고 _해외공장 조직도(1)" xfId="3561" xr:uid="{00000000-0005-0000-0000-0000FF0D0000}"/>
    <cellStyle name="콤_연휴 및 신구정 공사보고 _해외공장 조직현황(030707)" xfId="3562" xr:uid="{00000000-0005-0000-0000-0000000E0000}"/>
    <cellStyle name="콤_정이사님 보고용 1226 " xfId="3563" xr:uid="{00000000-0005-0000-0000-0000010E0000}"/>
    <cellStyle name="콤_정이사님 보고용 1226  2" xfId="3564" xr:uid="{00000000-0005-0000-0000-0000020E0000}"/>
    <cellStyle name="콤_정이사님 보고용 1226 _프레스안별검토3(1207)" xfId="3565" xr:uid="{00000000-0005-0000-0000-0000030E0000}"/>
    <cellStyle name="콤_정이사님 보고용 1226 _프레스안별검토3(1207) 2" xfId="3566" xr:uid="{00000000-0005-0000-0000-0000040E0000}"/>
    <cellStyle name="콤_정이사님 보고용 1226 _해외공장 조직도(1)" xfId="3567" xr:uid="{00000000-0005-0000-0000-0000050E0000}"/>
    <cellStyle name="콤_정이사님 보고용 1226 _해외공장 조직현황(030707)" xfId="3568" xr:uid="{00000000-0005-0000-0000-0000060E0000}"/>
    <cellStyle name="콤냡?&lt;_x000f_$??: `1_1 " xfId="3569" xr:uid="{00000000-0005-0000-0000-0000070E0000}"/>
    <cellStyle name="콤마 [0]_ " xfId="3570" xr:uid="{00000000-0005-0000-0000-0000080E0000}"/>
    <cellStyle name="콤마 [0]견적서(성남)" xfId="3930" xr:uid="{FD21F0D8-3BB0-4EB6-A10C-5D5C5241C823}"/>
    <cellStyle name="콤마 [0]노무 (2)" xfId="3931" xr:uid="{BE5B0DA8-693B-4EC7-805E-96E74DACB57A}"/>
    <cellStyle name="콤마,_x0005__x0014_" xfId="125" xr:uid="{00000000-0005-0000-0000-0000090E0000}"/>
    <cellStyle name="콤마,_x0005__x0014_ 2" xfId="3571" xr:uid="{00000000-0005-0000-0000-00000A0E0000}"/>
    <cellStyle name="콤마,_x0005__x0014_ 2 2" xfId="3572" xr:uid="{00000000-0005-0000-0000-00000B0E0000}"/>
    <cellStyle name="콤마_ " xfId="3573" xr:uid="{00000000-0005-0000-0000-00000C0E0000}"/>
    <cellStyle name="콤마鍮?(2)" xfId="3932" xr:uid="{6E164075-61D9-4748-8541-28E42E80BFC6}"/>
    <cellStyle name="콤마견적 표지" xfId="3933" xr:uid="{4170FD20-E7B4-4F3A-914D-59CC81D71992}"/>
    <cellStyle name="콤마숫자" xfId="3574" xr:uid="{00000000-0005-0000-0000-00000D0E0000}"/>
    <cellStyle name="통_연휴 및 신구정 공사보고 " xfId="3575" xr:uid="{00000000-0005-0000-0000-00000E0E0000}"/>
    <cellStyle name="통_연휴 및 신구정 공사보고  2" xfId="3576" xr:uid="{00000000-0005-0000-0000-00000F0E0000}"/>
    <cellStyle name="통_연휴 및 신구정 공사보고 _프레스안별검토3(1207)" xfId="3577" xr:uid="{00000000-0005-0000-0000-0000100E0000}"/>
    <cellStyle name="통_연휴 및 신구정 공사보고 _프레스안별검토3(1207) 2" xfId="3578" xr:uid="{00000000-0005-0000-0000-0000110E0000}"/>
    <cellStyle name="통_연휴 및 신구정 공사보고 _해외공장 조직도(1)" xfId="3579" xr:uid="{00000000-0005-0000-0000-0000120E0000}"/>
    <cellStyle name="통_연휴 및 신구정 공사보고 _해외공장 조직현황(030707)" xfId="3580" xr:uid="{00000000-0005-0000-0000-0000130E0000}"/>
    <cellStyle name="통_정이사님 보고용 1226 " xfId="3581" xr:uid="{00000000-0005-0000-0000-0000140E0000}"/>
    <cellStyle name="통_정이사님 보고용 1226  2" xfId="3582" xr:uid="{00000000-0005-0000-0000-0000150E0000}"/>
    <cellStyle name="통_정이사님 보고용 1226 _프레스안별검토3(1207)" xfId="3583" xr:uid="{00000000-0005-0000-0000-0000160E0000}"/>
    <cellStyle name="통_정이사님 보고용 1226 _프레스안별검토3(1207) 2" xfId="3584" xr:uid="{00000000-0005-0000-0000-0000170E0000}"/>
    <cellStyle name="통_정이사님 보고용 1226 _해외공장 조직도(1)" xfId="3585" xr:uid="{00000000-0005-0000-0000-0000180E0000}"/>
    <cellStyle name="통_정이사님 보고용 1226 _해외공장 조직현황(030707)" xfId="3586" xr:uid="{00000000-0005-0000-0000-0000190E0000}"/>
    <cellStyle name="통화 [0] 2" xfId="3587" xr:uid="{00000000-0005-0000-0000-00001A0E0000}"/>
    <cellStyle name="통화 2" xfId="3588" xr:uid="{00000000-0005-0000-0000-00001B0E0000}"/>
    <cellStyle name="통화갑지(토탈)_1" xfId="3934" xr:uid="{26508073-12D7-4E11-B252-F3A1825A1071}"/>
    <cellStyle name="팒" xfId="3589" xr:uid="{00000000-0005-0000-0000-00001C0E0000}"/>
    <cellStyle name="퍼센트" xfId="3590" xr:uid="{00000000-0005-0000-0000-00001D0E0000}"/>
    <cellStyle name="퍼센트 2" xfId="3591" xr:uid="{00000000-0005-0000-0000-00001E0E0000}"/>
    <cellStyle name="표_연휴 및 신구정 공사보고 " xfId="3592" xr:uid="{00000000-0005-0000-0000-00001F0E0000}"/>
    <cellStyle name="표_연휴 및 신구정 공사보고  2" xfId="3593" xr:uid="{00000000-0005-0000-0000-0000200E0000}"/>
    <cellStyle name="표_연휴 및 신구정 공사보고 _프레스안별검토3(1207)" xfId="3594" xr:uid="{00000000-0005-0000-0000-0000210E0000}"/>
    <cellStyle name="표_연휴 및 신구정 공사보고 _프레스안별검토3(1207) 2" xfId="3595" xr:uid="{00000000-0005-0000-0000-0000220E0000}"/>
    <cellStyle name="표_연휴 및 신구정 공사보고 _해외공장 조직도(1)" xfId="3596" xr:uid="{00000000-0005-0000-0000-0000230E0000}"/>
    <cellStyle name="표_연휴 및 신구정 공사보고 _해외공장 조직현황(030707)" xfId="3597" xr:uid="{00000000-0005-0000-0000-0000240E0000}"/>
    <cellStyle name="표_정이사님 보고용 1226 " xfId="3598" xr:uid="{00000000-0005-0000-0000-0000250E0000}"/>
    <cellStyle name="표_정이사님 보고용 1226  2" xfId="3599" xr:uid="{00000000-0005-0000-0000-0000260E0000}"/>
    <cellStyle name="표_정이사님 보고용 1226 _프레스안별검토3(1207)" xfId="3600" xr:uid="{00000000-0005-0000-0000-0000270E0000}"/>
    <cellStyle name="표_정이사님 보고용 1226 _프레스안별검토3(1207) 2" xfId="3601" xr:uid="{00000000-0005-0000-0000-0000280E0000}"/>
    <cellStyle name="표_정이사님 보고용 1226 _해외공장 조직도(1)" xfId="3602" xr:uid="{00000000-0005-0000-0000-0000290E0000}"/>
    <cellStyle name="표_정이사님 보고용 1226 _해외공장 조직현황(030707)" xfId="3603" xr:uid="{00000000-0005-0000-0000-00002A0E0000}"/>
    <cellStyle name="표서식" xfId="3604" xr:uid="{00000000-0005-0000-0000-00002B0E0000}"/>
    <cellStyle name="표준" xfId="0" builtinId="0"/>
    <cellStyle name="표준 10" xfId="126" xr:uid="{00000000-0005-0000-0000-00002D0E0000}"/>
    <cellStyle name="표준 10 2" xfId="3605" xr:uid="{00000000-0005-0000-0000-00002E0E0000}"/>
    <cellStyle name="표준 10 3" xfId="3606" xr:uid="{00000000-0005-0000-0000-00002F0E0000}"/>
    <cellStyle name="표준 11 2" xfId="3607" xr:uid="{00000000-0005-0000-0000-0000300E0000}"/>
    <cellStyle name="표준 11 2 2" xfId="3608" xr:uid="{00000000-0005-0000-0000-0000310E0000}"/>
    <cellStyle name="표준 11 3" xfId="3609" xr:uid="{00000000-0005-0000-0000-0000320E0000}"/>
    <cellStyle name="표준 11 4" xfId="3610" xr:uid="{00000000-0005-0000-0000-0000330E0000}"/>
    <cellStyle name="표준 11 5" xfId="3611" xr:uid="{00000000-0005-0000-0000-0000340E0000}"/>
    <cellStyle name="표준 12 2" xfId="3612" xr:uid="{00000000-0005-0000-0000-0000350E0000}"/>
    <cellStyle name="표준 12 2 2" xfId="3613" xr:uid="{00000000-0005-0000-0000-0000360E0000}"/>
    <cellStyle name="표준 12 3" xfId="3614" xr:uid="{00000000-0005-0000-0000-0000370E0000}"/>
    <cellStyle name="표준 13" xfId="127" xr:uid="{00000000-0005-0000-0000-0000380E0000}"/>
    <cellStyle name="표준 13 2" xfId="3615" xr:uid="{00000000-0005-0000-0000-0000390E0000}"/>
    <cellStyle name="표준 13 3" xfId="3616" xr:uid="{00000000-0005-0000-0000-00003A0E0000}"/>
    <cellStyle name="표준 14 2" xfId="3617" xr:uid="{00000000-0005-0000-0000-00003B0E0000}"/>
    <cellStyle name="표준 15 2" xfId="3618" xr:uid="{00000000-0005-0000-0000-00003C0E0000}"/>
    <cellStyle name="표준 15 2 2" xfId="3619" xr:uid="{00000000-0005-0000-0000-00003D0E0000}"/>
    <cellStyle name="표준 16" xfId="3620" xr:uid="{00000000-0005-0000-0000-00003E0E0000}"/>
    <cellStyle name="표준 17" xfId="3621" xr:uid="{00000000-0005-0000-0000-00003F0E0000}"/>
    <cellStyle name="표준 18" xfId="3622" xr:uid="{00000000-0005-0000-0000-0000400E0000}"/>
    <cellStyle name="표준 19" xfId="3623" xr:uid="{00000000-0005-0000-0000-0000410E0000}"/>
    <cellStyle name="표준 19 2" xfId="3624" xr:uid="{00000000-0005-0000-0000-0000420E0000}"/>
    <cellStyle name="표준 19 3" xfId="3625" xr:uid="{00000000-0005-0000-0000-0000430E0000}"/>
    <cellStyle name="표준 2" xfId="128" xr:uid="{00000000-0005-0000-0000-0000440E0000}"/>
    <cellStyle name="표준 2 10" xfId="3805" xr:uid="{00000000-0005-0000-0000-0000450E0000}"/>
    <cellStyle name="표준 2 2" xfId="129" xr:uid="{00000000-0005-0000-0000-0000460E0000}"/>
    <cellStyle name="표준 2 2 2" xfId="3627" xr:uid="{00000000-0005-0000-0000-0000470E0000}"/>
    <cellStyle name="표준 2 2 2 2" xfId="3628" xr:uid="{00000000-0005-0000-0000-0000480E0000}"/>
    <cellStyle name="표준 2 2 2 3" xfId="3629" xr:uid="{00000000-0005-0000-0000-0000490E0000}"/>
    <cellStyle name="표준 2 2 3" xfId="3630" xr:uid="{00000000-0005-0000-0000-00004A0E0000}"/>
    <cellStyle name="표준 2 2 4" xfId="3631" xr:uid="{00000000-0005-0000-0000-00004B0E0000}"/>
    <cellStyle name="표준 2 2 5" xfId="3806" xr:uid="{00000000-0005-0000-0000-00004C0E0000}"/>
    <cellStyle name="표준 2 2_17" xfId="3632" xr:uid="{00000000-0005-0000-0000-00004D0E0000}"/>
    <cellStyle name="표준 2 3" xfId="3626" xr:uid="{00000000-0005-0000-0000-00004E0E0000}"/>
    <cellStyle name="표준 2 3 2" xfId="3633" xr:uid="{00000000-0005-0000-0000-00004F0E0000}"/>
    <cellStyle name="표준 2 3 3" xfId="3634" xr:uid="{00000000-0005-0000-0000-0000500E0000}"/>
    <cellStyle name="표준 2 4" xfId="3635" xr:uid="{00000000-0005-0000-0000-0000510E0000}"/>
    <cellStyle name="표준 2 4 2" xfId="3636" xr:uid="{00000000-0005-0000-0000-0000520E0000}"/>
    <cellStyle name="표준 2 4 3" xfId="3637" xr:uid="{00000000-0005-0000-0000-0000530E0000}"/>
    <cellStyle name="표준 2 5" xfId="3638" xr:uid="{00000000-0005-0000-0000-0000540E0000}"/>
    <cellStyle name="표준 2 5 2" xfId="3639" xr:uid="{00000000-0005-0000-0000-0000550E0000}"/>
    <cellStyle name="표준 2 5 3" xfId="3640" xr:uid="{00000000-0005-0000-0000-0000560E0000}"/>
    <cellStyle name="표준 2 6" xfId="3641" xr:uid="{00000000-0005-0000-0000-0000570E0000}"/>
    <cellStyle name="표준 2 7" xfId="3642" xr:uid="{00000000-0005-0000-0000-0000580E0000}"/>
    <cellStyle name="표준 2 7 2" xfId="3643" xr:uid="{00000000-0005-0000-0000-0000590E0000}"/>
    <cellStyle name="표준 2 8" xfId="3644" xr:uid="{00000000-0005-0000-0000-00005A0E0000}"/>
    <cellStyle name="표준 2 8 2" xfId="3645" xr:uid="{00000000-0005-0000-0000-00005B0E0000}"/>
    <cellStyle name="표준 2 9" xfId="3646" xr:uid="{00000000-0005-0000-0000-00005C0E0000}"/>
    <cellStyle name="표준 2_■ 품의_'13년 12월 PLUG 단가 인하시 임가공단가 변경-20140305" xfId="3647" xr:uid="{00000000-0005-0000-0000-00005D0E0000}"/>
    <cellStyle name="표준 20" xfId="3648" xr:uid="{00000000-0005-0000-0000-00005E0E0000}"/>
    <cellStyle name="표준 21" xfId="3649" xr:uid="{00000000-0005-0000-0000-00005F0E0000}"/>
    <cellStyle name="표준 22" xfId="3650" xr:uid="{00000000-0005-0000-0000-0000600E0000}"/>
    <cellStyle name="표준 23" xfId="3651" xr:uid="{00000000-0005-0000-0000-0000610E0000}"/>
    <cellStyle name="표준 24" xfId="3652" xr:uid="{00000000-0005-0000-0000-0000620E0000}"/>
    <cellStyle name="표준 25" xfId="3653" xr:uid="{00000000-0005-0000-0000-0000630E0000}"/>
    <cellStyle name="표준 26" xfId="3654" xr:uid="{00000000-0005-0000-0000-0000640E0000}"/>
    <cellStyle name="표준 27" xfId="3655" xr:uid="{00000000-0005-0000-0000-0000650E0000}"/>
    <cellStyle name="표준 28" xfId="3656" xr:uid="{00000000-0005-0000-0000-0000660E0000}"/>
    <cellStyle name="표준 29" xfId="3657" xr:uid="{00000000-0005-0000-0000-0000670E0000}"/>
    <cellStyle name="표준 3" xfId="130" xr:uid="{00000000-0005-0000-0000-0000680E0000}"/>
    <cellStyle name="표준 3 2" xfId="131" xr:uid="{00000000-0005-0000-0000-0000690E0000}"/>
    <cellStyle name="표준 3 2 2" xfId="3659" xr:uid="{00000000-0005-0000-0000-00006A0E0000}"/>
    <cellStyle name="표준 3 3" xfId="3658" xr:uid="{00000000-0005-0000-0000-00006B0E0000}"/>
    <cellStyle name="표준 3 3 2" xfId="3660" xr:uid="{00000000-0005-0000-0000-00006C0E0000}"/>
    <cellStyle name="표준 3 3 2 2" xfId="3661" xr:uid="{00000000-0005-0000-0000-00006D0E0000}"/>
    <cellStyle name="표준 3 3 3" xfId="3662" xr:uid="{00000000-0005-0000-0000-00006E0E0000}"/>
    <cellStyle name="표준 3 4" xfId="3663" xr:uid="{00000000-0005-0000-0000-00006F0E0000}"/>
    <cellStyle name="표준 30" xfId="3664" xr:uid="{00000000-0005-0000-0000-0000700E0000}"/>
    <cellStyle name="표준 31" xfId="3665" xr:uid="{00000000-0005-0000-0000-0000710E0000}"/>
    <cellStyle name="표준 32" xfId="3666" xr:uid="{00000000-0005-0000-0000-0000720E0000}"/>
    <cellStyle name="표준 33" xfId="3667" xr:uid="{00000000-0005-0000-0000-0000730E0000}"/>
    <cellStyle name="표준 4" xfId="132" xr:uid="{00000000-0005-0000-0000-0000740E0000}"/>
    <cellStyle name="표준 4 2" xfId="3668" xr:uid="{00000000-0005-0000-0000-0000750E0000}"/>
    <cellStyle name="표준 4 3" xfId="3669" xr:uid="{00000000-0005-0000-0000-0000760E0000}"/>
    <cellStyle name="표준 4 4" xfId="3670" xr:uid="{00000000-0005-0000-0000-0000770E0000}"/>
    <cellStyle name="표준 4 5" xfId="3671" xr:uid="{00000000-0005-0000-0000-0000780E0000}"/>
    <cellStyle name="표준 5" xfId="3721" xr:uid="{00000000-0005-0000-0000-0000790E0000}"/>
    <cellStyle name="표준 5 10" xfId="3740" xr:uid="{00000000-0005-0000-0000-00007A0E0000}"/>
    <cellStyle name="표준 5 10 2" xfId="3781" xr:uid="{00000000-0005-0000-0000-00007B0E0000}"/>
    <cellStyle name="표준 5 11" xfId="3742" xr:uid="{00000000-0005-0000-0000-00007C0E0000}"/>
    <cellStyle name="표준 5 11 2" xfId="3783" xr:uid="{00000000-0005-0000-0000-00007D0E0000}"/>
    <cellStyle name="표준 5 12" xfId="3744" xr:uid="{00000000-0005-0000-0000-00007E0E0000}"/>
    <cellStyle name="표준 5 12 2" xfId="3785" xr:uid="{00000000-0005-0000-0000-00007F0E0000}"/>
    <cellStyle name="표준 5 13" xfId="3746" xr:uid="{00000000-0005-0000-0000-0000800E0000}"/>
    <cellStyle name="표준 5 13 2" xfId="3787" xr:uid="{00000000-0005-0000-0000-0000810E0000}"/>
    <cellStyle name="표준 5 14" xfId="3748" xr:uid="{00000000-0005-0000-0000-0000820E0000}"/>
    <cellStyle name="표준 5 14 2" xfId="3789" xr:uid="{00000000-0005-0000-0000-0000830E0000}"/>
    <cellStyle name="표준 5 15" xfId="3757" xr:uid="{00000000-0005-0000-0000-0000840E0000}"/>
    <cellStyle name="표준 5 15 2" xfId="3791" xr:uid="{00000000-0005-0000-0000-0000850E0000}"/>
    <cellStyle name="표준 5 16" xfId="3759" xr:uid="{00000000-0005-0000-0000-0000860E0000}"/>
    <cellStyle name="표준 5 16 2" xfId="3793" xr:uid="{00000000-0005-0000-0000-0000870E0000}"/>
    <cellStyle name="표준 5 17" xfId="3761" xr:uid="{00000000-0005-0000-0000-0000880E0000}"/>
    <cellStyle name="표준 5 17 2" xfId="3795" xr:uid="{00000000-0005-0000-0000-0000890E0000}"/>
    <cellStyle name="표준 5 18" xfId="3763" xr:uid="{00000000-0005-0000-0000-00008A0E0000}"/>
    <cellStyle name="표준 5 18 2" xfId="3797" xr:uid="{00000000-0005-0000-0000-00008B0E0000}"/>
    <cellStyle name="표준 5 19" xfId="3765" xr:uid="{00000000-0005-0000-0000-00008C0E0000}"/>
    <cellStyle name="표준 5 19 2" xfId="3799" xr:uid="{00000000-0005-0000-0000-00008D0E0000}"/>
    <cellStyle name="표준 5 2" xfId="3672" xr:uid="{00000000-0005-0000-0000-00008E0E0000}"/>
    <cellStyle name="표준 5 20" xfId="3767" xr:uid="{00000000-0005-0000-0000-00008F0E0000}"/>
    <cellStyle name="표준 5 20 2" xfId="3801" xr:uid="{00000000-0005-0000-0000-0000900E0000}"/>
    <cellStyle name="표준 5 21" xfId="3769" xr:uid="{00000000-0005-0000-0000-0000910E0000}"/>
    <cellStyle name="표준 5 21 2" xfId="3803" xr:uid="{00000000-0005-0000-0000-0000920E0000}"/>
    <cellStyle name="표준 5 22" xfId="3771" xr:uid="{00000000-0005-0000-0000-0000930E0000}"/>
    <cellStyle name="표준 5 3" xfId="3673" xr:uid="{00000000-0005-0000-0000-0000940E0000}"/>
    <cellStyle name="표준 5 4" xfId="3674" xr:uid="{00000000-0005-0000-0000-0000950E0000}"/>
    <cellStyle name="표준 5 5" xfId="3722" xr:uid="{00000000-0005-0000-0000-0000960E0000}"/>
    <cellStyle name="표준 5 5 10" xfId="3749" xr:uid="{00000000-0005-0000-0000-0000970E0000}"/>
    <cellStyle name="표준 5 5 10 2" xfId="3790" xr:uid="{00000000-0005-0000-0000-0000980E0000}"/>
    <cellStyle name="표준 5 5 11" xfId="3758" xr:uid="{00000000-0005-0000-0000-0000990E0000}"/>
    <cellStyle name="표준 5 5 11 2" xfId="3792" xr:uid="{00000000-0005-0000-0000-00009A0E0000}"/>
    <cellStyle name="표준 5 5 12" xfId="3760" xr:uid="{00000000-0005-0000-0000-00009B0E0000}"/>
    <cellStyle name="표준 5 5 12 2" xfId="3794" xr:uid="{00000000-0005-0000-0000-00009C0E0000}"/>
    <cellStyle name="표준 5 5 13" xfId="3762" xr:uid="{00000000-0005-0000-0000-00009D0E0000}"/>
    <cellStyle name="표준 5 5 13 2" xfId="3796" xr:uid="{00000000-0005-0000-0000-00009E0E0000}"/>
    <cellStyle name="표준 5 5 14" xfId="3764" xr:uid="{00000000-0005-0000-0000-00009F0E0000}"/>
    <cellStyle name="표준 5 5 14 2" xfId="3798" xr:uid="{00000000-0005-0000-0000-0000A00E0000}"/>
    <cellStyle name="표준 5 5 15" xfId="3766" xr:uid="{00000000-0005-0000-0000-0000A10E0000}"/>
    <cellStyle name="표준 5 5 15 2" xfId="3800" xr:uid="{00000000-0005-0000-0000-0000A20E0000}"/>
    <cellStyle name="표준 5 5 16" xfId="3768" xr:uid="{00000000-0005-0000-0000-0000A30E0000}"/>
    <cellStyle name="표준 5 5 16 2" xfId="3802" xr:uid="{00000000-0005-0000-0000-0000A40E0000}"/>
    <cellStyle name="표준 5 5 17" xfId="3770" xr:uid="{00000000-0005-0000-0000-0000A50E0000}"/>
    <cellStyle name="표준 5 5 17 2" xfId="3804" xr:uid="{00000000-0005-0000-0000-0000A60E0000}"/>
    <cellStyle name="표준 5 5 18" xfId="3772" xr:uid="{00000000-0005-0000-0000-0000A70E0000}"/>
    <cellStyle name="표준 5 5 2" xfId="3733" xr:uid="{00000000-0005-0000-0000-0000A80E0000}"/>
    <cellStyle name="표준 5 5 2 2" xfId="3774" xr:uid="{00000000-0005-0000-0000-0000A90E0000}"/>
    <cellStyle name="표준 5 5 3" xfId="3735" xr:uid="{00000000-0005-0000-0000-0000AA0E0000}"/>
    <cellStyle name="표준 5 5 3 2" xfId="3776" xr:uid="{00000000-0005-0000-0000-0000AB0E0000}"/>
    <cellStyle name="표준 5 5 4" xfId="3737" xr:uid="{00000000-0005-0000-0000-0000AC0E0000}"/>
    <cellStyle name="표준 5 5 4 2" xfId="3778" xr:uid="{00000000-0005-0000-0000-0000AD0E0000}"/>
    <cellStyle name="표준 5 5 5" xfId="3739" xr:uid="{00000000-0005-0000-0000-0000AE0E0000}"/>
    <cellStyle name="표준 5 5 5 2" xfId="3780" xr:uid="{00000000-0005-0000-0000-0000AF0E0000}"/>
    <cellStyle name="표준 5 5 6" xfId="3741" xr:uid="{00000000-0005-0000-0000-0000B00E0000}"/>
    <cellStyle name="표준 5 5 6 2" xfId="3782" xr:uid="{00000000-0005-0000-0000-0000B10E0000}"/>
    <cellStyle name="표준 5 5 7" xfId="3743" xr:uid="{00000000-0005-0000-0000-0000B20E0000}"/>
    <cellStyle name="표준 5 5 7 2" xfId="3784" xr:uid="{00000000-0005-0000-0000-0000B30E0000}"/>
    <cellStyle name="표준 5 5 8" xfId="3745" xr:uid="{00000000-0005-0000-0000-0000B40E0000}"/>
    <cellStyle name="표준 5 5 8 2" xfId="3786" xr:uid="{00000000-0005-0000-0000-0000B50E0000}"/>
    <cellStyle name="표준 5 5 9" xfId="3747" xr:uid="{00000000-0005-0000-0000-0000B60E0000}"/>
    <cellStyle name="표준 5 5 9 2" xfId="3788" xr:uid="{00000000-0005-0000-0000-0000B70E0000}"/>
    <cellStyle name="표준 5 6" xfId="3732" xr:uid="{00000000-0005-0000-0000-0000B80E0000}"/>
    <cellStyle name="표준 5 6 2" xfId="3773" xr:uid="{00000000-0005-0000-0000-0000B90E0000}"/>
    <cellStyle name="표준 5 7" xfId="3734" xr:uid="{00000000-0005-0000-0000-0000BA0E0000}"/>
    <cellStyle name="표준 5 7 2" xfId="3775" xr:uid="{00000000-0005-0000-0000-0000BB0E0000}"/>
    <cellStyle name="표준 5 8" xfId="3736" xr:uid="{00000000-0005-0000-0000-0000BC0E0000}"/>
    <cellStyle name="표준 5 8 2" xfId="3777" xr:uid="{00000000-0005-0000-0000-0000BD0E0000}"/>
    <cellStyle name="표준 5 9" xfId="3738" xr:uid="{00000000-0005-0000-0000-0000BE0E0000}"/>
    <cellStyle name="표준 5 9 2" xfId="3779" xr:uid="{00000000-0005-0000-0000-0000BF0E0000}"/>
    <cellStyle name="표준 6" xfId="133" xr:uid="{00000000-0005-0000-0000-0000C00E0000}"/>
    <cellStyle name="표준 6 2" xfId="3675" xr:uid="{00000000-0005-0000-0000-0000C10E0000}"/>
    <cellStyle name="표준 6 2 2" xfId="3676" xr:uid="{00000000-0005-0000-0000-0000C20E0000}"/>
    <cellStyle name="표준 6 3" xfId="3677" xr:uid="{00000000-0005-0000-0000-0000C30E0000}"/>
    <cellStyle name="표준 7 2" xfId="3678" xr:uid="{00000000-0005-0000-0000-0000C40E0000}"/>
    <cellStyle name="표준 8 2" xfId="3679" xr:uid="{00000000-0005-0000-0000-0000C50E0000}"/>
    <cellStyle name="표준 8 3" xfId="3680" xr:uid="{00000000-0005-0000-0000-0000C60E0000}"/>
    <cellStyle name="표준 9" xfId="134" xr:uid="{00000000-0005-0000-0000-0000C70E0000}"/>
    <cellStyle name="표준 9 2" xfId="3681" xr:uid="{00000000-0005-0000-0000-0000C80E0000}"/>
    <cellStyle name="표준 9 3" xfId="3682" xr:uid="{00000000-0005-0000-0000-0000C90E0000}"/>
    <cellStyle name="標準_（980520 出張資料） 連続加硫 ホース性能試験結果一覧表" xfId="3683" xr:uid="{00000000-0005-0000-0000-0000CA0E0000}"/>
    <cellStyle name="표준_6월 자재 청구" xfId="135" xr:uid="{00000000-0005-0000-0000-0000CB0E0000}"/>
    <cellStyle name="표준_EPDM" xfId="136" xr:uid="{00000000-0005-0000-0000-0000CC0E0000}"/>
    <cellStyle name="標準_HMC NF July-02 Deligation" xfId="3684" xr:uid="{00000000-0005-0000-0000-0000CD0E0000}"/>
    <cellStyle name="표준_Sheet1" xfId="137" xr:uid="{00000000-0005-0000-0000-0000CE0E0000}"/>
    <cellStyle name="표준_오륙" xfId="138" xr:uid="{00000000-0005-0000-0000-0000CF0E0000}"/>
    <cellStyle name="표준_원자재 구매현황(07년05월달분)" xfId="139" xr:uid="{00000000-0005-0000-0000-0000D00E0000}"/>
    <cellStyle name="표준_자재LST2" xfId="140" xr:uid="{00000000-0005-0000-0000-0000D10E0000}"/>
    <cellStyle name="표준像呼?(2)" xfId="3935" xr:uid="{73C69250-8FB6-4648-99A9-0A40A4E6037F}"/>
    <cellStyle name="표준茱볐뼁?(2)_갑지(토탈)" xfId="3936" xr:uid="{AF46F2EA-688B-4A6D-B9E3-85E327034088}"/>
    <cellStyle name="표준渦潟뼁ぜ?갑지(토탈)_laroux" xfId="3937" xr:uid="{955D1575-5DE9-4D05-8BE1-67D574F2943F}"/>
    <cellStyle name="푤貫롸몰[0]_RESULTS" xfId="3685" xr:uid="{00000000-0005-0000-0000-0000D20E0000}"/>
    <cellStyle name="푤貫롸몰_RESULTS" xfId="3686" xr:uid="{00000000-0005-0000-0000-0000D30E0000}"/>
    <cellStyle name="퓭닉_ㅶA??絡 " xfId="3687" xr:uid="{00000000-0005-0000-0000-0000D40E0000}"/>
    <cellStyle name="합산" xfId="3688" xr:uid="{00000000-0005-0000-0000-0000D50E0000}"/>
    <cellStyle name="현대" xfId="3689" xr:uid="{00000000-0005-0000-0000-0000D60E0000}"/>
    <cellStyle name="货币[0]_GTHMSNZ" xfId="3690" xr:uid="{00000000-0005-0000-0000-0000D70E0000}"/>
    <cellStyle name="货币_GTHMSNZ" xfId="3691" xr:uid="{00000000-0005-0000-0000-0000D80E0000}"/>
    <cellStyle name="貨幣 [0]_Book1" xfId="3692" xr:uid="{00000000-0005-0000-0000-0000D90E0000}"/>
    <cellStyle name="貨幣_Book1" xfId="3693" xr:uid="{00000000-0005-0000-0000-0000DA0E0000}"/>
    <cellStyle name="화폐기호" xfId="3694" xr:uid="{00000000-0005-0000-0000-0000DB0E0000}"/>
    <cellStyle name="화폐기호 2" xfId="3695" xr:uid="{00000000-0005-0000-0000-0000DC0E0000}"/>
    <cellStyle name="화폐기호 3" xfId="3938" xr:uid="{69F3EE2C-7C37-44B5-9FD1-DFF6CB263673}"/>
    <cellStyle name="화폐기호0" xfId="3696" xr:uid="{00000000-0005-0000-0000-0000DD0E0000}"/>
    <cellStyle name="회비" xfId="3697" xr:uid="{00000000-0005-0000-0000-0000DE0E0000}"/>
    <cellStyle name="흟E?[0]_95" xfId="141" xr:uid="{00000000-0005-0000-0000-0000DF0E0000}"/>
    <cellStyle name="흟E?95" xfId="142" xr:uid="{00000000-0005-0000-0000-0000E00E0000}"/>
    <cellStyle name="흟E?96" xfId="143" xr:uid="{00000000-0005-0000-0000-0000E10E0000}"/>
    <cellStyle name="흟E?97" xfId="144" xr:uid="{00000000-0005-0000-0000-0000E20E0000}"/>
    <cellStyle name="흟E?AIR-CON" xfId="145" xr:uid="{00000000-0005-0000-0000-0000E30E0000}"/>
    <cellStyle name="흟E?COOLING" xfId="146" xr:uid="{00000000-0005-0000-0000-0000E40E0000}"/>
    <cellStyle name="흟E?PERSONAL" xfId="147" xr:uid="{00000000-0005-0000-0000-0000E50E0000}"/>
    <cellStyle name="흟E?계획" xfId="148" xr:uid="{00000000-0005-0000-0000-0000E60E0000}"/>
    <cellStyle name="흟E?기타" xfId="149" xr:uid="{00000000-0005-0000-0000-0000E70E0000}"/>
    <cellStyle name="흟E?신경영지표" xfId="150" xr:uid="{00000000-0005-0000-0000-0000E80E0000}"/>
    <cellStyle name="흟E?픸E " xfId="151" xr:uid="{00000000-0005-0000-0000-0000E90E0000}"/>
  </cellStyles>
  <dxfs count="0"/>
  <tableStyles count="0" defaultTableStyle="TableStyleMedium9" defaultPivotStyle="PivotStyleLight16"/>
  <colors>
    <mruColors>
      <color rgb="FF00FF00"/>
      <color rgb="FFFFFF99"/>
      <color rgb="FFFF99CC"/>
      <color rgb="FFFFFF00"/>
      <color rgb="FF5F5F5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102092</xdr:colOff>
      <xdr:row>10</xdr:row>
      <xdr:rowOff>114300</xdr:rowOff>
    </xdr:from>
    <xdr:to>
      <xdr:col>18</xdr:col>
      <xdr:colOff>67861</xdr:colOff>
      <xdr:row>17</xdr:row>
      <xdr:rowOff>104775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068A0F-9463-8B71-EC6C-A501DB663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4142" y="2295525"/>
          <a:ext cx="4518719" cy="1457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f10\OneDrive\&#48148;&#53461;%20&#54868;&#47732;\&#49352;%20&#54260;&#45908;%20(3)\2023&#45380;\2023-11&#50900;&#47588;&#51077;&#47588;&#52636;&#54788;&#54889;-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51068;&#48152;&#44288;&#47532;\2025&#45380;\2025-06&#50900;&#47588;&#51077;&#47588;&#52636;&#54788;&#54889;.xlsx" TargetMode="External"/><Relationship Id="rId1" Type="http://schemas.openxmlformats.org/officeDocument/2006/relationships/externalLinkPath" Target="file:///\\nas200\&#51068;&#48152;&#44288;&#47532;\2025&#45380;\2025-06&#50900;&#47588;&#51077;&#47588;&#52636;&#54788;&#54889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51068;&#48152;&#44288;&#47532;\2025&#45380;\2025-10&#50900;&#47588;&#51077;&#47588;&#52636;&#54788;&#54889;.xlsx" TargetMode="External"/><Relationship Id="rId1" Type="http://schemas.openxmlformats.org/officeDocument/2006/relationships/externalLinkPath" Target="file:///\\nas200\&#51068;&#48152;&#44288;&#47532;\2025&#45380;\2025-10&#50900;&#47588;&#51077;&#47588;&#52636;&#54788;&#54889;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6d2b1fbf6bc49b9/&#48148;&#53461;%20&#54868;&#47732;/2026-05.xlsx" TargetMode="External"/><Relationship Id="rId2" Type="http://schemas.openxmlformats.org/officeDocument/2006/relationships/externalLinkPath" Target="https://d.docs.live.net/e6d2b1fbf6bc49b9/&#48148;&#53461;%20&#54868;&#47732;/2026-05.xlsx" TargetMode="External"/><Relationship Id="rId1" Type="http://schemas.openxmlformats.org/officeDocument/2006/relationships/externalLinkPath" Target="/e6d2b1fbf6bc49b9/&#48148;&#53461;%20&#54868;&#47732;/2026-0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51068;&#48152;&#44288;&#47532;\2024&#45380;\2024-12&#50900;&#47588;&#51077;&#47588;&#52636;&#54788;&#54889;.xlsx" TargetMode="External"/><Relationship Id="rId1" Type="http://schemas.openxmlformats.org/officeDocument/2006/relationships/externalLinkPath" Target="file:///\\nas200\&#51068;&#48152;&#44288;&#47532;\2024&#45380;\2024-12&#50900;&#47588;&#51077;&#47588;&#52636;&#54788;&#54889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00\&#51068;&#48152;&#44288;&#47532;\2026&#45380;\2026-04&#50900;&#47588;&#51077;&#47588;&#52636;&#54788;&#54889;.xlsx" TargetMode="External"/><Relationship Id="rId1" Type="http://schemas.openxmlformats.org/officeDocument/2006/relationships/externalLinkPath" Target="file:///\\nas200\&#51068;&#48152;&#44288;&#47532;\2026&#45380;\2026-04&#50900;&#47588;&#51077;&#47588;&#52636;&#54788;&#548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(9410)"/>
      <sheetName val="TPE(9410)"/>
      <sheetName val="OWF10(임가공)"/>
      <sheetName val="TNC(tncol)"/>
      <sheetName val="OWF101"/>
      <sheetName val="PCM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  <sheetName val="B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D7" t="str">
            <v>9BQC</v>
          </cell>
        </row>
        <row r="8">
          <cell r="AD8" t="str">
            <v>TPE</v>
          </cell>
        </row>
        <row r="9">
          <cell r="AD9" t="str">
            <v>PVC</v>
          </cell>
        </row>
        <row r="10">
          <cell r="AD10" t="str">
            <v>EPDM 가공</v>
          </cell>
        </row>
        <row r="11">
          <cell r="AD11" t="str">
            <v>압출 PCM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임가공)"/>
      <sheetName val="OWF101"/>
      <sheetName val="TNC(tncol)"/>
      <sheetName val="PCM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임가공)"/>
      <sheetName val="TNC(tncol)"/>
      <sheetName val="OWF101"/>
      <sheetName val="PCM 10월"/>
      <sheetName val="PCM 10월 후드단가 미정산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C(9410)"/>
      <sheetName val="TPE(9410)"/>
      <sheetName val="OWF10(임가공)"/>
      <sheetName val="OWF101"/>
      <sheetName val="TNC(tncol)"/>
      <sheetName val="PCM 05월"/>
      <sheetName val="매입-매출 정리본"/>
      <sheetName val="자재매입"/>
      <sheetName val="원자재매입내역"/>
      <sheetName val="부자재매입내역"/>
      <sheetName val="기타매입내역"/>
      <sheetName val="매출세금계산서 "/>
    </sheetNames>
    <sheetDataSet>
      <sheetData sheetId="0"/>
      <sheetData sheetId="1">
        <row r="16">
          <cell r="AL16">
            <v>4560</v>
          </cell>
        </row>
        <row r="17">
          <cell r="AL17">
            <v>4560</v>
          </cell>
        </row>
        <row r="18">
          <cell r="AL18">
            <v>4400</v>
          </cell>
        </row>
        <row r="19">
          <cell r="AL19">
            <v>4400</v>
          </cell>
        </row>
        <row r="42">
          <cell r="AL42">
            <v>10900</v>
          </cell>
        </row>
        <row r="43">
          <cell r="AL43">
            <v>10900</v>
          </cell>
        </row>
        <row r="44">
          <cell r="AL44">
            <v>9860</v>
          </cell>
        </row>
        <row r="45">
          <cell r="AL45">
            <v>9780</v>
          </cell>
        </row>
        <row r="46">
          <cell r="AL46">
            <v>420</v>
          </cell>
        </row>
        <row r="47">
          <cell r="AL47">
            <v>420</v>
          </cell>
        </row>
      </sheetData>
      <sheetData sheetId="2"/>
      <sheetData sheetId="3"/>
      <sheetData sheetId="4"/>
      <sheetData sheetId="5">
        <row r="81">
          <cell r="AK81">
            <v>3000</v>
          </cell>
        </row>
        <row r="112">
          <cell r="AK112">
            <v>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임가공)"/>
      <sheetName val="OWF101"/>
      <sheetName val="TNC(tncol)"/>
      <sheetName val="PCM"/>
      <sheetName val="매입-매출 정리본"/>
      <sheetName val="자재매입"/>
      <sheetName val="원자재매입내역"/>
      <sheetName val="부자재매입내역"/>
      <sheetName val="기타매입내역"/>
      <sheetName val="매출세금계산서"/>
    </sheetNames>
    <sheetDataSet>
      <sheetData sheetId="0">
        <row r="28">
          <cell r="AK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VC(9410)"/>
      <sheetName val="TPE(9410)"/>
      <sheetName val="OWF10(상품.임가공)"/>
      <sheetName val="OWF101"/>
      <sheetName val="TNC(tncol)"/>
      <sheetName val="PCM 4월"/>
      <sheetName val="매입-매출 정리본"/>
      <sheetName val="자재매입"/>
      <sheetName val="원자재매입내역"/>
      <sheetName val="부자재매입내역"/>
      <sheetName val="기타매입내역"/>
      <sheetName val="매출세금계산서 "/>
      <sheetName val="Sheet1"/>
    </sheetNames>
    <sheetDataSet>
      <sheetData sheetId="0"/>
      <sheetData sheetId="1">
        <row r="22">
          <cell r="C22" t="str">
            <v>G11020865</v>
          </cell>
        </row>
        <row r="23">
          <cell r="C23" t="str">
            <v>G11020872</v>
          </cell>
        </row>
        <row r="24">
          <cell r="C24" t="str">
            <v>G11020866</v>
          </cell>
        </row>
        <row r="25">
          <cell r="C25" t="str">
            <v>G11020871</v>
          </cell>
        </row>
        <row r="55">
          <cell r="C55" t="str">
            <v>G1110-0171-01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openxmlformats.org/officeDocument/2006/relationships/printerSettings" Target="../printerSettings/printerSettings30.bin"/><Relationship Id="rId5" Type="http://schemas.openxmlformats.org/officeDocument/2006/relationships/printerSettings" Target="../printerSettings/printerSettings29.bin"/><Relationship Id="rId4" Type="http://schemas.openxmlformats.org/officeDocument/2006/relationships/printerSettings" Target="../printerSettings/printerSettings2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6" Type="http://schemas.openxmlformats.org/officeDocument/2006/relationships/printerSettings" Target="../printerSettings/printerSettings37.bin"/><Relationship Id="rId5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40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6" Type="http://schemas.openxmlformats.org/officeDocument/2006/relationships/printerSettings" Target="../printerSettings/printerSettings43.bin"/><Relationship Id="rId5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41.bin"/><Relationship Id="rId9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6" Type="http://schemas.openxmlformats.org/officeDocument/2006/relationships/printerSettings" Target="../printerSettings/printerSettings49.bin"/><Relationship Id="rId5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4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6" Type="http://schemas.openxmlformats.org/officeDocument/2006/relationships/printerSettings" Target="../printerSettings/printerSettings55.bin"/><Relationship Id="rId5" Type="http://schemas.openxmlformats.org/officeDocument/2006/relationships/printerSettings" Target="../printerSettings/printerSettings54.bin"/><Relationship Id="rId4" Type="http://schemas.openxmlformats.org/officeDocument/2006/relationships/printerSettings" Target="../printerSettings/printerSettings53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printerSettings" Target="../printerSettings/printerSettings58.bin"/><Relationship Id="rId7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57.bin"/><Relationship Id="rId1" Type="http://schemas.openxmlformats.org/officeDocument/2006/relationships/printerSettings" Target="../printerSettings/printerSettings56.bin"/><Relationship Id="rId6" Type="http://schemas.openxmlformats.org/officeDocument/2006/relationships/printerSettings" Target="../printerSettings/printerSettings61.bin"/><Relationship Id="rId5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5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P74"/>
  <sheetViews>
    <sheetView workbookViewId="0">
      <pane xSplit="5" ySplit="5" topLeftCell="AI63" activePane="bottomRight" state="frozen"/>
      <selection pane="topRight" activeCell="F1" sqref="F1"/>
      <selection pane="bottomLeft" activeCell="A6" sqref="A6"/>
      <selection pane="bottomRight" activeCell="AM81" sqref="AM81"/>
    </sheetView>
  </sheetViews>
  <sheetFormatPr defaultColWidth="9" defaultRowHeight="13.2"/>
  <cols>
    <col min="1" max="1" width="9" style="6"/>
    <col min="2" max="2" width="12.69921875" style="1" customWidth="1"/>
    <col min="3" max="3" width="12.69921875" style="223" customWidth="1"/>
    <col min="4" max="4" width="11.69921875" style="6" bestFit="1" customWidth="1"/>
    <col min="5" max="5" width="19.09765625" style="6" bestFit="1" customWidth="1"/>
    <col min="6" max="6" width="9" style="6"/>
    <col min="7" max="9" width="4.19921875" style="6" customWidth="1"/>
    <col min="10" max="10" width="4.69921875" style="6" customWidth="1"/>
    <col min="11" max="13" width="4.19921875" style="6" customWidth="1"/>
    <col min="14" max="14" width="4.09765625" style="6" customWidth="1"/>
    <col min="15" max="33" width="4.19921875" style="6" customWidth="1"/>
    <col min="34" max="34" width="5.19921875" style="6" bestFit="1" customWidth="1"/>
    <col min="35" max="37" width="4.19921875" style="6" customWidth="1"/>
    <col min="38" max="38" width="7.5" style="6" bestFit="1" customWidth="1"/>
    <col min="39" max="39" width="14.69921875" style="698" bestFit="1" customWidth="1"/>
    <col min="40" max="40" width="16.19921875" style="698" customWidth="1"/>
    <col min="41" max="41" width="11.3984375" style="698" bestFit="1" customWidth="1"/>
    <col min="42" max="16384" width="9" style="6"/>
  </cols>
  <sheetData>
    <row r="1" spans="1:41">
      <c r="A1" s="5"/>
      <c r="B1" s="122"/>
      <c r="C1" s="1471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89"/>
    </row>
    <row r="2" spans="1:41" ht="14.25" customHeight="1" thickBot="1">
      <c r="A2" s="7"/>
      <c r="B2" s="1411"/>
      <c r="C2" s="1472"/>
      <c r="D2" s="7"/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689"/>
    </row>
    <row r="3" spans="1:41" ht="14.25" customHeight="1">
      <c r="A3" s="5"/>
      <c r="B3" s="122"/>
      <c r="C3" s="1471"/>
      <c r="D3" s="5"/>
      <c r="E3" s="5"/>
      <c r="F3" s="5"/>
      <c r="G3" s="2402" t="s">
        <v>76</v>
      </c>
      <c r="H3" s="2403"/>
      <c r="I3" s="2403"/>
      <c r="J3" s="240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89"/>
    </row>
    <row r="4" spans="1:41" ht="15" customHeight="1" thickBot="1">
      <c r="A4" s="5"/>
      <c r="B4" s="122"/>
      <c r="C4" s="1471">
        <v>1</v>
      </c>
      <c r="D4" s="5">
        <v>2</v>
      </c>
      <c r="E4" s="689">
        <v>3</v>
      </c>
      <c r="F4" s="5">
        <v>4</v>
      </c>
      <c r="G4" s="2405"/>
      <c r="H4" s="2406"/>
      <c r="I4" s="2406"/>
      <c r="J4" s="2407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06"/>
    </row>
    <row r="5" spans="1:41" ht="18.75" customHeight="1" thickBot="1">
      <c r="A5" s="11" t="s">
        <v>77</v>
      </c>
      <c r="B5" s="12" t="s">
        <v>78</v>
      </c>
      <c r="C5" s="1473" t="s">
        <v>1598</v>
      </c>
      <c r="D5" s="13" t="s">
        <v>79</v>
      </c>
      <c r="E5" s="13" t="s">
        <v>80</v>
      </c>
      <c r="F5" s="154" t="s">
        <v>81</v>
      </c>
      <c r="G5" s="14">
        <v>1</v>
      </c>
      <c r="H5" s="15">
        <v>2</v>
      </c>
      <c r="I5" s="15">
        <v>3</v>
      </c>
      <c r="J5" s="15">
        <v>4</v>
      </c>
      <c r="K5" s="15">
        <v>5</v>
      </c>
      <c r="L5" s="15">
        <v>6</v>
      </c>
      <c r="M5" s="15">
        <v>7</v>
      </c>
      <c r="N5" s="15">
        <v>8</v>
      </c>
      <c r="O5" s="15">
        <v>9</v>
      </c>
      <c r="P5" s="15">
        <v>10</v>
      </c>
      <c r="Q5" s="15">
        <v>11</v>
      </c>
      <c r="R5" s="15">
        <v>12</v>
      </c>
      <c r="S5" s="15">
        <v>13</v>
      </c>
      <c r="T5" s="15">
        <v>14</v>
      </c>
      <c r="U5" s="15">
        <v>15</v>
      </c>
      <c r="V5" s="15">
        <v>16</v>
      </c>
      <c r="W5" s="15">
        <v>17</v>
      </c>
      <c r="X5" s="15">
        <v>18</v>
      </c>
      <c r="Y5" s="15">
        <v>19</v>
      </c>
      <c r="Z5" s="15">
        <v>20</v>
      </c>
      <c r="AA5" s="15">
        <v>21</v>
      </c>
      <c r="AB5" s="15">
        <v>22</v>
      </c>
      <c r="AC5" s="15">
        <v>23</v>
      </c>
      <c r="AD5" s="15">
        <v>24</v>
      </c>
      <c r="AE5" s="15">
        <v>25</v>
      </c>
      <c r="AF5" s="15">
        <v>26</v>
      </c>
      <c r="AG5" s="15">
        <v>27</v>
      </c>
      <c r="AH5" s="15">
        <v>28</v>
      </c>
      <c r="AI5" s="15">
        <v>29</v>
      </c>
      <c r="AJ5" s="15">
        <v>30</v>
      </c>
      <c r="AK5" s="15">
        <v>31</v>
      </c>
      <c r="AL5" s="16" t="s">
        <v>7</v>
      </c>
      <c r="AM5" s="1007" t="s">
        <v>82</v>
      </c>
    </row>
    <row r="6" spans="1:41" ht="20.100000000000001" customHeight="1">
      <c r="A6" s="1410" t="s">
        <v>83</v>
      </c>
      <c r="B6" s="2397" t="s">
        <v>57</v>
      </c>
      <c r="C6" s="1485" t="s">
        <v>1597</v>
      </c>
      <c r="D6" s="35" t="s">
        <v>999</v>
      </c>
      <c r="E6" s="35" t="s">
        <v>1554</v>
      </c>
      <c r="F6" s="2247">
        <v>3275</v>
      </c>
      <c r="G6" s="1087">
        <v>720</v>
      </c>
      <c r="H6" s="1087">
        <v>240</v>
      </c>
      <c r="I6" s="1087"/>
      <c r="J6" s="1087"/>
      <c r="K6" s="1087"/>
      <c r="L6" s="1087"/>
      <c r="M6" s="1087">
        <v>720</v>
      </c>
      <c r="N6" s="1087">
        <v>300</v>
      </c>
      <c r="O6" s="1087"/>
      <c r="P6" s="1087">
        <v>300</v>
      </c>
      <c r="Q6" s="1087"/>
      <c r="R6" s="1087"/>
      <c r="S6" s="1087">
        <v>600</v>
      </c>
      <c r="T6" s="1087">
        <v>720</v>
      </c>
      <c r="U6" s="1087">
        <v>99</v>
      </c>
      <c r="V6" s="1087"/>
      <c r="W6" s="1087"/>
      <c r="X6" s="1087"/>
      <c r="Y6" s="1087"/>
      <c r="Z6" s="38">
        <v>720</v>
      </c>
      <c r="AA6" s="38">
        <v>360</v>
      </c>
      <c r="AB6" s="38">
        <v>300</v>
      </c>
      <c r="AC6" s="38">
        <v>300</v>
      </c>
      <c r="AD6" s="38">
        <v>300</v>
      </c>
      <c r="AE6" s="38"/>
      <c r="AF6" s="38"/>
      <c r="AG6" s="38">
        <v>720</v>
      </c>
      <c r="AH6" s="2146">
        <v>300</v>
      </c>
      <c r="AI6" s="2146">
        <v>300</v>
      </c>
      <c r="AJ6" s="2146">
        <v>280</v>
      </c>
      <c r="AK6" s="1611"/>
      <c r="AL6" s="1771">
        <f>SUM(G6:AK6)</f>
        <v>7279</v>
      </c>
      <c r="AM6" s="1008">
        <f t="shared" ref="AM6:AM37" si="0">F6*AL6</f>
        <v>23838725</v>
      </c>
      <c r="AN6" s="1076"/>
    </row>
    <row r="7" spans="1:41" ht="20.100000000000001" customHeight="1">
      <c r="A7" s="5"/>
      <c r="B7" s="2398"/>
      <c r="C7" s="1474" t="s">
        <v>1599</v>
      </c>
      <c r="D7" s="3" t="s">
        <v>1001</v>
      </c>
      <c r="E7" s="3" t="s">
        <v>1555</v>
      </c>
      <c r="F7" s="2167">
        <v>3275</v>
      </c>
      <c r="G7" s="1088">
        <v>720</v>
      </c>
      <c r="H7" s="1088">
        <v>240</v>
      </c>
      <c r="I7" s="1088"/>
      <c r="J7" s="1088"/>
      <c r="K7" s="1088"/>
      <c r="L7" s="1088"/>
      <c r="M7" s="1088">
        <v>720</v>
      </c>
      <c r="N7" s="1088">
        <v>300</v>
      </c>
      <c r="O7" s="1088"/>
      <c r="P7" s="1088">
        <v>300</v>
      </c>
      <c r="Q7" s="1088"/>
      <c r="R7" s="1088"/>
      <c r="S7" s="1088">
        <v>600</v>
      </c>
      <c r="T7" s="1088">
        <v>720</v>
      </c>
      <c r="U7" s="1088">
        <v>95</v>
      </c>
      <c r="V7" s="1088"/>
      <c r="W7" s="1088"/>
      <c r="X7" s="1088"/>
      <c r="Y7" s="1088"/>
      <c r="Z7" s="23">
        <v>720</v>
      </c>
      <c r="AA7" s="23">
        <v>360</v>
      </c>
      <c r="AB7" s="23">
        <v>300</v>
      </c>
      <c r="AC7" s="23">
        <v>300</v>
      </c>
      <c r="AD7" s="23">
        <v>300</v>
      </c>
      <c r="AE7" s="23"/>
      <c r="AF7" s="23"/>
      <c r="AG7" s="23">
        <v>720</v>
      </c>
      <c r="AH7" s="2147">
        <v>300</v>
      </c>
      <c r="AI7" s="2147">
        <v>300</v>
      </c>
      <c r="AJ7" s="2147">
        <v>276</v>
      </c>
      <c r="AK7" s="23"/>
      <c r="AL7" s="1772">
        <f t="shared" ref="AL7:AL71" si="1">SUM(G7:AK7)</f>
        <v>7271</v>
      </c>
      <c r="AM7" s="1009">
        <f t="shared" si="0"/>
        <v>23812525</v>
      </c>
      <c r="AN7" s="1076"/>
    </row>
    <row r="8" spans="1:41" ht="20.100000000000001" customHeight="1">
      <c r="A8" s="5"/>
      <c r="B8" s="2398"/>
      <c r="C8" s="1474" t="s">
        <v>1601</v>
      </c>
      <c r="D8" s="578" t="s">
        <v>1556</v>
      </c>
      <c r="E8" s="578" t="s">
        <v>1557</v>
      </c>
      <c r="F8" s="2250">
        <v>2592</v>
      </c>
      <c r="G8" s="1614">
        <v>60</v>
      </c>
      <c r="H8" s="1614">
        <v>60</v>
      </c>
      <c r="I8" s="1614"/>
      <c r="J8" s="1614"/>
      <c r="K8" s="1614"/>
      <c r="L8" s="1614"/>
      <c r="M8" s="1614">
        <v>60</v>
      </c>
      <c r="N8" s="1614"/>
      <c r="O8" s="1614"/>
      <c r="P8" s="1614"/>
      <c r="Q8" s="1614"/>
      <c r="R8" s="1614"/>
      <c r="S8" s="1614"/>
      <c r="T8" s="1614">
        <v>120</v>
      </c>
      <c r="U8" s="1614"/>
      <c r="V8" s="1614"/>
      <c r="W8" s="1614"/>
      <c r="X8" s="1614"/>
      <c r="Y8" s="1614"/>
      <c r="Z8" s="436">
        <v>120</v>
      </c>
      <c r="AA8" s="436">
        <v>112</v>
      </c>
      <c r="AB8" s="436"/>
      <c r="AC8" s="436"/>
      <c r="AD8" s="436"/>
      <c r="AE8" s="436"/>
      <c r="AF8" s="436"/>
      <c r="AG8" s="436">
        <v>120</v>
      </c>
      <c r="AH8" s="436"/>
      <c r="AI8" s="436"/>
      <c r="AJ8" s="436">
        <v>-5</v>
      </c>
      <c r="AK8" s="436"/>
      <c r="AL8" s="1772">
        <f t="shared" si="1"/>
        <v>647</v>
      </c>
      <c r="AM8" s="1009">
        <f t="shared" si="0"/>
        <v>1677024</v>
      </c>
      <c r="AN8" s="1076"/>
    </row>
    <row r="9" spans="1:41" ht="20.100000000000001" customHeight="1">
      <c r="A9" s="5"/>
      <c r="B9" s="2398"/>
      <c r="C9" s="1474" t="s">
        <v>1600</v>
      </c>
      <c r="D9" s="578" t="s">
        <v>1558</v>
      </c>
      <c r="E9" s="578" t="s">
        <v>1559</v>
      </c>
      <c r="F9" s="2250">
        <v>2592</v>
      </c>
      <c r="G9" s="1614">
        <v>60</v>
      </c>
      <c r="H9" s="1614">
        <v>60</v>
      </c>
      <c r="I9" s="1614"/>
      <c r="J9" s="1614"/>
      <c r="K9" s="1614"/>
      <c r="L9" s="1614"/>
      <c r="M9" s="1614">
        <v>60</v>
      </c>
      <c r="N9" s="1614"/>
      <c r="O9" s="1614"/>
      <c r="P9" s="1614"/>
      <c r="Q9" s="1614"/>
      <c r="R9" s="1614"/>
      <c r="S9" s="1614"/>
      <c r="T9" s="1614">
        <v>120</v>
      </c>
      <c r="U9" s="1614"/>
      <c r="V9" s="1614"/>
      <c r="W9" s="1614"/>
      <c r="X9" s="1614"/>
      <c r="Y9" s="1614"/>
      <c r="Z9" s="436">
        <v>120</v>
      </c>
      <c r="AA9" s="436">
        <v>76</v>
      </c>
      <c r="AB9" s="436"/>
      <c r="AC9" s="436"/>
      <c r="AD9" s="436"/>
      <c r="AE9" s="436"/>
      <c r="AF9" s="436"/>
      <c r="AG9" s="436">
        <v>120</v>
      </c>
      <c r="AH9" s="436"/>
      <c r="AI9" s="436"/>
      <c r="AJ9" s="436">
        <v>4</v>
      </c>
      <c r="AK9" s="436"/>
      <c r="AL9" s="1772">
        <f t="shared" si="1"/>
        <v>620</v>
      </c>
      <c r="AM9" s="1009">
        <f t="shared" si="0"/>
        <v>1607040</v>
      </c>
      <c r="AN9" s="1077"/>
    </row>
    <row r="10" spans="1:41" s="698" customFormat="1" ht="20.100000000000001" customHeight="1">
      <c r="A10" s="689"/>
      <c r="B10" s="2398"/>
      <c r="C10" s="1474" t="s">
        <v>1602</v>
      </c>
      <c r="D10" s="1364" t="s">
        <v>999</v>
      </c>
      <c r="E10" s="1364" t="s">
        <v>1000</v>
      </c>
      <c r="F10" s="2250">
        <v>3275</v>
      </c>
      <c r="G10" s="1615"/>
      <c r="H10" s="1615">
        <v>360</v>
      </c>
      <c r="I10" s="1615"/>
      <c r="J10" s="1615"/>
      <c r="K10" s="1615"/>
      <c r="L10" s="1615">
        <v>480</v>
      </c>
      <c r="M10" s="1615"/>
      <c r="N10" s="1615"/>
      <c r="O10" s="1615"/>
      <c r="P10" s="1615"/>
      <c r="Q10" s="1615"/>
      <c r="R10" s="1615"/>
      <c r="S10" s="1615"/>
      <c r="T10" s="1615"/>
      <c r="U10" s="1615">
        <v>360</v>
      </c>
      <c r="V10" s="1615"/>
      <c r="W10" s="1615"/>
      <c r="X10" s="1615"/>
      <c r="Y10" s="1615"/>
      <c r="Z10" s="922">
        <v>600</v>
      </c>
      <c r="AA10" s="922"/>
      <c r="AB10" s="922"/>
      <c r="AC10" s="922"/>
      <c r="AD10" s="922">
        <v>120</v>
      </c>
      <c r="AE10" s="922"/>
      <c r="AF10" s="922"/>
      <c r="AG10" s="922"/>
      <c r="AH10" s="922"/>
      <c r="AI10" s="922"/>
      <c r="AJ10" s="922">
        <v>240</v>
      </c>
      <c r="AK10" s="922"/>
      <c r="AL10" s="1772">
        <f>SUM(G10:AK10)</f>
        <v>2160</v>
      </c>
      <c r="AM10" s="1009">
        <f t="shared" si="0"/>
        <v>7074000</v>
      </c>
      <c r="AN10" s="1077"/>
    </row>
    <row r="11" spans="1:41" ht="20.100000000000001" customHeight="1" thickBot="1">
      <c r="A11" s="5"/>
      <c r="B11" s="2398"/>
      <c r="C11" s="1474" t="s">
        <v>1603</v>
      </c>
      <c r="D11" s="1889" t="s">
        <v>1001</v>
      </c>
      <c r="E11" s="1889" t="s">
        <v>1002</v>
      </c>
      <c r="F11" s="2251">
        <v>3275</v>
      </c>
      <c r="G11" s="1090"/>
      <c r="H11" s="1090">
        <v>360</v>
      </c>
      <c r="I11" s="1090"/>
      <c r="J11" s="1090"/>
      <c r="K11" s="1090"/>
      <c r="L11" s="1090">
        <v>480</v>
      </c>
      <c r="M11" s="1090"/>
      <c r="N11" s="1090"/>
      <c r="O11" s="1090"/>
      <c r="P11" s="1090"/>
      <c r="Q11" s="1090"/>
      <c r="R11" s="1090"/>
      <c r="S11" s="1090"/>
      <c r="T11" s="1090"/>
      <c r="U11" s="1090">
        <v>360</v>
      </c>
      <c r="V11" s="1090"/>
      <c r="W11" s="1090"/>
      <c r="X11" s="1090"/>
      <c r="Y11" s="1090"/>
      <c r="Z11" s="455">
        <v>600</v>
      </c>
      <c r="AA11" s="455"/>
      <c r="AB11" s="455"/>
      <c r="AC11" s="455"/>
      <c r="AD11" s="455">
        <v>120</v>
      </c>
      <c r="AE11" s="455"/>
      <c r="AF11" s="455"/>
      <c r="AG11" s="455"/>
      <c r="AH11" s="455"/>
      <c r="AI11" s="455"/>
      <c r="AJ11" s="455">
        <v>240</v>
      </c>
      <c r="AK11" s="455"/>
      <c r="AL11" s="1773">
        <f>SUM(G11:AK11)</f>
        <v>2160</v>
      </c>
      <c r="AM11" s="1010">
        <f t="shared" si="0"/>
        <v>7074000</v>
      </c>
      <c r="AN11" s="2164">
        <f>SUM(AM6:AM13)</f>
        <v>65083314</v>
      </c>
      <c r="AO11" s="1078"/>
    </row>
    <row r="12" spans="1:41" ht="20.100000000000001" customHeight="1">
      <c r="A12" s="5"/>
      <c r="B12" s="2398"/>
      <c r="C12" s="1474" t="s">
        <v>1604</v>
      </c>
      <c r="D12" s="578" t="s">
        <v>1556</v>
      </c>
      <c r="E12" s="578" t="s">
        <v>1557</v>
      </c>
      <c r="F12" s="2248">
        <v>2494</v>
      </c>
      <c r="G12" s="1614"/>
      <c r="H12" s="1614"/>
      <c r="I12" s="1614"/>
      <c r="J12" s="1614"/>
      <c r="K12" s="1614"/>
      <c r="L12" s="1614"/>
      <c r="M12" s="1614"/>
      <c r="N12" s="1614"/>
      <c r="O12" s="1614"/>
      <c r="P12" s="1614"/>
      <c r="Q12" s="1614"/>
      <c r="R12" s="1614"/>
      <c r="S12" s="1614"/>
      <c r="T12" s="1614"/>
      <c r="U12" s="1614"/>
      <c r="V12" s="1614"/>
      <c r="W12" s="1614"/>
      <c r="X12" s="1614"/>
      <c r="Y12" s="1614"/>
      <c r="Z12" s="436"/>
      <c r="AA12" s="436"/>
      <c r="AB12" s="436"/>
      <c r="AC12" s="436"/>
      <c r="AD12" s="436"/>
      <c r="AE12" s="436"/>
      <c r="AF12" s="436"/>
      <c r="AG12" s="436"/>
      <c r="AH12" s="436"/>
      <c r="AI12" s="436"/>
      <c r="AJ12" s="436"/>
      <c r="AK12" s="436"/>
      <c r="AL12" s="19">
        <f t="shared" ref="AL12:AL13" si="2">SUM(G12:AK12)</f>
        <v>0</v>
      </c>
      <c r="AM12" s="1009">
        <f t="shared" si="0"/>
        <v>0</v>
      </c>
      <c r="AN12" s="1076"/>
    </row>
    <row r="13" spans="1:41" ht="20.100000000000001" customHeight="1" thickBot="1">
      <c r="A13" s="5"/>
      <c r="B13" s="2399"/>
      <c r="C13" s="1486" t="s">
        <v>1605</v>
      </c>
      <c r="D13" s="740" t="s">
        <v>1558</v>
      </c>
      <c r="E13" s="740" t="s">
        <v>1559</v>
      </c>
      <c r="F13" s="2249">
        <v>2494</v>
      </c>
      <c r="G13" s="1090"/>
      <c r="H13" s="1090"/>
      <c r="I13" s="1090"/>
      <c r="J13" s="1090"/>
      <c r="K13" s="1090"/>
      <c r="L13" s="1090"/>
      <c r="M13" s="1090"/>
      <c r="N13" s="1090"/>
      <c r="O13" s="1090"/>
      <c r="P13" s="1090"/>
      <c r="Q13" s="1090"/>
      <c r="R13" s="1090"/>
      <c r="S13" s="1090"/>
      <c r="T13" s="1090"/>
      <c r="U13" s="1090"/>
      <c r="V13" s="1090"/>
      <c r="W13" s="1090"/>
      <c r="X13" s="1090"/>
      <c r="Y13" s="1090"/>
      <c r="Z13" s="455"/>
      <c r="AA13" s="455"/>
      <c r="AB13" s="455"/>
      <c r="AC13" s="455"/>
      <c r="AD13" s="455"/>
      <c r="AE13" s="455"/>
      <c r="AF13" s="455"/>
      <c r="AG13" s="455"/>
      <c r="AH13" s="455"/>
      <c r="AI13" s="455"/>
      <c r="AJ13" s="455"/>
      <c r="AK13" s="455"/>
      <c r="AL13" s="90">
        <f t="shared" si="2"/>
        <v>0</v>
      </c>
      <c r="AM13" s="1010">
        <f t="shared" si="0"/>
        <v>0</v>
      </c>
      <c r="AN13" s="1077"/>
    </row>
    <row r="14" spans="1:41" ht="20.100000000000001" customHeight="1">
      <c r="A14" s="5"/>
      <c r="B14" s="1408" t="s">
        <v>86</v>
      </c>
      <c r="C14" s="1485" t="s">
        <v>1606</v>
      </c>
      <c r="D14" s="34" t="s">
        <v>1560</v>
      </c>
      <c r="E14" s="35" t="s">
        <v>84</v>
      </c>
      <c r="F14" s="2247">
        <v>2477</v>
      </c>
      <c r="G14" s="37">
        <v>180</v>
      </c>
      <c r="H14" s="37"/>
      <c r="I14" s="37"/>
      <c r="J14" s="38"/>
      <c r="K14" s="38"/>
      <c r="L14" s="38"/>
      <c r="M14" s="368"/>
      <c r="N14" s="38"/>
      <c r="O14" s="368"/>
      <c r="P14" s="38">
        <v>180</v>
      </c>
      <c r="Q14" s="38"/>
      <c r="R14" s="38"/>
      <c r="S14" s="38">
        <v>180</v>
      </c>
      <c r="T14" s="368"/>
      <c r="U14" s="38"/>
      <c r="V14" s="38"/>
      <c r="W14" s="38">
        <v>180</v>
      </c>
      <c r="X14" s="38"/>
      <c r="Y14" s="38"/>
      <c r="Z14" s="38"/>
      <c r="AA14" s="368"/>
      <c r="AB14" s="38"/>
      <c r="AC14" s="38"/>
      <c r="AD14" s="38">
        <v>110</v>
      </c>
      <c r="AE14" s="38"/>
      <c r="AF14" s="38"/>
      <c r="AG14" s="38"/>
      <c r="AH14" s="368"/>
      <c r="AI14" s="38"/>
      <c r="AJ14" s="38"/>
      <c r="AK14" s="38"/>
      <c r="AL14" s="923">
        <f t="shared" si="1"/>
        <v>830</v>
      </c>
      <c r="AM14" s="1013">
        <f t="shared" si="0"/>
        <v>2055910</v>
      </c>
    </row>
    <row r="15" spans="1:41" ht="20.100000000000001" customHeight="1" thickBot="1">
      <c r="A15" s="5"/>
      <c r="B15" s="1409"/>
      <c r="C15" s="1486" t="s">
        <v>1607</v>
      </c>
      <c r="D15" s="39" t="s">
        <v>1561</v>
      </c>
      <c r="E15" s="40" t="s">
        <v>85</v>
      </c>
      <c r="F15" s="2252">
        <v>2477</v>
      </c>
      <c r="G15" s="473">
        <v>180</v>
      </c>
      <c r="H15" s="473"/>
      <c r="I15" s="473"/>
      <c r="J15" s="369"/>
      <c r="K15" s="369"/>
      <c r="L15" s="369"/>
      <c r="M15" s="370"/>
      <c r="N15" s="369"/>
      <c r="O15" s="370"/>
      <c r="P15" s="369">
        <v>180</v>
      </c>
      <c r="Q15" s="369"/>
      <c r="R15" s="369"/>
      <c r="S15" s="369">
        <v>180</v>
      </c>
      <c r="T15" s="370"/>
      <c r="U15" s="369"/>
      <c r="V15" s="369"/>
      <c r="W15" s="369">
        <v>180</v>
      </c>
      <c r="X15" s="369"/>
      <c r="Y15" s="369"/>
      <c r="Z15" s="369">
        <v>100</v>
      </c>
      <c r="AA15" s="370"/>
      <c r="AB15" s="369"/>
      <c r="AC15" s="369"/>
      <c r="AD15" s="369"/>
      <c r="AE15" s="369"/>
      <c r="AF15" s="369"/>
      <c r="AG15" s="369"/>
      <c r="AH15" s="370"/>
      <c r="AI15" s="369"/>
      <c r="AJ15" s="369"/>
      <c r="AK15" s="369"/>
      <c r="AL15" s="90">
        <f t="shared" si="1"/>
        <v>820</v>
      </c>
      <c r="AM15" s="1011">
        <f t="shared" si="0"/>
        <v>2031140</v>
      </c>
      <c r="AN15" s="971">
        <f>SUM(AM14:AM15)</f>
        <v>4087050</v>
      </c>
    </row>
    <row r="16" spans="1:41" ht="20.100000000000001" customHeight="1">
      <c r="A16" s="5"/>
      <c r="B16" s="1466" t="s">
        <v>53</v>
      </c>
      <c r="C16" s="1487" t="s">
        <v>1608</v>
      </c>
      <c r="D16" s="34" t="s">
        <v>1562</v>
      </c>
      <c r="E16" s="35" t="s">
        <v>87</v>
      </c>
      <c r="F16" s="2247">
        <v>2150</v>
      </c>
      <c r="G16" s="37">
        <v>150</v>
      </c>
      <c r="H16" s="37"/>
      <c r="I16" s="38"/>
      <c r="J16" s="38"/>
      <c r="K16" s="38"/>
      <c r="L16" s="38"/>
      <c r="M16" s="368"/>
      <c r="N16" s="38"/>
      <c r="O16" s="368"/>
      <c r="P16" s="38"/>
      <c r="Q16" s="38"/>
      <c r="R16" s="38"/>
      <c r="S16" s="38">
        <v>150</v>
      </c>
      <c r="T16" s="368"/>
      <c r="U16" s="38"/>
      <c r="V16" s="38"/>
      <c r="W16" s="38"/>
      <c r="X16" s="38"/>
      <c r="Y16" s="38"/>
      <c r="Z16" s="38">
        <v>73</v>
      </c>
      <c r="AA16" s="368"/>
      <c r="AB16" s="38"/>
      <c r="AC16" s="38"/>
      <c r="AD16" s="38">
        <v>150</v>
      </c>
      <c r="AE16" s="38"/>
      <c r="AF16" s="38"/>
      <c r="AG16" s="38">
        <v>150</v>
      </c>
      <c r="AH16" s="368"/>
      <c r="AI16" s="38"/>
      <c r="AJ16" s="38"/>
      <c r="AK16" s="38"/>
      <c r="AL16" s="923">
        <f t="shared" si="1"/>
        <v>673</v>
      </c>
      <c r="AM16" s="1013">
        <f t="shared" si="0"/>
        <v>1446950</v>
      </c>
    </row>
    <row r="17" spans="1:42" ht="20.100000000000001" customHeight="1" thickBot="1">
      <c r="A17" s="5"/>
      <c r="B17" s="1467"/>
      <c r="C17" s="1488" t="s">
        <v>1609</v>
      </c>
      <c r="D17" s="39" t="s">
        <v>1563</v>
      </c>
      <c r="E17" s="40" t="s">
        <v>87</v>
      </c>
      <c r="F17" s="2252">
        <v>1879</v>
      </c>
      <c r="G17" s="473">
        <v>150</v>
      </c>
      <c r="H17" s="473"/>
      <c r="I17" s="369"/>
      <c r="J17" s="369"/>
      <c r="K17" s="369"/>
      <c r="L17" s="369"/>
      <c r="M17" s="370"/>
      <c r="N17" s="369"/>
      <c r="O17" s="370"/>
      <c r="P17" s="369"/>
      <c r="Q17" s="369"/>
      <c r="R17" s="369"/>
      <c r="S17" s="369">
        <v>150</v>
      </c>
      <c r="T17" s="370"/>
      <c r="U17" s="369"/>
      <c r="V17" s="369"/>
      <c r="W17" s="369"/>
      <c r="X17" s="369"/>
      <c r="Y17" s="369"/>
      <c r="Z17" s="369">
        <v>77</v>
      </c>
      <c r="AA17" s="370"/>
      <c r="AB17" s="369"/>
      <c r="AC17" s="369"/>
      <c r="AD17" s="369">
        <v>150</v>
      </c>
      <c r="AE17" s="369"/>
      <c r="AF17" s="369"/>
      <c r="AG17" s="369">
        <v>150</v>
      </c>
      <c r="AH17" s="370"/>
      <c r="AI17" s="369"/>
      <c r="AJ17" s="369"/>
      <c r="AK17" s="1325"/>
      <c r="AL17" s="90">
        <f t="shared" si="1"/>
        <v>677</v>
      </c>
      <c r="AM17" s="1011">
        <f t="shared" si="0"/>
        <v>1272083</v>
      </c>
      <c r="AN17" s="971">
        <f>SUM(AM16:AM17)</f>
        <v>2719033</v>
      </c>
    </row>
    <row r="18" spans="1:42" ht="20.100000000000001" customHeight="1">
      <c r="A18" s="5"/>
      <c r="B18" s="1408" t="s">
        <v>1394</v>
      </c>
      <c r="C18" s="1475" t="s">
        <v>1610</v>
      </c>
      <c r="D18" s="576" t="s">
        <v>1564</v>
      </c>
      <c r="E18" s="576" t="s">
        <v>1396</v>
      </c>
      <c r="F18" s="2253">
        <v>2477</v>
      </c>
      <c r="G18" s="991"/>
      <c r="H18" s="991"/>
      <c r="I18" s="991"/>
      <c r="J18" s="991"/>
      <c r="K18" s="991"/>
      <c r="L18" s="991">
        <v>70</v>
      </c>
      <c r="M18" s="991"/>
      <c r="N18" s="991"/>
      <c r="O18" s="991"/>
      <c r="P18" s="991"/>
      <c r="Q18" s="991"/>
      <c r="R18" s="991"/>
      <c r="S18" s="991"/>
      <c r="T18" s="991"/>
      <c r="U18" s="991"/>
      <c r="V18" s="991"/>
      <c r="W18" s="991"/>
      <c r="X18" s="991"/>
      <c r="Y18" s="991"/>
      <c r="Z18" s="991"/>
      <c r="AA18" s="991"/>
      <c r="AB18" s="991"/>
      <c r="AC18" s="991"/>
      <c r="AD18" s="991"/>
      <c r="AE18" s="991"/>
      <c r="AF18" s="991"/>
      <c r="AG18" s="991"/>
      <c r="AH18" s="991"/>
      <c r="AI18" s="991"/>
      <c r="AJ18" s="991"/>
      <c r="AK18" s="991"/>
      <c r="AL18" s="1326">
        <f t="shared" si="1"/>
        <v>70</v>
      </c>
      <c r="AM18" s="1327">
        <f t="shared" si="0"/>
        <v>173390</v>
      </c>
      <c r="AN18" s="1078"/>
    </row>
    <row r="19" spans="1:42" ht="20.100000000000001" customHeight="1" thickBot="1">
      <c r="A19" s="5"/>
      <c r="B19" s="1867"/>
      <c r="C19" s="1534" t="s">
        <v>1611</v>
      </c>
      <c r="D19" s="1996" t="s">
        <v>1565</v>
      </c>
      <c r="E19" s="117" t="s">
        <v>1398</v>
      </c>
      <c r="F19" s="2254">
        <v>2477</v>
      </c>
      <c r="G19" s="1997"/>
      <c r="H19" s="1997"/>
      <c r="I19" s="1998"/>
      <c r="J19" s="1998"/>
      <c r="K19" s="1998"/>
      <c r="L19" s="1998">
        <v>70</v>
      </c>
      <c r="M19" s="1999"/>
      <c r="N19" s="1998"/>
      <c r="O19" s="1999"/>
      <c r="P19" s="1998"/>
      <c r="Q19" s="1998"/>
      <c r="R19" s="1998"/>
      <c r="S19" s="1998"/>
      <c r="T19" s="1999"/>
      <c r="U19" s="1998"/>
      <c r="V19" s="1998"/>
      <c r="W19" s="1998"/>
      <c r="X19" s="1998"/>
      <c r="Y19" s="1998"/>
      <c r="Z19" s="1998"/>
      <c r="AA19" s="1999"/>
      <c r="AB19" s="1998"/>
      <c r="AC19" s="1998"/>
      <c r="AD19" s="1998"/>
      <c r="AE19" s="1998"/>
      <c r="AF19" s="1998"/>
      <c r="AG19" s="1998"/>
      <c r="AH19" s="1999"/>
      <c r="AI19" s="1998"/>
      <c r="AJ19" s="1998"/>
      <c r="AK19" s="1998"/>
      <c r="AL19" s="1870">
        <f t="shared" si="1"/>
        <v>70</v>
      </c>
      <c r="AM19" s="1871">
        <f t="shared" si="0"/>
        <v>173390</v>
      </c>
      <c r="AN19" s="971">
        <f>AM19+AM18</f>
        <v>346780</v>
      </c>
    </row>
    <row r="20" spans="1:42" ht="20.100000000000001" customHeight="1">
      <c r="A20" s="5"/>
      <c r="B20" s="1408" t="s">
        <v>88</v>
      </c>
      <c r="C20" s="1485"/>
      <c r="D20" s="35" t="s">
        <v>1566</v>
      </c>
      <c r="E20" s="35" t="s">
        <v>90</v>
      </c>
      <c r="F20" s="36">
        <v>2496</v>
      </c>
      <c r="G20" s="37"/>
      <c r="H20" s="37"/>
      <c r="I20" s="38"/>
      <c r="J20" s="38"/>
      <c r="K20" s="38"/>
      <c r="L20" s="38"/>
      <c r="M20" s="368"/>
      <c r="N20" s="38"/>
      <c r="O20" s="38"/>
      <c r="P20" s="38"/>
      <c r="Q20" s="38"/>
      <c r="R20" s="38"/>
      <c r="S20" s="38"/>
      <c r="T20" s="368"/>
      <c r="U20" s="38"/>
      <c r="V20" s="38"/>
      <c r="W20" s="38"/>
      <c r="X20" s="38"/>
      <c r="Y20" s="38"/>
      <c r="Z20" s="38"/>
      <c r="AA20" s="368"/>
      <c r="AB20" s="38"/>
      <c r="AC20" s="38"/>
      <c r="AD20" s="38"/>
      <c r="AE20" s="38"/>
      <c r="AF20" s="38"/>
      <c r="AG20" s="38"/>
      <c r="AH20" s="368"/>
      <c r="AI20" s="38"/>
      <c r="AJ20" s="38"/>
      <c r="AK20" s="38"/>
      <c r="AL20" s="923">
        <f t="shared" si="1"/>
        <v>0</v>
      </c>
      <c r="AM20" s="1013">
        <f t="shared" si="0"/>
        <v>0</v>
      </c>
    </row>
    <row r="21" spans="1:42" ht="20.100000000000001" customHeight="1" thickBot="1">
      <c r="A21" s="5"/>
      <c r="B21" s="1409"/>
      <c r="C21" s="1486"/>
      <c r="D21" s="40" t="s">
        <v>1567</v>
      </c>
      <c r="E21" s="40" t="s">
        <v>92</v>
      </c>
      <c r="F21" s="41">
        <v>2496</v>
      </c>
      <c r="G21" s="473"/>
      <c r="H21" s="473"/>
      <c r="I21" s="369"/>
      <c r="J21" s="369"/>
      <c r="K21" s="369"/>
      <c r="L21" s="369"/>
      <c r="M21" s="370"/>
      <c r="N21" s="369"/>
      <c r="O21" s="369"/>
      <c r="P21" s="369"/>
      <c r="Q21" s="369"/>
      <c r="R21" s="369"/>
      <c r="S21" s="369"/>
      <c r="T21" s="370"/>
      <c r="U21" s="369"/>
      <c r="V21" s="369"/>
      <c r="W21" s="369"/>
      <c r="X21" s="369"/>
      <c r="Y21" s="369"/>
      <c r="Z21" s="369"/>
      <c r="AA21" s="370"/>
      <c r="AB21" s="369"/>
      <c r="AC21" s="369"/>
      <c r="AD21" s="369"/>
      <c r="AE21" s="369"/>
      <c r="AF21" s="369"/>
      <c r="AG21" s="369"/>
      <c r="AH21" s="370"/>
      <c r="AI21" s="369"/>
      <c r="AJ21" s="369"/>
      <c r="AK21" s="369"/>
      <c r="AL21" s="90">
        <f t="shared" si="1"/>
        <v>0</v>
      </c>
      <c r="AM21" s="1011">
        <f t="shared" si="0"/>
        <v>0</v>
      </c>
      <c r="AN21" s="1078"/>
    </row>
    <row r="22" spans="1:42" ht="20.100000000000001" customHeight="1">
      <c r="A22" s="5"/>
      <c r="B22" s="1408" t="s">
        <v>93</v>
      </c>
      <c r="C22" s="1485"/>
      <c r="D22" s="35" t="s">
        <v>1568</v>
      </c>
      <c r="E22" s="35" t="s">
        <v>90</v>
      </c>
      <c r="F22" s="36">
        <v>1682</v>
      </c>
      <c r="G22" s="37"/>
      <c r="H22" s="37"/>
      <c r="I22" s="38"/>
      <c r="J22" s="38"/>
      <c r="K22" s="1872"/>
      <c r="L22" s="38"/>
      <c r="M22" s="368"/>
      <c r="N22" s="38"/>
      <c r="O22" s="38"/>
      <c r="P22" s="38"/>
      <c r="Q22" s="38"/>
      <c r="R22" s="1872"/>
      <c r="S22" s="38"/>
      <c r="T22" s="368"/>
      <c r="U22" s="38"/>
      <c r="V22" s="38"/>
      <c r="W22" s="38"/>
      <c r="X22" s="38"/>
      <c r="Y22" s="38"/>
      <c r="Z22" s="38"/>
      <c r="AA22" s="368"/>
      <c r="AB22" s="38"/>
      <c r="AC22" s="38"/>
      <c r="AD22" s="38"/>
      <c r="AE22" s="38"/>
      <c r="AF22" s="1872"/>
      <c r="AG22" s="38"/>
      <c r="AH22" s="368"/>
      <c r="AI22" s="38"/>
      <c r="AJ22" s="38"/>
      <c r="AK22" s="38"/>
      <c r="AL22" s="923">
        <f t="shared" si="1"/>
        <v>0</v>
      </c>
      <c r="AM22" s="1013">
        <f t="shared" si="0"/>
        <v>0</v>
      </c>
    </row>
    <row r="23" spans="1:42" ht="20.100000000000001" customHeight="1">
      <c r="A23" s="5"/>
      <c r="B23" s="1867"/>
      <c r="C23" s="1474"/>
      <c r="D23" s="3" t="s">
        <v>1569</v>
      </c>
      <c r="E23" s="3" t="s">
        <v>92</v>
      </c>
      <c r="F23" s="21">
        <v>1682</v>
      </c>
      <c r="G23" s="22"/>
      <c r="H23" s="22"/>
      <c r="I23" s="23"/>
      <c r="J23" s="23"/>
      <c r="K23" s="23"/>
      <c r="L23" s="23"/>
      <c r="M23" s="367"/>
      <c r="N23" s="23"/>
      <c r="O23" s="23"/>
      <c r="P23" s="23"/>
      <c r="Q23" s="23"/>
      <c r="R23" s="23"/>
      <c r="S23" s="23"/>
      <c r="T23" s="367"/>
      <c r="U23" s="23"/>
      <c r="V23" s="23"/>
      <c r="W23" s="23"/>
      <c r="X23" s="23"/>
      <c r="Y23" s="23"/>
      <c r="Z23" s="23"/>
      <c r="AA23" s="367"/>
      <c r="AB23" s="23"/>
      <c r="AC23" s="23"/>
      <c r="AD23" s="23"/>
      <c r="AE23" s="23"/>
      <c r="AF23" s="23"/>
      <c r="AG23" s="23"/>
      <c r="AH23" s="367"/>
      <c r="AI23" s="23"/>
      <c r="AJ23" s="23"/>
      <c r="AK23" s="23"/>
      <c r="AL23" s="19">
        <f t="shared" si="1"/>
        <v>0</v>
      </c>
      <c r="AM23" s="1012">
        <f t="shared" si="0"/>
        <v>0</v>
      </c>
    </row>
    <row r="24" spans="1:42" ht="20.100000000000001" customHeight="1">
      <c r="A24" s="5"/>
      <c r="B24" s="1867"/>
      <c r="C24" s="1533" t="s">
        <v>1612</v>
      </c>
      <c r="D24" s="17" t="s">
        <v>1570</v>
      </c>
      <c r="E24" s="17" t="s">
        <v>84</v>
      </c>
      <c r="F24" s="2255">
        <v>2298</v>
      </c>
      <c r="G24" s="415"/>
      <c r="H24" s="415"/>
      <c r="I24" s="365"/>
      <c r="J24" s="365"/>
      <c r="K24" s="365"/>
      <c r="L24" s="365"/>
      <c r="M24" s="366"/>
      <c r="N24" s="365"/>
      <c r="O24" s="365"/>
      <c r="P24" s="365"/>
      <c r="Q24" s="365"/>
      <c r="R24" s="365"/>
      <c r="S24" s="365"/>
      <c r="T24" s="366"/>
      <c r="U24" s="365"/>
      <c r="V24" s="365"/>
      <c r="W24" s="365"/>
      <c r="X24" s="365"/>
      <c r="Y24" s="365"/>
      <c r="Z24" s="365">
        <v>92</v>
      </c>
      <c r="AA24" s="366"/>
      <c r="AB24" s="365"/>
      <c r="AC24" s="365"/>
      <c r="AD24" s="365"/>
      <c r="AE24" s="365"/>
      <c r="AF24" s="365"/>
      <c r="AG24" s="365"/>
      <c r="AH24" s="366"/>
      <c r="AI24" s="365"/>
      <c r="AJ24" s="365"/>
      <c r="AK24" s="365"/>
      <c r="AL24" s="19">
        <f t="shared" si="1"/>
        <v>92</v>
      </c>
      <c r="AM24" s="1012">
        <f t="shared" si="0"/>
        <v>211416</v>
      </c>
    </row>
    <row r="25" spans="1:42" ht="20.100000000000001" customHeight="1" thickBot="1">
      <c r="A25" s="5"/>
      <c r="B25" s="1409"/>
      <c r="C25" s="1873" t="s">
        <v>1613</v>
      </c>
      <c r="D25" s="40" t="s">
        <v>1571</v>
      </c>
      <c r="E25" s="40" t="s">
        <v>85</v>
      </c>
      <c r="F25" s="2252">
        <v>2298</v>
      </c>
      <c r="G25" s="473"/>
      <c r="H25" s="473"/>
      <c r="I25" s="369"/>
      <c r="J25" s="369"/>
      <c r="K25" s="369"/>
      <c r="L25" s="369"/>
      <c r="M25" s="370"/>
      <c r="N25" s="369"/>
      <c r="O25" s="369"/>
      <c r="P25" s="369"/>
      <c r="Q25" s="369"/>
      <c r="R25" s="369"/>
      <c r="S25" s="369"/>
      <c r="T25" s="370"/>
      <c r="U25" s="369"/>
      <c r="V25" s="369"/>
      <c r="W25" s="369"/>
      <c r="X25" s="369"/>
      <c r="Y25" s="369"/>
      <c r="Z25" s="369">
        <v>156</v>
      </c>
      <c r="AA25" s="370"/>
      <c r="AB25" s="369"/>
      <c r="AC25" s="369"/>
      <c r="AD25" s="369"/>
      <c r="AE25" s="369"/>
      <c r="AF25" s="369"/>
      <c r="AG25" s="369"/>
      <c r="AH25" s="370"/>
      <c r="AI25" s="369"/>
      <c r="AJ25" s="369"/>
      <c r="AK25" s="369"/>
      <c r="AL25" s="90">
        <f t="shared" si="1"/>
        <v>156</v>
      </c>
      <c r="AM25" s="1011">
        <f t="shared" si="0"/>
        <v>358488</v>
      </c>
      <c r="AN25" s="971">
        <f>SUM(AM22:AM25)</f>
        <v>569904</v>
      </c>
    </row>
    <row r="26" spans="1:42" ht="20.100000000000001" customHeight="1">
      <c r="A26" s="5"/>
      <c r="B26" s="1408" t="s">
        <v>96</v>
      </c>
      <c r="C26" s="1478"/>
      <c r="D26" s="2000" t="s">
        <v>97</v>
      </c>
      <c r="E26" s="2000" t="s">
        <v>98</v>
      </c>
      <c r="F26" s="2001">
        <v>1747</v>
      </c>
      <c r="G26" s="2002"/>
      <c r="H26" s="2002"/>
      <c r="I26" s="2003"/>
      <c r="J26" s="2003"/>
      <c r="K26" s="2003"/>
      <c r="L26" s="2003"/>
      <c r="M26" s="2004"/>
      <c r="N26" s="2003"/>
      <c r="O26" s="2003"/>
      <c r="P26" s="2003"/>
      <c r="Q26" s="2003"/>
      <c r="R26" s="2003"/>
      <c r="S26" s="2003"/>
      <c r="T26" s="2004"/>
      <c r="U26" s="2003"/>
      <c r="V26" s="2003"/>
      <c r="W26" s="2003"/>
      <c r="X26" s="2003"/>
      <c r="Y26" s="2003"/>
      <c r="Z26" s="2003"/>
      <c r="AA26" s="2004"/>
      <c r="AB26" s="2003"/>
      <c r="AC26" s="2003"/>
      <c r="AD26" s="2003"/>
      <c r="AE26" s="2003"/>
      <c r="AF26" s="2003"/>
      <c r="AG26" s="2003"/>
      <c r="AH26" s="2004"/>
      <c r="AI26" s="2003"/>
      <c r="AJ26" s="2003"/>
      <c r="AK26" s="2003"/>
      <c r="AL26" s="923">
        <f t="shared" si="1"/>
        <v>0</v>
      </c>
      <c r="AM26" s="1013">
        <f t="shared" si="0"/>
        <v>0</v>
      </c>
    </row>
    <row r="27" spans="1:42" ht="20.100000000000001" customHeight="1">
      <c r="A27" s="5"/>
      <c r="B27" s="1867"/>
      <c r="C27" s="1476"/>
      <c r="D27" s="43" t="s">
        <v>99</v>
      </c>
      <c r="E27" s="43" t="s">
        <v>100</v>
      </c>
      <c r="F27" s="44">
        <v>1623</v>
      </c>
      <c r="G27" s="45"/>
      <c r="H27" s="45"/>
      <c r="I27" s="46"/>
      <c r="J27" s="46"/>
      <c r="K27" s="46"/>
      <c r="L27" s="46"/>
      <c r="M27" s="371"/>
      <c r="N27" s="46"/>
      <c r="O27" s="46"/>
      <c r="P27" s="46"/>
      <c r="Q27" s="46"/>
      <c r="R27" s="46"/>
      <c r="S27" s="46"/>
      <c r="T27" s="371"/>
      <c r="U27" s="46"/>
      <c r="V27" s="46"/>
      <c r="W27" s="46"/>
      <c r="X27" s="46"/>
      <c r="Y27" s="46"/>
      <c r="Z27" s="46"/>
      <c r="AA27" s="371"/>
      <c r="AB27" s="46"/>
      <c r="AC27" s="46"/>
      <c r="AD27" s="46"/>
      <c r="AE27" s="46"/>
      <c r="AF27" s="46"/>
      <c r="AG27" s="46"/>
      <c r="AH27" s="371"/>
      <c r="AI27" s="46"/>
      <c r="AJ27" s="46"/>
      <c r="AK27" s="46"/>
      <c r="AL27" s="19">
        <f t="shared" si="1"/>
        <v>0</v>
      </c>
      <c r="AM27" s="1012">
        <f t="shared" si="0"/>
        <v>0</v>
      </c>
    </row>
    <row r="28" spans="1:42" ht="20.100000000000001" customHeight="1">
      <c r="A28" s="5"/>
      <c r="B28" s="1867"/>
      <c r="C28" s="1476"/>
      <c r="D28" s="48" t="s">
        <v>101</v>
      </c>
      <c r="E28" s="17" t="s">
        <v>102</v>
      </c>
      <c r="F28" s="18">
        <v>62</v>
      </c>
      <c r="G28" s="49"/>
      <c r="H28" s="49"/>
      <c r="I28" s="50"/>
      <c r="J28" s="50"/>
      <c r="K28" s="50"/>
      <c r="L28" s="50"/>
      <c r="M28" s="372"/>
      <c r="N28" s="50"/>
      <c r="O28" s="50"/>
      <c r="P28" s="50"/>
      <c r="Q28" s="50"/>
      <c r="R28" s="50"/>
      <c r="S28" s="50"/>
      <c r="T28" s="372"/>
      <c r="U28" s="50"/>
      <c r="V28" s="50"/>
      <c r="W28" s="50"/>
      <c r="X28" s="50"/>
      <c r="Y28" s="50"/>
      <c r="Z28" s="50"/>
      <c r="AA28" s="372"/>
      <c r="AB28" s="50"/>
      <c r="AC28" s="50"/>
      <c r="AD28" s="50"/>
      <c r="AE28" s="50"/>
      <c r="AF28" s="50"/>
      <c r="AG28" s="50"/>
      <c r="AH28" s="372"/>
      <c r="AI28" s="50"/>
      <c r="AJ28" s="50"/>
      <c r="AK28" s="50"/>
      <c r="AL28" s="19">
        <f t="shared" si="1"/>
        <v>0</v>
      </c>
      <c r="AM28" s="1012">
        <f t="shared" si="0"/>
        <v>0</v>
      </c>
    </row>
    <row r="29" spans="1:42" ht="20.100000000000001" customHeight="1" thickBot="1">
      <c r="A29" s="5"/>
      <c r="B29" s="1409"/>
      <c r="C29" s="1477"/>
      <c r="D29" s="51" t="s">
        <v>103</v>
      </c>
      <c r="E29" s="72" t="s">
        <v>104</v>
      </c>
      <c r="F29" s="73">
        <v>23</v>
      </c>
      <c r="G29" s="428"/>
      <c r="H29" s="428"/>
      <c r="I29" s="373"/>
      <c r="J29" s="373"/>
      <c r="K29" s="373"/>
      <c r="L29" s="373"/>
      <c r="M29" s="374"/>
      <c r="N29" s="373"/>
      <c r="O29" s="373"/>
      <c r="P29" s="373"/>
      <c r="Q29" s="373"/>
      <c r="R29" s="373"/>
      <c r="S29" s="373"/>
      <c r="T29" s="374"/>
      <c r="U29" s="373"/>
      <c r="V29" s="373"/>
      <c r="W29" s="373"/>
      <c r="X29" s="373"/>
      <c r="Y29" s="373"/>
      <c r="Z29" s="373"/>
      <c r="AA29" s="374"/>
      <c r="AB29" s="373"/>
      <c r="AC29" s="373"/>
      <c r="AD29" s="373"/>
      <c r="AE29" s="373"/>
      <c r="AF29" s="373"/>
      <c r="AG29" s="373"/>
      <c r="AH29" s="374"/>
      <c r="AI29" s="373"/>
      <c r="AJ29" s="373"/>
      <c r="AK29" s="373"/>
      <c r="AL29" s="90">
        <f t="shared" si="1"/>
        <v>0</v>
      </c>
      <c r="AM29" s="1011">
        <f t="shared" si="0"/>
        <v>0</v>
      </c>
    </row>
    <row r="30" spans="1:42" ht="20.100000000000001" customHeight="1" thickBot="1">
      <c r="A30" s="5"/>
      <c r="B30" s="1535" t="s">
        <v>88</v>
      </c>
      <c r="C30" s="2125" t="s">
        <v>1742</v>
      </c>
      <c r="D30" s="2126" t="s">
        <v>1329</v>
      </c>
      <c r="E30" s="2127" t="s">
        <v>1330</v>
      </c>
      <c r="F30" s="2256">
        <v>3680</v>
      </c>
      <c r="G30" s="426"/>
      <c r="H30" s="426"/>
      <c r="I30" s="426"/>
      <c r="J30" s="426"/>
      <c r="K30" s="426"/>
      <c r="L30" s="426"/>
      <c r="M30" s="426"/>
      <c r="N30" s="426"/>
      <c r="O30" s="426"/>
      <c r="P30" s="426"/>
      <c r="Q30" s="426"/>
      <c r="R30" s="426"/>
      <c r="S30" s="426"/>
      <c r="T30" s="426"/>
      <c r="U30" s="426"/>
      <c r="V30" s="426"/>
      <c r="W30" s="426"/>
      <c r="X30" s="426"/>
      <c r="Y30" s="426"/>
      <c r="Z30" s="426"/>
      <c r="AA30" s="426"/>
      <c r="AB30" s="426"/>
      <c r="AC30" s="426"/>
      <c r="AD30" s="426"/>
      <c r="AE30" s="426"/>
      <c r="AF30" s="426"/>
      <c r="AG30" s="426"/>
      <c r="AH30" s="426">
        <v>3400</v>
      </c>
      <c r="AI30" s="426"/>
      <c r="AJ30" s="426"/>
      <c r="AK30" s="426"/>
      <c r="AL30" s="1260">
        <f t="shared" ref="AL30:AL32" si="3">SUM(G30:AK30)</f>
        <v>3400</v>
      </c>
      <c r="AM30" s="1015">
        <f t="shared" si="0"/>
        <v>12512000</v>
      </c>
      <c r="AN30" s="971">
        <f>AM30</f>
        <v>12512000</v>
      </c>
    </row>
    <row r="31" spans="1:42" ht="20.100000000000001" customHeight="1" thickBot="1">
      <c r="A31" s="5"/>
      <c r="B31" s="2128" t="s">
        <v>1334</v>
      </c>
      <c r="C31" s="2129"/>
      <c r="D31" s="2130"/>
      <c r="E31" s="2130" t="s">
        <v>1341</v>
      </c>
      <c r="F31" s="608">
        <v>3000</v>
      </c>
      <c r="G31" s="463"/>
      <c r="H31" s="463"/>
      <c r="I31" s="457"/>
      <c r="J31" s="457"/>
      <c r="K31" s="457"/>
      <c r="L31" s="457"/>
      <c r="M31" s="1261"/>
      <c r="N31" s="457"/>
      <c r="O31" s="457"/>
      <c r="P31" s="457"/>
      <c r="Q31" s="457"/>
      <c r="R31" s="457"/>
      <c r="S31" s="457"/>
      <c r="T31" s="1261"/>
      <c r="U31" s="457"/>
      <c r="V31" s="457"/>
      <c r="W31" s="457"/>
      <c r="X31" s="457"/>
      <c r="Y31" s="457"/>
      <c r="Z31" s="457"/>
      <c r="AA31" s="1261"/>
      <c r="AB31" s="457"/>
      <c r="AC31" s="457"/>
      <c r="AD31" s="457"/>
      <c r="AE31" s="457"/>
      <c r="AF31" s="457"/>
      <c r="AG31" s="457"/>
      <c r="AH31" s="1261"/>
      <c r="AI31" s="457"/>
      <c r="AJ31" s="457"/>
      <c r="AK31" s="457"/>
      <c r="AL31" s="1260">
        <f t="shared" si="3"/>
        <v>0</v>
      </c>
      <c r="AM31" s="1015">
        <f t="shared" si="0"/>
        <v>0</v>
      </c>
      <c r="AN31" s="1078"/>
    </row>
    <row r="32" spans="1:42" ht="20.100000000000001" customHeight="1" thickBot="1">
      <c r="A32" s="5"/>
      <c r="B32" s="2131" t="s">
        <v>1331</v>
      </c>
      <c r="C32" s="2132"/>
      <c r="D32" s="2133" t="s">
        <v>1332</v>
      </c>
      <c r="E32" s="2133" t="s">
        <v>1333</v>
      </c>
      <c r="F32" s="608">
        <v>3546</v>
      </c>
      <c r="G32" s="463"/>
      <c r="H32" s="463"/>
      <c r="I32" s="457"/>
      <c r="J32" s="457"/>
      <c r="K32" s="457"/>
      <c r="L32" s="457"/>
      <c r="M32" s="1261"/>
      <c r="N32" s="457"/>
      <c r="O32" s="457"/>
      <c r="P32" s="457"/>
      <c r="Q32" s="457"/>
      <c r="R32" s="457"/>
      <c r="S32" s="457"/>
      <c r="T32" s="1261"/>
      <c r="U32" s="457"/>
      <c r="V32" s="457"/>
      <c r="W32" s="457"/>
      <c r="X32" s="457"/>
      <c r="Y32" s="457"/>
      <c r="Z32" s="457"/>
      <c r="AA32" s="1261"/>
      <c r="AB32" s="457"/>
      <c r="AC32" s="457"/>
      <c r="AD32" s="457"/>
      <c r="AE32" s="457"/>
      <c r="AF32" s="457"/>
      <c r="AG32" s="457"/>
      <c r="AH32" s="1261"/>
      <c r="AI32" s="457"/>
      <c r="AJ32" s="457"/>
      <c r="AK32" s="457"/>
      <c r="AL32" s="1262">
        <f t="shared" si="3"/>
        <v>0</v>
      </c>
      <c r="AM32" s="1014">
        <f t="shared" si="0"/>
        <v>0</v>
      </c>
      <c r="AN32"/>
      <c r="AO32"/>
      <c r="AP32"/>
    </row>
    <row r="33" spans="1:42" ht="20.100000000000001" customHeight="1">
      <c r="A33" s="5"/>
      <c r="B33" s="2134" t="s">
        <v>105</v>
      </c>
      <c r="C33" s="2135"/>
      <c r="D33" s="1493" t="s">
        <v>106</v>
      </c>
      <c r="E33" s="1493" t="s">
        <v>107</v>
      </c>
      <c r="F33" s="2136">
        <v>624</v>
      </c>
      <c r="G33" s="37"/>
      <c r="H33" s="37"/>
      <c r="I33" s="38"/>
      <c r="J33" s="38"/>
      <c r="K33" s="38"/>
      <c r="L33" s="38"/>
      <c r="M33" s="368"/>
      <c r="N33" s="38"/>
      <c r="O33" s="38"/>
      <c r="P33" s="38"/>
      <c r="Q33" s="38"/>
      <c r="R33" s="38"/>
      <c r="S33" s="38"/>
      <c r="T33" s="368"/>
      <c r="U33" s="38"/>
      <c r="V33" s="375"/>
      <c r="W33" s="38"/>
      <c r="X33" s="38"/>
      <c r="Y33" s="38"/>
      <c r="Z33" s="38"/>
      <c r="AA33" s="368"/>
      <c r="AB33" s="38"/>
      <c r="AC33" s="38"/>
      <c r="AD33" s="38"/>
      <c r="AE33" s="38"/>
      <c r="AF33" s="38"/>
      <c r="AG33" s="38"/>
      <c r="AH33" s="368"/>
      <c r="AI33" s="38"/>
      <c r="AJ33" s="38"/>
      <c r="AK33" s="38"/>
      <c r="AL33" s="89">
        <f t="shared" si="1"/>
        <v>0</v>
      </c>
      <c r="AM33" s="1013">
        <f t="shared" si="0"/>
        <v>0</v>
      </c>
      <c r="AN33"/>
      <c r="AO33"/>
      <c r="AP33"/>
    </row>
    <row r="34" spans="1:42" ht="21.75" customHeight="1">
      <c r="A34" s="5"/>
      <c r="B34" s="2137"/>
      <c r="C34" s="2138"/>
      <c r="D34" s="1031" t="s">
        <v>108</v>
      </c>
      <c r="E34" s="1031" t="s">
        <v>109</v>
      </c>
      <c r="F34" s="2139">
        <v>3</v>
      </c>
      <c r="G34" s="415"/>
      <c r="H34" s="415"/>
      <c r="I34" s="365"/>
      <c r="J34" s="365"/>
      <c r="K34" s="365"/>
      <c r="L34" s="365"/>
      <c r="M34" s="366"/>
      <c r="N34" s="365"/>
      <c r="O34" s="365"/>
      <c r="P34" s="365"/>
      <c r="Q34" s="365"/>
      <c r="R34" s="365"/>
      <c r="S34" s="365"/>
      <c r="T34" s="366"/>
      <c r="U34" s="365"/>
      <c r="V34" s="365"/>
      <c r="W34" s="365"/>
      <c r="X34" s="365"/>
      <c r="Y34" s="365"/>
      <c r="Z34" s="365"/>
      <c r="AA34" s="366"/>
      <c r="AB34" s="365"/>
      <c r="AC34" s="365"/>
      <c r="AD34" s="365"/>
      <c r="AE34" s="365"/>
      <c r="AF34" s="365"/>
      <c r="AG34" s="365"/>
      <c r="AH34" s="366"/>
      <c r="AI34" s="365"/>
      <c r="AJ34" s="365"/>
      <c r="AK34" s="365"/>
      <c r="AL34" s="19">
        <f t="shared" si="1"/>
        <v>0</v>
      </c>
      <c r="AM34" s="1012">
        <f t="shared" si="0"/>
        <v>0</v>
      </c>
      <c r="AN34"/>
      <c r="AO34"/>
      <c r="AP34"/>
    </row>
    <row r="35" spans="1:42" ht="20.100000000000001" customHeight="1">
      <c r="A35" s="5"/>
      <c r="B35" s="2137"/>
      <c r="C35" s="2138"/>
      <c r="D35" s="1031" t="s">
        <v>110</v>
      </c>
      <c r="E35" s="1116" t="s">
        <v>111</v>
      </c>
      <c r="F35" s="2">
        <v>3209</v>
      </c>
      <c r="G35" s="474"/>
      <c r="H35" s="474"/>
      <c r="I35" s="474"/>
      <c r="J35" s="376"/>
      <c r="K35" s="376"/>
      <c r="L35" s="376"/>
      <c r="M35" s="377"/>
      <c r="N35" s="376"/>
      <c r="O35" s="376"/>
      <c r="P35" s="376"/>
      <c r="Q35" s="378"/>
      <c r="R35" s="376"/>
      <c r="S35" s="376"/>
      <c r="T35" s="377"/>
      <c r="U35" s="376"/>
      <c r="V35" s="376"/>
      <c r="W35" s="376"/>
      <c r="X35" s="376"/>
      <c r="Y35" s="376"/>
      <c r="Z35" s="376"/>
      <c r="AA35" s="379"/>
      <c r="AB35" s="376"/>
      <c r="AC35" s="376"/>
      <c r="AD35" s="376"/>
      <c r="AE35" s="376"/>
      <c r="AF35" s="376"/>
      <c r="AG35" s="376"/>
      <c r="AH35" s="377"/>
      <c r="AI35" s="376"/>
      <c r="AJ35" s="376"/>
      <c r="AK35" s="376"/>
      <c r="AL35" s="19">
        <f t="shared" si="1"/>
        <v>0</v>
      </c>
      <c r="AM35" s="1012">
        <f t="shared" si="0"/>
        <v>0</v>
      </c>
      <c r="AN35"/>
      <c r="AO35"/>
      <c r="AP35"/>
    </row>
    <row r="36" spans="1:42" ht="20.100000000000001" customHeight="1">
      <c r="A36" s="5"/>
      <c r="B36" s="2137"/>
      <c r="C36" s="2138" t="s">
        <v>1615</v>
      </c>
      <c r="D36" s="1744" t="s">
        <v>112</v>
      </c>
      <c r="E36" s="1116" t="s">
        <v>113</v>
      </c>
      <c r="F36" s="2">
        <v>1538</v>
      </c>
      <c r="G36" s="475"/>
      <c r="H36" s="475"/>
      <c r="I36" s="475"/>
      <c r="J36" s="226"/>
      <c r="K36" s="84"/>
      <c r="L36" s="84"/>
      <c r="M36" s="380"/>
      <c r="N36" s="84"/>
      <c r="O36" s="84"/>
      <c r="P36" s="84"/>
      <c r="Q36" s="84"/>
      <c r="R36" s="84"/>
      <c r="S36" s="84"/>
      <c r="T36" s="380"/>
      <c r="U36" s="84"/>
      <c r="V36" s="84"/>
      <c r="W36" s="84"/>
      <c r="X36" s="84"/>
      <c r="Y36" s="84"/>
      <c r="Z36" s="84"/>
      <c r="AA36" s="380"/>
      <c r="AB36" s="84"/>
      <c r="AC36" s="84"/>
      <c r="AD36" s="84"/>
      <c r="AE36" s="84"/>
      <c r="AF36" s="84"/>
      <c r="AG36" s="84"/>
      <c r="AH36" s="380"/>
      <c r="AI36" s="84"/>
      <c r="AJ36" s="84"/>
      <c r="AK36" s="84"/>
      <c r="AL36" s="19">
        <f t="shared" si="1"/>
        <v>0</v>
      </c>
      <c r="AM36" s="1012">
        <f t="shared" si="0"/>
        <v>0</v>
      </c>
      <c r="AN36"/>
      <c r="AO36"/>
      <c r="AP36"/>
    </row>
    <row r="37" spans="1:42" ht="20.100000000000001" customHeight="1" thickBot="1">
      <c r="A37" s="5"/>
      <c r="B37" s="2140"/>
      <c r="C37" s="2141"/>
      <c r="D37" s="2142" t="s">
        <v>114</v>
      </c>
      <c r="E37" s="2143" t="s">
        <v>115</v>
      </c>
      <c r="F37" s="336">
        <v>3229</v>
      </c>
      <c r="G37" s="476"/>
      <c r="H37" s="476"/>
      <c r="I37" s="476"/>
      <c r="J37" s="80"/>
      <c r="K37" s="80"/>
      <c r="L37" s="80"/>
      <c r="M37" s="381"/>
      <c r="N37" s="80"/>
      <c r="O37" s="80"/>
      <c r="P37" s="80"/>
      <c r="Q37" s="80"/>
      <c r="R37" s="80"/>
      <c r="S37" s="80"/>
      <c r="T37" s="381"/>
      <c r="U37" s="80"/>
      <c r="V37" s="80"/>
      <c r="W37" s="80"/>
      <c r="X37" s="80"/>
      <c r="Y37" s="80"/>
      <c r="Z37" s="80"/>
      <c r="AA37" s="381"/>
      <c r="AB37" s="80"/>
      <c r="AC37" s="80"/>
      <c r="AD37" s="80"/>
      <c r="AE37" s="80"/>
      <c r="AF37" s="80"/>
      <c r="AG37" s="80"/>
      <c r="AH37" s="381"/>
      <c r="AI37" s="80"/>
      <c r="AJ37" s="80"/>
      <c r="AK37" s="80"/>
      <c r="AL37" s="90">
        <f t="shared" si="1"/>
        <v>0</v>
      </c>
      <c r="AM37" s="1011">
        <f t="shared" si="0"/>
        <v>0</v>
      </c>
      <c r="AN37"/>
      <c r="AO37"/>
      <c r="AP37"/>
    </row>
    <row r="38" spans="1:42" ht="20.100000000000001" customHeight="1">
      <c r="A38" s="5"/>
      <c r="B38" s="1406" t="s">
        <v>56</v>
      </c>
      <c r="C38" s="1479"/>
      <c r="D38" s="57" t="s">
        <v>116</v>
      </c>
      <c r="E38" s="58" t="s">
        <v>117</v>
      </c>
      <c r="F38" s="59">
        <v>2760</v>
      </c>
      <c r="G38" s="477"/>
      <c r="H38" s="477"/>
      <c r="I38" s="382"/>
      <c r="J38" s="382"/>
      <c r="K38" s="382"/>
      <c r="L38" s="382"/>
      <c r="M38" s="383"/>
      <c r="N38" s="382"/>
      <c r="O38" s="382"/>
      <c r="P38" s="382"/>
      <c r="Q38" s="382"/>
      <c r="R38" s="382"/>
      <c r="S38" s="382"/>
      <c r="T38" s="383"/>
      <c r="U38" s="382"/>
      <c r="V38" s="382"/>
      <c r="W38" s="382"/>
      <c r="X38" s="382"/>
      <c r="Y38" s="382"/>
      <c r="Z38" s="382"/>
      <c r="AA38" s="383"/>
      <c r="AB38" s="382"/>
      <c r="AC38" s="382"/>
      <c r="AD38" s="382"/>
      <c r="AE38" s="382"/>
      <c r="AF38" s="382"/>
      <c r="AG38" s="382"/>
      <c r="AH38" s="383"/>
      <c r="AI38" s="382"/>
      <c r="AJ38" s="382"/>
      <c r="AK38" s="382"/>
      <c r="AL38" s="89">
        <f t="shared" si="1"/>
        <v>0</v>
      </c>
      <c r="AM38" s="1013">
        <f t="shared" ref="AM38:AM69" si="4">F38*AL38</f>
        <v>0</v>
      </c>
      <c r="AN38"/>
      <c r="AO38"/>
      <c r="AP38"/>
    </row>
    <row r="39" spans="1:42" ht="20.100000000000001" customHeight="1">
      <c r="A39" s="5"/>
      <c r="B39" s="1407"/>
      <c r="C39" s="1480"/>
      <c r="D39" s="53" t="s">
        <v>118</v>
      </c>
      <c r="E39" s="17" t="s">
        <v>119</v>
      </c>
      <c r="F39" s="42">
        <v>2760</v>
      </c>
      <c r="G39" s="475"/>
      <c r="H39" s="475"/>
      <c r="I39" s="84"/>
      <c r="J39" s="84"/>
      <c r="K39" s="84"/>
      <c r="L39" s="84"/>
      <c r="M39" s="380"/>
      <c r="N39" s="84"/>
      <c r="O39" s="84"/>
      <c r="P39" s="84"/>
      <c r="Q39" s="84"/>
      <c r="R39" s="384"/>
      <c r="S39" s="84"/>
      <c r="T39" s="380"/>
      <c r="U39" s="84"/>
      <c r="V39" s="84"/>
      <c r="W39" s="84"/>
      <c r="X39" s="84"/>
      <c r="Y39" s="84"/>
      <c r="Z39" s="84"/>
      <c r="AA39" s="380"/>
      <c r="AB39" s="84"/>
      <c r="AC39" s="84"/>
      <c r="AD39" s="84"/>
      <c r="AE39" s="84"/>
      <c r="AF39" s="84"/>
      <c r="AG39" s="84"/>
      <c r="AH39" s="380"/>
      <c r="AI39" s="84"/>
      <c r="AJ39" s="84"/>
      <c r="AK39" s="84"/>
      <c r="AL39" s="19">
        <f t="shared" si="1"/>
        <v>0</v>
      </c>
      <c r="AM39" s="1012">
        <f t="shared" si="4"/>
        <v>0</v>
      </c>
      <c r="AN39"/>
      <c r="AO39"/>
      <c r="AP39"/>
    </row>
    <row r="40" spans="1:42" ht="20.100000000000001" customHeight="1">
      <c r="A40" s="5"/>
      <c r="B40" s="1407"/>
      <c r="C40" s="1480"/>
      <c r="D40" s="60" t="s">
        <v>120</v>
      </c>
      <c r="E40" s="43" t="s">
        <v>121</v>
      </c>
      <c r="F40" s="44">
        <v>2384</v>
      </c>
      <c r="G40" s="478"/>
      <c r="H40" s="478"/>
      <c r="I40" s="385"/>
      <c r="J40" s="385"/>
      <c r="K40" s="385"/>
      <c r="L40" s="385"/>
      <c r="M40" s="386"/>
      <c r="N40" s="385"/>
      <c r="O40" s="385"/>
      <c r="P40" s="385"/>
      <c r="Q40" s="385"/>
      <c r="R40" s="387"/>
      <c r="S40" s="385"/>
      <c r="T40" s="386"/>
      <c r="U40" s="385"/>
      <c r="V40" s="385"/>
      <c r="W40" s="385"/>
      <c r="X40" s="385"/>
      <c r="Y40" s="388"/>
      <c r="Z40" s="385"/>
      <c r="AA40" s="386"/>
      <c r="AB40" s="385"/>
      <c r="AC40" s="385"/>
      <c r="AD40" s="385"/>
      <c r="AE40" s="385"/>
      <c r="AF40" s="385"/>
      <c r="AG40" s="385"/>
      <c r="AH40" s="386"/>
      <c r="AI40" s="385"/>
      <c r="AJ40" s="385"/>
      <c r="AK40" s="385"/>
      <c r="AL40" s="19">
        <f t="shared" si="1"/>
        <v>0</v>
      </c>
      <c r="AM40" s="1012">
        <f t="shared" si="4"/>
        <v>0</v>
      </c>
    </row>
    <row r="41" spans="1:42" ht="20.100000000000001" customHeight="1">
      <c r="A41" s="5"/>
      <c r="B41" s="1407"/>
      <c r="C41" s="1480"/>
      <c r="D41" s="61" t="s">
        <v>122</v>
      </c>
      <c r="E41" s="4" t="s">
        <v>123</v>
      </c>
      <c r="F41" s="25">
        <v>2088</v>
      </c>
      <c r="G41" s="479"/>
      <c r="H41" s="479"/>
      <c r="I41" s="62"/>
      <c r="J41" s="62"/>
      <c r="K41" s="62"/>
      <c r="L41" s="62"/>
      <c r="M41" s="389"/>
      <c r="N41" s="62"/>
      <c r="O41" s="62"/>
      <c r="P41" s="62"/>
      <c r="Q41" s="62"/>
      <c r="R41" s="390"/>
      <c r="S41" s="62"/>
      <c r="T41" s="389"/>
      <c r="U41" s="62"/>
      <c r="V41" s="62"/>
      <c r="W41" s="62"/>
      <c r="X41" s="62"/>
      <c r="Y41" s="391"/>
      <c r="Z41" s="62"/>
      <c r="AA41" s="389"/>
      <c r="AB41" s="62"/>
      <c r="AC41" s="62"/>
      <c r="AD41" s="62"/>
      <c r="AE41" s="62"/>
      <c r="AF41" s="62"/>
      <c r="AG41" s="62"/>
      <c r="AH41" s="389"/>
      <c r="AI41" s="62"/>
      <c r="AJ41" s="62"/>
      <c r="AK41" s="62"/>
      <c r="AL41" s="19">
        <f t="shared" si="1"/>
        <v>0</v>
      </c>
      <c r="AM41" s="1012">
        <f t="shared" si="4"/>
        <v>0</v>
      </c>
    </row>
    <row r="42" spans="1:42" ht="20.100000000000001" customHeight="1">
      <c r="A42" s="5"/>
      <c r="B42" s="1407"/>
      <c r="C42" s="1480"/>
      <c r="D42" s="60" t="s">
        <v>124</v>
      </c>
      <c r="E42" s="43" t="s">
        <v>92</v>
      </c>
      <c r="F42" s="44">
        <v>1168</v>
      </c>
      <c r="G42" s="478"/>
      <c r="H42" s="478"/>
      <c r="I42" s="385"/>
      <c r="J42" s="385"/>
      <c r="K42" s="385"/>
      <c r="L42" s="385"/>
      <c r="M42" s="386"/>
      <c r="N42" s="385"/>
      <c r="O42" s="385"/>
      <c r="P42" s="385"/>
      <c r="Q42" s="385"/>
      <c r="R42" s="387"/>
      <c r="S42" s="385"/>
      <c r="T42" s="386"/>
      <c r="U42" s="385"/>
      <c r="V42" s="385"/>
      <c r="W42" s="385"/>
      <c r="X42" s="385"/>
      <c r="Y42" s="388"/>
      <c r="Z42" s="385"/>
      <c r="AA42" s="386"/>
      <c r="AB42" s="385"/>
      <c r="AC42" s="385"/>
      <c r="AD42" s="385"/>
      <c r="AE42" s="385"/>
      <c r="AF42" s="385"/>
      <c r="AG42" s="385"/>
      <c r="AH42" s="386"/>
      <c r="AI42" s="385"/>
      <c r="AJ42" s="385"/>
      <c r="AK42" s="385"/>
      <c r="AL42" s="19">
        <f t="shared" si="1"/>
        <v>0</v>
      </c>
      <c r="AM42" s="1012">
        <f t="shared" si="4"/>
        <v>0</v>
      </c>
    </row>
    <row r="43" spans="1:42" ht="20.100000000000001" customHeight="1" thickBot="1">
      <c r="A43" s="5"/>
      <c r="B43" s="70"/>
      <c r="C43" s="1481"/>
      <c r="D43" s="63" t="s">
        <v>125</v>
      </c>
      <c r="E43" s="64" t="s">
        <v>90</v>
      </c>
      <c r="F43" s="65">
        <v>1254</v>
      </c>
      <c r="G43" s="480"/>
      <c r="H43" s="480"/>
      <c r="I43" s="392"/>
      <c r="J43" s="392"/>
      <c r="K43" s="392"/>
      <c r="L43" s="392"/>
      <c r="M43" s="393"/>
      <c r="N43" s="392"/>
      <c r="O43" s="392"/>
      <c r="P43" s="392"/>
      <c r="Q43" s="392"/>
      <c r="R43" s="394"/>
      <c r="S43" s="392"/>
      <c r="T43" s="393"/>
      <c r="U43" s="392"/>
      <c r="V43" s="392"/>
      <c r="W43" s="392"/>
      <c r="X43" s="392"/>
      <c r="Y43" s="394"/>
      <c r="Z43" s="392"/>
      <c r="AA43" s="393"/>
      <c r="AB43" s="392"/>
      <c r="AC43" s="392"/>
      <c r="AD43" s="392"/>
      <c r="AE43" s="392"/>
      <c r="AF43" s="392"/>
      <c r="AG43" s="392"/>
      <c r="AH43" s="393"/>
      <c r="AI43" s="392"/>
      <c r="AJ43" s="392"/>
      <c r="AK43" s="392"/>
      <c r="AL43" s="90">
        <f t="shared" si="1"/>
        <v>0</v>
      </c>
      <c r="AM43" s="1011">
        <f t="shared" si="4"/>
        <v>0</v>
      </c>
    </row>
    <row r="44" spans="1:42" ht="20.100000000000001" customHeight="1">
      <c r="A44" s="5"/>
      <c r="B44" s="1406" t="s">
        <v>126</v>
      </c>
      <c r="C44" s="1479"/>
      <c r="D44" s="66" t="s">
        <v>127</v>
      </c>
      <c r="E44" s="35" t="s">
        <v>128</v>
      </c>
      <c r="F44" s="36">
        <v>1244</v>
      </c>
      <c r="G44" s="481"/>
      <c r="H44" s="481"/>
      <c r="I44" s="81"/>
      <c r="J44" s="81"/>
      <c r="K44" s="81"/>
      <c r="L44" s="81"/>
      <c r="M44" s="395"/>
      <c r="N44" s="81"/>
      <c r="O44" s="81"/>
      <c r="P44" s="81"/>
      <c r="Q44" s="81"/>
      <c r="R44" s="396"/>
      <c r="S44" s="81"/>
      <c r="T44" s="395"/>
      <c r="U44" s="81"/>
      <c r="V44" s="81"/>
      <c r="W44" s="81"/>
      <c r="X44" s="81"/>
      <c r="Y44" s="396"/>
      <c r="Z44" s="81"/>
      <c r="AA44" s="395"/>
      <c r="AB44" s="81"/>
      <c r="AC44" s="81"/>
      <c r="AD44" s="81"/>
      <c r="AE44" s="81"/>
      <c r="AF44" s="81"/>
      <c r="AG44" s="81"/>
      <c r="AH44" s="395"/>
      <c r="AI44" s="81"/>
      <c r="AJ44" s="81"/>
      <c r="AK44" s="81"/>
      <c r="AL44" s="89">
        <f t="shared" si="1"/>
        <v>0</v>
      </c>
      <c r="AM44" s="1013">
        <f t="shared" si="4"/>
        <v>0</v>
      </c>
    </row>
    <row r="45" spans="1:42" ht="20.100000000000001" customHeight="1">
      <c r="A45" s="5"/>
      <c r="B45" s="1407"/>
      <c r="C45" s="1480"/>
      <c r="D45" s="61" t="s">
        <v>129</v>
      </c>
      <c r="E45" s="4" t="s">
        <v>130</v>
      </c>
      <c r="F45" s="25">
        <v>1248</v>
      </c>
      <c r="G45" s="479"/>
      <c r="H45" s="479"/>
      <c r="I45" s="62"/>
      <c r="J45" s="62"/>
      <c r="K45" s="62"/>
      <c r="L45" s="62"/>
      <c r="M45" s="389"/>
      <c r="N45" s="62"/>
      <c r="O45" s="62"/>
      <c r="P45" s="62"/>
      <c r="Q45" s="62"/>
      <c r="R45" s="390"/>
      <c r="S45" s="62"/>
      <c r="T45" s="389"/>
      <c r="U45" s="62"/>
      <c r="V45" s="62"/>
      <c r="W45" s="62"/>
      <c r="X45" s="62"/>
      <c r="Y45" s="397"/>
      <c r="Z45" s="62"/>
      <c r="AA45" s="389"/>
      <c r="AB45" s="62"/>
      <c r="AC45" s="62"/>
      <c r="AD45" s="62"/>
      <c r="AE45" s="62"/>
      <c r="AF45" s="62"/>
      <c r="AG45" s="62"/>
      <c r="AH45" s="389"/>
      <c r="AI45" s="62"/>
      <c r="AJ45" s="62"/>
      <c r="AK45" s="62"/>
      <c r="AL45" s="19">
        <f t="shared" si="1"/>
        <v>0</v>
      </c>
      <c r="AM45" s="1012">
        <f t="shared" si="4"/>
        <v>0</v>
      </c>
    </row>
    <row r="46" spans="1:42" ht="20.100000000000001" customHeight="1">
      <c r="A46" s="5"/>
      <c r="B46" s="1407"/>
      <c r="C46" s="1480"/>
      <c r="D46" s="60" t="s">
        <v>131</v>
      </c>
      <c r="E46" s="43" t="s">
        <v>132</v>
      </c>
      <c r="F46" s="44">
        <v>1277</v>
      </c>
      <c r="G46" s="478"/>
      <c r="H46" s="478"/>
      <c r="I46" s="385"/>
      <c r="J46" s="385"/>
      <c r="K46" s="385"/>
      <c r="L46" s="385"/>
      <c r="M46" s="386"/>
      <c r="N46" s="385"/>
      <c r="O46" s="385"/>
      <c r="P46" s="385"/>
      <c r="Q46" s="385"/>
      <c r="R46" s="388"/>
      <c r="S46" s="385"/>
      <c r="T46" s="386"/>
      <c r="U46" s="385"/>
      <c r="V46" s="385"/>
      <c r="W46" s="385"/>
      <c r="X46" s="385"/>
      <c r="Y46" s="388"/>
      <c r="Z46" s="385"/>
      <c r="AA46" s="386"/>
      <c r="AB46" s="385"/>
      <c r="AC46" s="385"/>
      <c r="AD46" s="385"/>
      <c r="AE46" s="385"/>
      <c r="AF46" s="385"/>
      <c r="AG46" s="385"/>
      <c r="AH46" s="386"/>
      <c r="AI46" s="385"/>
      <c r="AJ46" s="385"/>
      <c r="AK46" s="385"/>
      <c r="AL46" s="19">
        <f t="shared" si="1"/>
        <v>0</v>
      </c>
      <c r="AM46" s="1012">
        <f t="shared" si="4"/>
        <v>0</v>
      </c>
    </row>
    <row r="47" spans="1:42" ht="20.100000000000001" customHeight="1">
      <c r="A47" s="5"/>
      <c r="B47" s="1407"/>
      <c r="C47" s="1480"/>
      <c r="D47" s="53" t="s">
        <v>133</v>
      </c>
      <c r="E47" s="17" t="s">
        <v>134</v>
      </c>
      <c r="F47" s="42">
        <v>1516</v>
      </c>
      <c r="G47" s="475"/>
      <c r="H47" s="475"/>
      <c r="I47" s="84"/>
      <c r="J47" s="84"/>
      <c r="K47" s="84"/>
      <c r="L47" s="84"/>
      <c r="M47" s="380"/>
      <c r="N47" s="84"/>
      <c r="O47" s="84"/>
      <c r="P47" s="84"/>
      <c r="Q47" s="84"/>
      <c r="R47" s="398"/>
      <c r="S47" s="84"/>
      <c r="T47" s="380"/>
      <c r="U47" s="84"/>
      <c r="V47" s="84"/>
      <c r="W47" s="84"/>
      <c r="X47" s="84"/>
      <c r="Y47" s="398"/>
      <c r="Z47" s="84"/>
      <c r="AA47" s="380"/>
      <c r="AB47" s="84"/>
      <c r="AC47" s="84"/>
      <c r="AD47" s="84"/>
      <c r="AE47" s="84"/>
      <c r="AF47" s="84"/>
      <c r="AG47" s="84"/>
      <c r="AH47" s="380"/>
      <c r="AI47" s="84"/>
      <c r="AJ47" s="84"/>
      <c r="AK47" s="84"/>
      <c r="AL47" s="19">
        <f t="shared" si="1"/>
        <v>0</v>
      </c>
      <c r="AM47" s="1012">
        <f t="shared" si="4"/>
        <v>0</v>
      </c>
    </row>
    <row r="48" spans="1:42" ht="20.100000000000001" customHeight="1">
      <c r="A48" s="5"/>
      <c r="B48" s="1407"/>
      <c r="C48" s="1480"/>
      <c r="D48" s="67" t="s">
        <v>135</v>
      </c>
      <c r="E48" s="3" t="s">
        <v>136</v>
      </c>
      <c r="F48" s="21">
        <v>1516</v>
      </c>
      <c r="G48" s="482"/>
      <c r="H48" s="482"/>
      <c r="I48" s="68"/>
      <c r="J48" s="68"/>
      <c r="K48" s="68"/>
      <c r="L48" s="68"/>
      <c r="M48" s="399"/>
      <c r="N48" s="68"/>
      <c r="O48" s="68"/>
      <c r="P48" s="68"/>
      <c r="Q48" s="68"/>
      <c r="R48" s="400"/>
      <c r="S48" s="68"/>
      <c r="T48" s="399"/>
      <c r="U48" s="68"/>
      <c r="V48" s="68"/>
      <c r="W48" s="68"/>
      <c r="X48" s="68"/>
      <c r="Y48" s="400"/>
      <c r="Z48" s="68"/>
      <c r="AA48" s="399"/>
      <c r="AB48" s="68"/>
      <c r="AC48" s="68"/>
      <c r="AD48" s="68"/>
      <c r="AE48" s="68"/>
      <c r="AF48" s="68"/>
      <c r="AG48" s="68"/>
      <c r="AH48" s="399"/>
      <c r="AI48" s="68"/>
      <c r="AJ48" s="68"/>
      <c r="AK48" s="68"/>
      <c r="AL48" s="19">
        <f t="shared" si="1"/>
        <v>0</v>
      </c>
      <c r="AM48" s="1012">
        <f t="shared" si="4"/>
        <v>0</v>
      </c>
    </row>
    <row r="49" spans="1:39" ht="20.100000000000001" customHeight="1">
      <c r="A49" s="5"/>
      <c r="B49" s="1407"/>
      <c r="C49" s="1480"/>
      <c r="D49" s="61" t="s">
        <v>137</v>
      </c>
      <c r="E49" s="4" t="s">
        <v>138</v>
      </c>
      <c r="F49" s="25">
        <v>66</v>
      </c>
      <c r="G49" s="479"/>
      <c r="H49" s="479"/>
      <c r="I49" s="62"/>
      <c r="J49" s="62"/>
      <c r="K49" s="62"/>
      <c r="L49" s="62"/>
      <c r="M49" s="389"/>
      <c r="N49" s="62"/>
      <c r="O49" s="62"/>
      <c r="P49" s="62"/>
      <c r="Q49" s="62"/>
      <c r="R49" s="397"/>
      <c r="S49" s="62"/>
      <c r="T49" s="389"/>
      <c r="U49" s="62"/>
      <c r="V49" s="62"/>
      <c r="W49" s="62"/>
      <c r="X49" s="62"/>
      <c r="Y49" s="397"/>
      <c r="Z49" s="62"/>
      <c r="AA49" s="389"/>
      <c r="AB49" s="62"/>
      <c r="AC49" s="62"/>
      <c r="AD49" s="62"/>
      <c r="AE49" s="62"/>
      <c r="AF49" s="62"/>
      <c r="AG49" s="62"/>
      <c r="AH49" s="389"/>
      <c r="AI49" s="62"/>
      <c r="AJ49" s="62"/>
      <c r="AK49" s="62"/>
      <c r="AL49" s="19">
        <f t="shared" si="1"/>
        <v>0</v>
      </c>
      <c r="AM49" s="1012">
        <f t="shared" si="4"/>
        <v>0</v>
      </c>
    </row>
    <row r="50" spans="1:39" ht="20.100000000000001" customHeight="1" thickBot="1">
      <c r="A50" s="5"/>
      <c r="B50" s="70"/>
      <c r="C50" s="1481"/>
      <c r="D50" s="69" t="s">
        <v>139</v>
      </c>
      <c r="E50" s="29" t="s">
        <v>140</v>
      </c>
      <c r="F50" s="30">
        <v>1517</v>
      </c>
      <c r="G50" s="483"/>
      <c r="H50" s="483"/>
      <c r="I50" s="401"/>
      <c r="J50" s="401"/>
      <c r="K50" s="401"/>
      <c r="L50" s="401"/>
      <c r="M50" s="402"/>
      <c r="N50" s="401"/>
      <c r="O50" s="401"/>
      <c r="P50" s="401"/>
      <c r="Q50" s="401"/>
      <c r="R50" s="403"/>
      <c r="S50" s="401"/>
      <c r="T50" s="402"/>
      <c r="U50" s="401"/>
      <c r="V50" s="401"/>
      <c r="W50" s="401"/>
      <c r="X50" s="401"/>
      <c r="Y50" s="403"/>
      <c r="Z50" s="401"/>
      <c r="AA50" s="402"/>
      <c r="AB50" s="401"/>
      <c r="AC50" s="401"/>
      <c r="AD50" s="401"/>
      <c r="AE50" s="401"/>
      <c r="AF50" s="401"/>
      <c r="AG50" s="401"/>
      <c r="AH50" s="402"/>
      <c r="AI50" s="401"/>
      <c r="AJ50" s="401"/>
      <c r="AK50" s="401"/>
      <c r="AL50" s="90">
        <f t="shared" si="1"/>
        <v>0</v>
      </c>
      <c r="AM50" s="1011">
        <f t="shared" si="4"/>
        <v>0</v>
      </c>
    </row>
    <row r="51" spans="1:39" ht="20.100000000000001" customHeight="1" thickBot="1">
      <c r="A51" s="5"/>
      <c r="B51" s="70" t="s">
        <v>141</v>
      </c>
      <c r="C51" s="1482"/>
      <c r="D51" s="71" t="s">
        <v>142</v>
      </c>
      <c r="E51" s="72" t="s">
        <v>143</v>
      </c>
      <c r="F51" s="73">
        <v>1669</v>
      </c>
      <c r="G51" s="484"/>
      <c r="H51" s="484"/>
      <c r="I51" s="404"/>
      <c r="J51" s="404"/>
      <c r="K51" s="404"/>
      <c r="L51" s="404"/>
      <c r="M51" s="405"/>
      <c r="N51" s="404"/>
      <c r="O51" s="404"/>
      <c r="P51" s="404"/>
      <c r="Q51" s="404"/>
      <c r="R51" s="404"/>
      <c r="S51" s="404"/>
      <c r="T51" s="405"/>
      <c r="U51" s="404"/>
      <c r="V51" s="404"/>
      <c r="W51" s="404"/>
      <c r="X51" s="404"/>
      <c r="Y51" s="406"/>
      <c r="Z51" s="404"/>
      <c r="AA51" s="405"/>
      <c r="AB51" s="404"/>
      <c r="AC51" s="404"/>
      <c r="AD51" s="404"/>
      <c r="AE51" s="404"/>
      <c r="AF51" s="404"/>
      <c r="AG51" s="404"/>
      <c r="AH51" s="405"/>
      <c r="AI51" s="404"/>
      <c r="AJ51" s="404"/>
      <c r="AK51" s="404"/>
      <c r="AL51" s="90">
        <f t="shared" si="1"/>
        <v>0</v>
      </c>
      <c r="AM51" s="1014">
        <f t="shared" si="4"/>
        <v>0</v>
      </c>
    </row>
    <row r="52" spans="1:39" ht="20.100000000000001" customHeight="1" thickBot="1">
      <c r="A52" s="5"/>
      <c r="B52" s="74" t="s">
        <v>144</v>
      </c>
      <c r="C52" s="1483"/>
      <c r="D52" s="75" t="s">
        <v>145</v>
      </c>
      <c r="E52" s="76" t="s">
        <v>146</v>
      </c>
      <c r="F52" s="77">
        <v>1359</v>
      </c>
      <c r="G52" s="485"/>
      <c r="H52" s="485"/>
      <c r="I52" s="407"/>
      <c r="J52" s="407"/>
      <c r="K52" s="407"/>
      <c r="L52" s="407"/>
      <c r="M52" s="408"/>
      <c r="N52" s="407"/>
      <c r="O52" s="407"/>
      <c r="P52" s="407"/>
      <c r="Q52" s="407"/>
      <c r="R52" s="409"/>
      <c r="S52" s="407"/>
      <c r="T52" s="408"/>
      <c r="U52" s="407"/>
      <c r="V52" s="407"/>
      <c r="W52" s="407"/>
      <c r="X52" s="407"/>
      <c r="Y52" s="409"/>
      <c r="Z52" s="407"/>
      <c r="AA52" s="408"/>
      <c r="AB52" s="407"/>
      <c r="AC52" s="407"/>
      <c r="AD52" s="407"/>
      <c r="AE52" s="407"/>
      <c r="AF52" s="407"/>
      <c r="AG52" s="407"/>
      <c r="AH52" s="408"/>
      <c r="AI52" s="407"/>
      <c r="AJ52" s="407"/>
      <c r="AK52" s="407"/>
      <c r="AL52" s="90">
        <f t="shared" si="1"/>
        <v>0</v>
      </c>
      <c r="AM52" s="1013">
        <f t="shared" si="4"/>
        <v>0</v>
      </c>
    </row>
    <row r="53" spans="1:39" ht="20.100000000000001" customHeight="1">
      <c r="A53" s="5"/>
      <c r="B53" s="1406" t="s">
        <v>147</v>
      </c>
      <c r="C53" s="1479"/>
      <c r="D53" s="66" t="s">
        <v>148</v>
      </c>
      <c r="E53" s="35" t="s">
        <v>146</v>
      </c>
      <c r="F53" s="36">
        <v>1525</v>
      </c>
      <c r="G53" s="481"/>
      <c r="H53" s="481"/>
      <c r="I53" s="81"/>
      <c r="J53" s="81"/>
      <c r="K53" s="81"/>
      <c r="L53" s="81"/>
      <c r="M53" s="395"/>
      <c r="N53" s="81"/>
      <c r="O53" s="81"/>
      <c r="P53" s="81"/>
      <c r="Q53" s="81"/>
      <c r="R53" s="396"/>
      <c r="S53" s="81"/>
      <c r="T53" s="395"/>
      <c r="U53" s="81"/>
      <c r="V53" s="81"/>
      <c r="W53" s="81"/>
      <c r="X53" s="81"/>
      <c r="Y53" s="396"/>
      <c r="Z53" s="81"/>
      <c r="AA53" s="395"/>
      <c r="AB53" s="81"/>
      <c r="AC53" s="81"/>
      <c r="AD53" s="81"/>
      <c r="AE53" s="81"/>
      <c r="AF53" s="81"/>
      <c r="AG53" s="81"/>
      <c r="AH53" s="395"/>
      <c r="AI53" s="81"/>
      <c r="AJ53" s="81"/>
      <c r="AK53" s="81"/>
      <c r="AL53" s="89">
        <f t="shared" si="1"/>
        <v>0</v>
      </c>
      <c r="AM53" s="1013">
        <f t="shared" si="4"/>
        <v>0</v>
      </c>
    </row>
    <row r="54" spans="1:39" ht="20.100000000000001" customHeight="1">
      <c r="A54" s="5"/>
      <c r="B54" s="1407"/>
      <c r="C54" s="1480"/>
      <c r="D54" s="53" t="s">
        <v>149</v>
      </c>
      <c r="E54" s="17" t="s">
        <v>146</v>
      </c>
      <c r="F54" s="42">
        <v>246</v>
      </c>
      <c r="G54" s="475"/>
      <c r="H54" s="475"/>
      <c r="I54" s="84"/>
      <c r="J54" s="84"/>
      <c r="K54" s="84"/>
      <c r="L54" s="84"/>
      <c r="M54" s="380"/>
      <c r="N54" s="84"/>
      <c r="O54" s="84"/>
      <c r="P54" s="84"/>
      <c r="Q54" s="84"/>
      <c r="R54" s="398"/>
      <c r="S54" s="84"/>
      <c r="T54" s="380"/>
      <c r="U54" s="84"/>
      <c r="V54" s="84"/>
      <c r="W54" s="84"/>
      <c r="X54" s="84"/>
      <c r="Y54" s="398"/>
      <c r="Z54" s="84"/>
      <c r="AA54" s="380"/>
      <c r="AB54" s="84"/>
      <c r="AC54" s="84"/>
      <c r="AD54" s="84"/>
      <c r="AE54" s="84"/>
      <c r="AF54" s="84"/>
      <c r="AG54" s="84"/>
      <c r="AH54" s="380"/>
      <c r="AI54" s="84"/>
      <c r="AJ54" s="84"/>
      <c r="AK54" s="84"/>
      <c r="AL54" s="19">
        <f t="shared" si="1"/>
        <v>0</v>
      </c>
      <c r="AM54" s="1012">
        <f t="shared" si="4"/>
        <v>0</v>
      </c>
    </row>
    <row r="55" spans="1:39" ht="20.100000000000001" customHeight="1" thickBot="1">
      <c r="A55" s="5"/>
      <c r="B55" s="70"/>
      <c r="C55" s="1481"/>
      <c r="D55" s="55" t="s">
        <v>150</v>
      </c>
      <c r="E55" s="51" t="s">
        <v>146</v>
      </c>
      <c r="F55" s="56">
        <v>462</v>
      </c>
      <c r="G55" s="476"/>
      <c r="H55" s="476"/>
      <c r="I55" s="80"/>
      <c r="J55" s="80"/>
      <c r="K55" s="80"/>
      <c r="L55" s="80"/>
      <c r="M55" s="381"/>
      <c r="N55" s="80"/>
      <c r="O55" s="80"/>
      <c r="P55" s="80"/>
      <c r="Q55" s="80"/>
      <c r="R55" s="410"/>
      <c r="S55" s="80"/>
      <c r="T55" s="381"/>
      <c r="U55" s="80"/>
      <c r="V55" s="80"/>
      <c r="W55" s="80"/>
      <c r="X55" s="80"/>
      <c r="Y55" s="410"/>
      <c r="Z55" s="80"/>
      <c r="AA55" s="381"/>
      <c r="AB55" s="80"/>
      <c r="AC55" s="80"/>
      <c r="AD55" s="80"/>
      <c r="AE55" s="80"/>
      <c r="AF55" s="80"/>
      <c r="AG55" s="80"/>
      <c r="AH55" s="381"/>
      <c r="AI55" s="80"/>
      <c r="AJ55" s="80"/>
      <c r="AK55" s="80"/>
      <c r="AL55" s="90">
        <f t="shared" si="1"/>
        <v>0</v>
      </c>
      <c r="AM55" s="1011">
        <f t="shared" si="4"/>
        <v>0</v>
      </c>
    </row>
    <row r="56" spans="1:39" ht="20.100000000000001" customHeight="1">
      <c r="A56" s="5"/>
      <c r="B56" s="1406" t="s">
        <v>151</v>
      </c>
      <c r="C56" s="1479"/>
      <c r="D56" s="66" t="s">
        <v>152</v>
      </c>
      <c r="E56" s="35" t="s">
        <v>153</v>
      </c>
      <c r="F56" s="36">
        <v>456</v>
      </c>
      <c r="G56" s="481"/>
      <c r="H56" s="481"/>
      <c r="I56" s="81"/>
      <c r="J56" s="81"/>
      <c r="K56" s="81"/>
      <c r="L56" s="81"/>
      <c r="M56" s="395"/>
      <c r="N56" s="81"/>
      <c r="O56" s="81"/>
      <c r="P56" s="81"/>
      <c r="Q56" s="81"/>
      <c r="R56" s="396"/>
      <c r="S56" s="81"/>
      <c r="T56" s="395"/>
      <c r="U56" s="81"/>
      <c r="V56" s="81"/>
      <c r="W56" s="81"/>
      <c r="X56" s="81"/>
      <c r="Y56" s="396"/>
      <c r="Z56" s="81"/>
      <c r="AA56" s="395"/>
      <c r="AB56" s="81"/>
      <c r="AC56" s="81"/>
      <c r="AD56" s="81"/>
      <c r="AE56" s="81"/>
      <c r="AF56" s="81"/>
      <c r="AG56" s="81"/>
      <c r="AH56" s="395"/>
      <c r="AI56" s="81"/>
      <c r="AJ56" s="81"/>
      <c r="AK56" s="81"/>
      <c r="AL56" s="89">
        <f t="shared" si="1"/>
        <v>0</v>
      </c>
      <c r="AM56" s="1013">
        <f t="shared" si="4"/>
        <v>0</v>
      </c>
    </row>
    <row r="57" spans="1:39" ht="20.100000000000001" customHeight="1" thickBot="1">
      <c r="A57" s="5"/>
      <c r="B57" s="70"/>
      <c r="C57" s="1481"/>
      <c r="D57" s="55" t="s">
        <v>154</v>
      </c>
      <c r="E57" s="51" t="s">
        <v>155</v>
      </c>
      <c r="F57" s="56">
        <v>1</v>
      </c>
      <c r="G57" s="476"/>
      <c r="H57" s="476"/>
      <c r="I57" s="80"/>
      <c r="J57" s="80"/>
      <c r="K57" s="80"/>
      <c r="L57" s="80"/>
      <c r="M57" s="381"/>
      <c r="N57" s="80"/>
      <c r="O57" s="80"/>
      <c r="P57" s="80"/>
      <c r="Q57" s="80"/>
      <c r="R57" s="410"/>
      <c r="S57" s="80"/>
      <c r="T57" s="381"/>
      <c r="U57" s="80"/>
      <c r="V57" s="80"/>
      <c r="W57" s="80"/>
      <c r="X57" s="80"/>
      <c r="Y57" s="410"/>
      <c r="Z57" s="80"/>
      <c r="AA57" s="381"/>
      <c r="AB57" s="80"/>
      <c r="AC57" s="80"/>
      <c r="AD57" s="80"/>
      <c r="AE57" s="80"/>
      <c r="AF57" s="80"/>
      <c r="AG57" s="80"/>
      <c r="AH57" s="381"/>
      <c r="AI57" s="80"/>
      <c r="AJ57" s="80"/>
      <c r="AK57" s="80"/>
      <c r="AL57" s="90">
        <f t="shared" si="1"/>
        <v>0</v>
      </c>
      <c r="AM57" s="1011">
        <f t="shared" si="4"/>
        <v>0</v>
      </c>
    </row>
    <row r="58" spans="1:39" ht="20.100000000000001" customHeight="1" thickBot="1">
      <c r="A58" s="5"/>
      <c r="B58" s="74" t="s">
        <v>156</v>
      </c>
      <c r="C58" s="1484"/>
      <c r="D58" s="78" t="s">
        <v>157</v>
      </c>
      <c r="E58" s="76" t="s">
        <v>155</v>
      </c>
      <c r="F58" s="77">
        <v>1525</v>
      </c>
      <c r="G58" s="485"/>
      <c r="H58" s="485"/>
      <c r="I58" s="407"/>
      <c r="J58" s="407"/>
      <c r="K58" s="407"/>
      <c r="L58" s="407"/>
      <c r="M58" s="408"/>
      <c r="N58" s="407"/>
      <c r="O58" s="407"/>
      <c r="P58" s="407"/>
      <c r="Q58" s="407"/>
      <c r="R58" s="409"/>
      <c r="S58" s="407"/>
      <c r="T58" s="408"/>
      <c r="U58" s="407"/>
      <c r="V58" s="407"/>
      <c r="W58" s="407"/>
      <c r="X58" s="407"/>
      <c r="Y58" s="409"/>
      <c r="Z58" s="407"/>
      <c r="AA58" s="408"/>
      <c r="AB58" s="407"/>
      <c r="AC58" s="407"/>
      <c r="AD58" s="407"/>
      <c r="AE58" s="407"/>
      <c r="AF58" s="407"/>
      <c r="AG58" s="407"/>
      <c r="AH58" s="408"/>
      <c r="AI58" s="407"/>
      <c r="AJ58" s="407"/>
      <c r="AK58" s="407"/>
      <c r="AL58" s="90">
        <f t="shared" si="1"/>
        <v>0</v>
      </c>
      <c r="AM58" s="1015">
        <f t="shared" si="4"/>
        <v>0</v>
      </c>
    </row>
    <row r="59" spans="1:39" ht="20.100000000000001" customHeight="1" thickBot="1">
      <c r="A59" s="5"/>
      <c r="B59" s="70" t="s">
        <v>158</v>
      </c>
      <c r="C59" s="1481"/>
      <c r="D59" s="79" t="s">
        <v>159</v>
      </c>
      <c r="E59" s="72" t="s">
        <v>158</v>
      </c>
      <c r="F59" s="77">
        <v>948</v>
      </c>
      <c r="G59" s="484"/>
      <c r="H59" s="484"/>
      <c r="I59" s="404"/>
      <c r="J59" s="404"/>
      <c r="K59" s="404"/>
      <c r="L59" s="404"/>
      <c r="M59" s="405"/>
      <c r="N59" s="404"/>
      <c r="O59" s="404"/>
      <c r="P59" s="404"/>
      <c r="Q59" s="404"/>
      <c r="R59" s="406"/>
      <c r="S59" s="404"/>
      <c r="T59" s="405"/>
      <c r="U59" s="404"/>
      <c r="V59" s="404"/>
      <c r="W59" s="404"/>
      <c r="X59" s="404"/>
      <c r="Y59" s="406"/>
      <c r="Z59" s="404"/>
      <c r="AA59" s="405"/>
      <c r="AB59" s="404"/>
      <c r="AC59" s="404"/>
      <c r="AD59" s="404"/>
      <c r="AE59" s="404"/>
      <c r="AF59" s="404"/>
      <c r="AG59" s="404"/>
      <c r="AH59" s="405"/>
      <c r="AI59" s="404"/>
      <c r="AJ59" s="405"/>
      <c r="AK59" s="404"/>
      <c r="AL59" s="90">
        <f t="shared" si="1"/>
        <v>0</v>
      </c>
      <c r="AM59" s="1015">
        <f t="shared" si="4"/>
        <v>0</v>
      </c>
    </row>
    <row r="60" spans="1:39" ht="20.100000000000001" customHeight="1" thickBot="1">
      <c r="A60" s="5"/>
      <c r="B60" s="70" t="s">
        <v>88</v>
      </c>
      <c r="C60" s="1481"/>
      <c r="D60" s="79" t="s">
        <v>160</v>
      </c>
      <c r="E60" s="80" t="s">
        <v>161</v>
      </c>
      <c r="F60" s="73">
        <v>1532</v>
      </c>
      <c r="G60" s="484"/>
      <c r="H60" s="484"/>
      <c r="I60" s="404"/>
      <c r="J60" s="404"/>
      <c r="K60" s="404"/>
      <c r="L60" s="404"/>
      <c r="M60" s="405"/>
      <c r="N60" s="404"/>
      <c r="O60" s="404"/>
      <c r="P60" s="404"/>
      <c r="Q60" s="404"/>
      <c r="R60" s="406"/>
      <c r="S60" s="404"/>
      <c r="T60" s="405"/>
      <c r="U60" s="404"/>
      <c r="V60" s="404"/>
      <c r="W60" s="404"/>
      <c r="X60" s="404"/>
      <c r="Y60" s="406"/>
      <c r="Z60" s="404"/>
      <c r="AA60" s="405"/>
      <c r="AB60" s="404"/>
      <c r="AC60" s="404"/>
      <c r="AD60" s="404"/>
      <c r="AE60" s="404"/>
      <c r="AF60" s="404"/>
      <c r="AG60" s="404"/>
      <c r="AH60" s="405"/>
      <c r="AI60" s="404"/>
      <c r="AJ60" s="405"/>
      <c r="AK60" s="404"/>
      <c r="AL60" s="90">
        <f t="shared" si="1"/>
        <v>0</v>
      </c>
      <c r="AM60" s="1016">
        <f t="shared" si="4"/>
        <v>0</v>
      </c>
    </row>
    <row r="61" spans="1:39" ht="20.100000000000001" customHeight="1">
      <c r="A61" s="5"/>
      <c r="B61" s="1406" t="s">
        <v>162</v>
      </c>
      <c r="C61" s="1479"/>
      <c r="D61" s="66" t="s">
        <v>163</v>
      </c>
      <c r="E61" s="81" t="s">
        <v>164</v>
      </c>
      <c r="F61" s="36">
        <v>1058</v>
      </c>
      <c r="G61" s="481"/>
      <c r="H61" s="481"/>
      <c r="I61" s="81"/>
      <c r="J61" s="81"/>
      <c r="K61" s="81"/>
      <c r="L61" s="81"/>
      <c r="M61" s="395"/>
      <c r="N61" s="81"/>
      <c r="O61" s="81"/>
      <c r="P61" s="81"/>
      <c r="Q61" s="81"/>
      <c r="R61" s="81"/>
      <c r="S61" s="81"/>
      <c r="T61" s="395"/>
      <c r="U61" s="81"/>
      <c r="V61" s="81"/>
      <c r="W61" s="81"/>
      <c r="X61" s="81"/>
      <c r="Y61" s="81"/>
      <c r="Z61" s="81"/>
      <c r="AA61" s="395"/>
      <c r="AB61" s="81"/>
      <c r="AC61" s="81"/>
      <c r="AD61" s="81"/>
      <c r="AE61" s="81"/>
      <c r="AF61" s="81"/>
      <c r="AG61" s="81"/>
      <c r="AH61" s="395"/>
      <c r="AI61" s="81"/>
      <c r="AJ61" s="395"/>
      <c r="AK61" s="81"/>
      <c r="AL61" s="89">
        <f t="shared" si="1"/>
        <v>0</v>
      </c>
      <c r="AM61" s="1017">
        <f t="shared" si="4"/>
        <v>0</v>
      </c>
    </row>
    <row r="62" spans="1:39" ht="20.100000000000001" customHeight="1">
      <c r="A62" s="5"/>
      <c r="B62" s="1407"/>
      <c r="C62" s="1480"/>
      <c r="D62" s="67" t="s">
        <v>165</v>
      </c>
      <c r="E62" s="68" t="s">
        <v>166</v>
      </c>
      <c r="F62" s="21">
        <v>1060</v>
      </c>
      <c r="G62" s="482"/>
      <c r="H62" s="482"/>
      <c r="I62" s="68"/>
      <c r="J62" s="68"/>
      <c r="K62" s="68"/>
      <c r="L62" s="68"/>
      <c r="M62" s="399"/>
      <c r="N62" s="68"/>
      <c r="O62" s="68"/>
      <c r="P62" s="68"/>
      <c r="Q62" s="68"/>
      <c r="R62" s="68"/>
      <c r="S62" s="68"/>
      <c r="T62" s="399"/>
      <c r="U62" s="68"/>
      <c r="V62" s="68"/>
      <c r="W62" s="68"/>
      <c r="X62" s="68"/>
      <c r="Y62" s="68"/>
      <c r="Z62" s="68"/>
      <c r="AA62" s="399"/>
      <c r="AB62" s="68"/>
      <c r="AC62" s="68"/>
      <c r="AD62" s="68"/>
      <c r="AE62" s="68"/>
      <c r="AF62" s="68"/>
      <c r="AG62" s="68"/>
      <c r="AH62" s="399"/>
      <c r="AI62" s="68"/>
      <c r="AJ62" s="399"/>
      <c r="AK62" s="68"/>
      <c r="AL62" s="19">
        <f t="shared" si="1"/>
        <v>0</v>
      </c>
      <c r="AM62" s="1018">
        <f t="shared" si="4"/>
        <v>0</v>
      </c>
    </row>
    <row r="63" spans="1:39" ht="20.100000000000001" customHeight="1">
      <c r="A63" s="5"/>
      <c r="B63" s="1407"/>
      <c r="C63" s="1480"/>
      <c r="D63" s="61" t="s">
        <v>167</v>
      </c>
      <c r="E63" s="62" t="s">
        <v>168</v>
      </c>
      <c r="F63" s="25">
        <v>1642</v>
      </c>
      <c r="G63" s="479"/>
      <c r="H63" s="479"/>
      <c r="I63" s="62"/>
      <c r="J63" s="62"/>
      <c r="K63" s="62"/>
      <c r="L63" s="62"/>
      <c r="M63" s="389"/>
      <c r="N63" s="62"/>
      <c r="O63" s="62"/>
      <c r="P63" s="62"/>
      <c r="Q63" s="62"/>
      <c r="R63" s="62"/>
      <c r="S63" s="62"/>
      <c r="T63" s="389"/>
      <c r="U63" s="62"/>
      <c r="V63" s="62"/>
      <c r="W63" s="62"/>
      <c r="X63" s="62"/>
      <c r="Y63" s="62"/>
      <c r="Z63" s="62"/>
      <c r="AA63" s="389"/>
      <c r="AB63" s="62"/>
      <c r="AC63" s="62"/>
      <c r="AD63" s="62"/>
      <c r="AE63" s="62"/>
      <c r="AF63" s="62"/>
      <c r="AG63" s="62"/>
      <c r="AH63" s="389"/>
      <c r="AI63" s="62"/>
      <c r="AJ63" s="389"/>
      <c r="AK63" s="62"/>
      <c r="AL63" s="19">
        <f t="shared" si="1"/>
        <v>0</v>
      </c>
      <c r="AM63" s="1018">
        <f t="shared" si="4"/>
        <v>0</v>
      </c>
    </row>
    <row r="64" spans="1:39" ht="20.100000000000001" customHeight="1" thickBot="1">
      <c r="A64" s="5"/>
      <c r="B64" s="70"/>
      <c r="C64" s="1481"/>
      <c r="D64" s="69" t="s">
        <v>169</v>
      </c>
      <c r="E64" s="82" t="s">
        <v>170</v>
      </c>
      <c r="F64" s="83">
        <v>1642</v>
      </c>
      <c r="G64" s="486"/>
      <c r="H64" s="486"/>
      <c r="I64" s="82"/>
      <c r="J64" s="82"/>
      <c r="K64" s="82"/>
      <c r="L64" s="82"/>
      <c r="M64" s="411"/>
      <c r="N64" s="82"/>
      <c r="O64" s="82"/>
      <c r="P64" s="82"/>
      <c r="Q64" s="1070"/>
      <c r="R64" s="1070"/>
      <c r="S64" s="1070"/>
      <c r="T64" s="1071"/>
      <c r="U64" s="1070"/>
      <c r="V64" s="82"/>
      <c r="W64" s="82"/>
      <c r="X64" s="82"/>
      <c r="Y64" s="82"/>
      <c r="Z64" s="82"/>
      <c r="AA64" s="411"/>
      <c r="AB64" s="82"/>
      <c r="AC64" s="82"/>
      <c r="AD64" s="82"/>
      <c r="AE64" s="82"/>
      <c r="AF64" s="82"/>
      <c r="AG64" s="82"/>
      <c r="AH64" s="411"/>
      <c r="AI64" s="82"/>
      <c r="AJ64" s="411"/>
      <c r="AK64" s="82"/>
      <c r="AL64" s="90">
        <f t="shared" si="1"/>
        <v>0</v>
      </c>
      <c r="AM64" s="1019">
        <f t="shared" si="4"/>
        <v>0</v>
      </c>
    </row>
    <row r="65" spans="1:39" ht="20.100000000000001" customHeight="1">
      <c r="A65" s="5"/>
      <c r="B65" s="1406" t="s">
        <v>599</v>
      </c>
      <c r="C65" s="1479"/>
      <c r="D65" s="66" t="s">
        <v>0</v>
      </c>
      <c r="E65" s="81" t="s">
        <v>172</v>
      </c>
      <c r="F65" s="36">
        <v>1652</v>
      </c>
      <c r="G65" s="481"/>
      <c r="H65" s="81"/>
      <c r="I65" s="81"/>
      <c r="J65" s="81"/>
      <c r="K65" s="81"/>
      <c r="L65" s="81"/>
      <c r="M65" s="395"/>
      <c r="N65" s="81"/>
      <c r="O65" s="81"/>
      <c r="P65" s="81"/>
      <c r="Q65" s="1072"/>
      <c r="R65" s="1072"/>
      <c r="S65" s="1072"/>
      <c r="T65" s="1073"/>
      <c r="U65" s="1072"/>
      <c r="V65" s="81"/>
      <c r="W65" s="81"/>
      <c r="X65" s="81"/>
      <c r="Y65" s="396"/>
      <c r="Z65" s="81"/>
      <c r="AA65" s="395"/>
      <c r="AB65" s="81"/>
      <c r="AC65" s="81"/>
      <c r="AD65" s="81"/>
      <c r="AE65" s="81"/>
      <c r="AF65" s="81"/>
      <c r="AG65" s="81"/>
      <c r="AH65" s="395"/>
      <c r="AI65" s="81"/>
      <c r="AJ65" s="395"/>
      <c r="AK65" s="81"/>
      <c r="AL65" s="89">
        <f t="shared" si="1"/>
        <v>0</v>
      </c>
      <c r="AM65" s="1020">
        <f t="shared" si="4"/>
        <v>0</v>
      </c>
    </row>
    <row r="66" spans="1:39" ht="20.100000000000001" customHeight="1">
      <c r="A66" s="5"/>
      <c r="B66" s="1407"/>
      <c r="C66" s="1480"/>
      <c r="D66" s="53" t="s">
        <v>1</v>
      </c>
      <c r="E66" s="84" t="s">
        <v>2</v>
      </c>
      <c r="F66" s="42">
        <v>1652</v>
      </c>
      <c r="G66" s="475"/>
      <c r="H66" s="84"/>
      <c r="I66" s="84"/>
      <c r="J66" s="84"/>
      <c r="K66" s="84"/>
      <c r="L66" s="84"/>
      <c r="M66" s="380"/>
      <c r="N66" s="84"/>
      <c r="O66" s="84"/>
      <c r="P66" s="84"/>
      <c r="Q66" s="1074"/>
      <c r="R66" s="1074"/>
      <c r="S66" s="1074"/>
      <c r="T66" s="1075"/>
      <c r="U66" s="1074"/>
      <c r="V66" s="84"/>
      <c r="W66" s="84"/>
      <c r="X66" s="84"/>
      <c r="Y66" s="398"/>
      <c r="Z66" s="84"/>
      <c r="AA66" s="380"/>
      <c r="AB66" s="84"/>
      <c r="AC66" s="84"/>
      <c r="AD66" s="84"/>
      <c r="AE66" s="84"/>
      <c r="AF66" s="84"/>
      <c r="AG66" s="84"/>
      <c r="AH66" s="380"/>
      <c r="AI66" s="84"/>
      <c r="AJ66" s="380"/>
      <c r="AK66" s="84"/>
      <c r="AL66" s="19">
        <f t="shared" si="1"/>
        <v>0</v>
      </c>
      <c r="AM66" s="1021">
        <f t="shared" si="4"/>
        <v>0</v>
      </c>
    </row>
    <row r="67" spans="1:39" ht="20.100000000000001" customHeight="1" thickBot="1">
      <c r="A67" s="5"/>
      <c r="B67" s="70"/>
      <c r="C67" s="1480"/>
      <c r="D67" s="85" t="s">
        <v>173</v>
      </c>
      <c r="E67" s="86" t="s">
        <v>174</v>
      </c>
      <c r="F67" s="52">
        <v>1314</v>
      </c>
      <c r="G67" s="487"/>
      <c r="H67" s="86"/>
      <c r="I67" s="86"/>
      <c r="J67" s="86"/>
      <c r="K67" s="86"/>
      <c r="L67" s="86"/>
      <c r="M67" s="412"/>
      <c r="N67" s="86"/>
      <c r="O67" s="86"/>
      <c r="P67" s="86"/>
      <c r="Q67" s="86"/>
      <c r="R67" s="413"/>
      <c r="S67" s="86"/>
      <c r="T67" s="412"/>
      <c r="U67" s="86"/>
      <c r="V67" s="86"/>
      <c r="W67" s="86"/>
      <c r="X67" s="86"/>
      <c r="Y67" s="414"/>
      <c r="Z67" s="86"/>
      <c r="AA67" s="412"/>
      <c r="AB67" s="86"/>
      <c r="AC67" s="86"/>
      <c r="AD67" s="86"/>
      <c r="AE67" s="86"/>
      <c r="AF67" s="86"/>
      <c r="AG67" s="86"/>
      <c r="AH67" s="412"/>
      <c r="AI67" s="86"/>
      <c r="AJ67" s="412"/>
      <c r="AK67" s="86"/>
      <c r="AL67" s="90">
        <f t="shared" si="1"/>
        <v>0</v>
      </c>
      <c r="AM67" s="1022">
        <f t="shared" si="4"/>
        <v>0</v>
      </c>
    </row>
    <row r="68" spans="1:39" ht="20.100000000000001" customHeight="1">
      <c r="A68" s="5"/>
      <c r="B68" s="1406" t="s">
        <v>175</v>
      </c>
      <c r="C68" s="1479"/>
      <c r="D68" s="66" t="s">
        <v>176</v>
      </c>
      <c r="E68" s="81" t="s">
        <v>177</v>
      </c>
      <c r="F68" s="36">
        <v>725</v>
      </c>
      <c r="G68" s="481"/>
      <c r="H68" s="81"/>
      <c r="I68" s="81"/>
      <c r="J68" s="81"/>
      <c r="K68" s="81"/>
      <c r="L68" s="81"/>
      <c r="M68" s="395"/>
      <c r="N68" s="81"/>
      <c r="O68" s="81"/>
      <c r="P68" s="81"/>
      <c r="Q68" s="81"/>
      <c r="R68" s="396"/>
      <c r="S68" s="81"/>
      <c r="T68" s="395"/>
      <c r="U68" s="81"/>
      <c r="V68" s="81"/>
      <c r="W68" s="81"/>
      <c r="X68" s="81"/>
      <c r="Y68" s="396"/>
      <c r="Z68" s="81"/>
      <c r="AA68" s="395"/>
      <c r="AB68" s="81"/>
      <c r="AC68" s="81"/>
      <c r="AD68" s="81"/>
      <c r="AE68" s="81"/>
      <c r="AF68" s="81"/>
      <c r="AG68" s="81"/>
      <c r="AH68" s="395"/>
      <c r="AI68" s="81"/>
      <c r="AJ68" s="81"/>
      <c r="AK68" s="81"/>
      <c r="AL68" s="89">
        <f t="shared" si="1"/>
        <v>0</v>
      </c>
      <c r="AM68" s="1023">
        <f t="shared" si="4"/>
        <v>0</v>
      </c>
    </row>
    <row r="69" spans="1:39" ht="20.100000000000001" customHeight="1">
      <c r="A69" s="5"/>
      <c r="B69" s="1407"/>
      <c r="C69" s="1480"/>
      <c r="D69" s="53" t="s">
        <v>3</v>
      </c>
      <c r="E69" s="84" t="s">
        <v>177</v>
      </c>
      <c r="F69" s="52">
        <v>931</v>
      </c>
      <c r="G69" s="475"/>
      <c r="H69" s="84"/>
      <c r="I69" s="84"/>
      <c r="J69" s="84"/>
      <c r="K69" s="84"/>
      <c r="L69" s="84"/>
      <c r="M69" s="380"/>
      <c r="N69" s="84"/>
      <c r="O69" s="84"/>
      <c r="P69" s="84"/>
      <c r="Q69" s="84"/>
      <c r="R69" s="398"/>
      <c r="S69" s="84"/>
      <c r="T69" s="380"/>
      <c r="U69" s="84"/>
      <c r="V69" s="84"/>
      <c r="W69" s="84"/>
      <c r="X69" s="84"/>
      <c r="Y69" s="398"/>
      <c r="Z69" s="84"/>
      <c r="AA69" s="380"/>
      <c r="AB69" s="84"/>
      <c r="AC69" s="84"/>
      <c r="AD69" s="84"/>
      <c r="AE69" s="84"/>
      <c r="AF69" s="84"/>
      <c r="AG69" s="84"/>
      <c r="AH69" s="380"/>
      <c r="AI69" s="84"/>
      <c r="AJ69" s="84"/>
      <c r="AK69" s="84"/>
      <c r="AL69" s="19">
        <f t="shared" si="1"/>
        <v>0</v>
      </c>
      <c r="AM69" s="1018">
        <f t="shared" si="4"/>
        <v>0</v>
      </c>
    </row>
    <row r="70" spans="1:39" ht="20.100000000000001" customHeight="1">
      <c r="A70" s="5"/>
      <c r="B70" s="1407"/>
      <c r="C70" s="1480"/>
      <c r="D70" s="85" t="s">
        <v>4</v>
      </c>
      <c r="E70" s="86" t="s">
        <v>178</v>
      </c>
      <c r="F70" s="87">
        <v>725</v>
      </c>
      <c r="G70" s="475"/>
      <c r="H70" s="84"/>
      <c r="I70" s="84"/>
      <c r="J70" s="84"/>
      <c r="K70" s="84"/>
      <c r="L70" s="84"/>
      <c r="M70" s="380"/>
      <c r="N70" s="84"/>
      <c r="O70" s="84"/>
      <c r="P70" s="84"/>
      <c r="Q70" s="84"/>
      <c r="R70" s="398"/>
      <c r="S70" s="84"/>
      <c r="T70" s="380"/>
      <c r="U70" s="84"/>
      <c r="V70" s="84"/>
      <c r="W70" s="84"/>
      <c r="X70" s="84"/>
      <c r="Y70" s="398"/>
      <c r="Z70" s="84"/>
      <c r="AA70" s="380"/>
      <c r="AB70" s="84"/>
      <c r="AC70" s="84"/>
      <c r="AD70" s="84"/>
      <c r="AE70" s="84"/>
      <c r="AF70" s="84"/>
      <c r="AG70" s="84"/>
      <c r="AH70" s="380"/>
      <c r="AI70" s="84"/>
      <c r="AJ70" s="84"/>
      <c r="AK70" s="84"/>
      <c r="AL70" s="19">
        <f t="shared" si="1"/>
        <v>0</v>
      </c>
      <c r="AM70" s="1018">
        <f t="shared" ref="AM70:AM71" si="5">F70*AL70</f>
        <v>0</v>
      </c>
    </row>
    <row r="71" spans="1:39" ht="20.100000000000001" customHeight="1" thickBot="1">
      <c r="A71" s="10"/>
      <c r="B71" s="70"/>
      <c r="C71" s="1481"/>
      <c r="D71" s="55" t="s">
        <v>5</v>
      </c>
      <c r="E71" s="80" t="s">
        <v>178</v>
      </c>
      <c r="F71" s="56">
        <v>931</v>
      </c>
      <c r="G71" s="476"/>
      <c r="H71" s="80"/>
      <c r="I71" s="80"/>
      <c r="J71" s="80"/>
      <c r="K71" s="80"/>
      <c r="L71" s="80"/>
      <c r="M71" s="381"/>
      <c r="N71" s="80"/>
      <c r="O71" s="80"/>
      <c r="P71" s="80"/>
      <c r="Q71" s="80"/>
      <c r="R71" s="410"/>
      <c r="S71" s="80"/>
      <c r="T71" s="381"/>
      <c r="U71" s="80"/>
      <c r="V71" s="80"/>
      <c r="W71" s="80"/>
      <c r="X71" s="80"/>
      <c r="Y71" s="410"/>
      <c r="Z71" s="80"/>
      <c r="AA71" s="381"/>
      <c r="AB71" s="80"/>
      <c r="AC71" s="80"/>
      <c r="AD71" s="80"/>
      <c r="AE71" s="80"/>
      <c r="AF71" s="80"/>
      <c r="AG71" s="80"/>
      <c r="AH71" s="381"/>
      <c r="AI71" s="80"/>
      <c r="AJ71" s="80"/>
      <c r="AK71" s="80"/>
      <c r="AL71" s="19">
        <f t="shared" si="1"/>
        <v>0</v>
      </c>
      <c r="AM71" s="1019">
        <f t="shared" si="5"/>
        <v>0</v>
      </c>
    </row>
    <row r="72" spans="1:39" ht="14.25" customHeight="1" thickBot="1">
      <c r="AJ72" s="2400"/>
      <c r="AK72" s="2401"/>
      <c r="AL72" s="351" t="s">
        <v>541</v>
      </c>
      <c r="AM72" s="1536">
        <f>SUM(AM6:AM13)</f>
        <v>65083314</v>
      </c>
    </row>
    <row r="73" spans="1:39" ht="13.8" thickBot="1">
      <c r="AL73" s="351" t="s">
        <v>542</v>
      </c>
      <c r="AM73" s="1536">
        <f>SUM(AM14:AM71)</f>
        <v>20234767</v>
      </c>
    </row>
    <row r="74" spans="1:39" ht="13.8" thickBot="1">
      <c r="AL74" s="351"/>
      <c r="AM74" s="1536">
        <f>SUM(AM6:AM71)</f>
        <v>85318081</v>
      </c>
    </row>
  </sheetData>
  <customSheetViews>
    <customSheetView guid="{4B6F0EB4-660D-4B5D-BC48-6CB7C10D7F9B}" scale="110" showGridLines="0">
      <pane xSplit="5" ySplit="5" topLeftCell="F54" activePane="bottomRight" state="frozen"/>
      <selection pane="bottomRight" activeCell="AB43" sqref="AB43"/>
      <pageMargins left="0.75" right="0.75" top="1" bottom="1" header="0.5" footer="0.5"/>
      <pageSetup paperSize="9" orientation="portrait" horizontalDpi="300" verticalDpi="300" r:id="rId1"/>
      <headerFooter alignWithMargins="0"/>
    </customSheetView>
    <customSheetView guid="{2118503C-FA17-40AD-A92D-3BEB91EE1F01}" scale="110" showGridLines="0">
      <pane xSplit="5" ySplit="5" topLeftCell="F18" activePane="bottomRight" state="frozen"/>
      <selection pane="bottomRight" activeCell="G27" sqref="G27"/>
      <pageMargins left="0.75" right="0.75" top="1" bottom="1" header="0.5" footer="0.5"/>
      <pageSetup paperSize="9" orientation="portrait" horizontalDpi="300" verticalDpi="300" r:id="rId2"/>
      <headerFooter alignWithMargins="0"/>
    </customSheetView>
    <customSheetView guid="{844B66BD-C499-418A-A656-40E7940347EA}" scale="110" showGridLines="0">
      <pane xSplit="5" ySplit="5" topLeftCell="F54" activePane="bottomRight" state="frozen"/>
      <selection pane="bottomRight" activeCell="T16" sqref="T16"/>
      <pageMargins left="0.75" right="0.75" top="1" bottom="1" header="0.5" footer="0.5"/>
      <pageSetup paperSize="9" orientation="portrait" horizontalDpi="300" verticalDpi="300" r:id="rId3"/>
      <headerFooter alignWithMargins="0"/>
    </customSheetView>
    <customSheetView guid="{7523CC8F-897F-48BF-94A5-CFFF399736A5}" scale="110" showGridLines="0">
      <pane xSplit="5" ySplit="5" topLeftCell="F18" activePane="bottomRight" state="frozen"/>
      <selection pane="bottomRight" activeCell="G27" sqref="G27"/>
      <pageMargins left="0.75" right="0.75" top="1" bottom="1" header="0.5" footer="0.5"/>
      <pageSetup paperSize="9" orientation="portrait" horizontalDpi="300" verticalDpi="300" r:id="rId4"/>
      <headerFooter alignWithMargins="0"/>
    </customSheetView>
    <customSheetView guid="{89B07EC3-7982-4908-AB99-54EB5928E5C4}" scale="110" showGridLines="0">
      <pane xSplit="5" ySplit="5" topLeftCell="F45" activePane="bottomRight" state="frozen"/>
      <selection pane="bottomRight" activeCell="F6" sqref="F6:Z62"/>
      <pageMargins left="0.75" right="0.75" top="1" bottom="1" header="0.5" footer="0.5"/>
      <pageSetup paperSize="9" orientation="portrait" horizontalDpi="300" verticalDpi="300" r:id="rId5"/>
      <headerFooter alignWithMargins="0"/>
    </customSheetView>
  </customSheetViews>
  <mergeCells count="3">
    <mergeCell ref="B6:B13"/>
    <mergeCell ref="AJ72:AK72"/>
    <mergeCell ref="G3:J4"/>
  </mergeCells>
  <phoneticPr fontId="7" type="noConversion"/>
  <pageMargins left="0.75" right="0.75" top="1" bottom="1" header="0.5" footer="0.5"/>
  <pageSetup paperSize="9" orientation="portrait" horizontalDpi="300" verticalDpi="300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P74"/>
  <sheetViews>
    <sheetView workbookViewId="0">
      <pane xSplit="6" ySplit="5" topLeftCell="R27" activePane="bottomRight" state="frozen"/>
      <selection pane="topRight" activeCell="G1" sqref="G1"/>
      <selection pane="bottomLeft" activeCell="A6" sqref="A6"/>
      <selection pane="bottomRight" activeCell="E36" sqref="E36"/>
    </sheetView>
  </sheetViews>
  <sheetFormatPr defaultColWidth="9" defaultRowHeight="13.2"/>
  <cols>
    <col min="1" max="1" width="5.5" style="6" bestFit="1" customWidth="1"/>
    <col min="2" max="2" width="8.8984375" style="6" customWidth="1"/>
    <col min="3" max="3" width="14" style="6" customWidth="1"/>
    <col min="4" max="4" width="9.69921875" style="6" customWidth="1"/>
    <col min="5" max="5" width="24.5" style="6" customWidth="1"/>
    <col min="6" max="6" width="10.3984375" style="698" bestFit="1" customWidth="1"/>
    <col min="7" max="14" width="4.19921875" style="6" customWidth="1"/>
    <col min="15" max="15" width="4.69921875" style="6" customWidth="1"/>
    <col min="16" max="16" width="4.19921875" style="6" customWidth="1"/>
    <col min="17" max="19" width="4.69921875" style="6" customWidth="1"/>
    <col min="20" max="36" width="4.19921875" style="6" customWidth="1"/>
    <col min="37" max="37" width="5.19921875" style="6" bestFit="1" customWidth="1"/>
    <col min="38" max="38" width="15.59765625" style="6" bestFit="1" customWidth="1"/>
    <col min="39" max="39" width="15.5" style="6" bestFit="1" customWidth="1"/>
    <col min="40" max="40" width="15.59765625" style="698" customWidth="1"/>
    <col min="41" max="41" width="14.69921875" style="6" customWidth="1"/>
    <col min="42" max="16384" width="9" style="6"/>
  </cols>
  <sheetData>
    <row r="1" spans="1:41" ht="17.399999999999999">
      <c r="A1" s="5"/>
      <c r="B1" s="5"/>
      <c r="C1" s="5"/>
      <c r="D1"/>
      <c r="E1"/>
      <c r="F1"/>
      <c r="G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41" ht="14.25" customHeight="1" thickBot="1">
      <c r="A2" s="7"/>
      <c r="B2" s="7"/>
      <c r="C2" s="7"/>
      <c r="D2"/>
      <c r="E2"/>
      <c r="F2"/>
      <c r="G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5"/>
    </row>
    <row r="3" spans="1:41" ht="14.25" customHeight="1">
      <c r="A3" s="5"/>
      <c r="B3" s="5"/>
      <c r="C3" s="5"/>
      <c r="D3" s="5"/>
      <c r="E3" s="5"/>
      <c r="F3" s="1415"/>
      <c r="G3" s="2403" t="s">
        <v>76</v>
      </c>
      <c r="H3" s="2403"/>
      <c r="I3" s="2403"/>
      <c r="J3" s="2404"/>
      <c r="K3" s="8"/>
      <c r="L3" s="8"/>
      <c r="M3" s="8"/>
      <c r="N3"/>
      <c r="O3"/>
      <c r="P3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41" ht="15" customHeight="1" thickBot="1">
      <c r="A4" s="5"/>
      <c r="B4" s="5"/>
      <c r="C4" s="5"/>
      <c r="D4" s="5"/>
      <c r="E4" s="5"/>
      <c r="F4" s="689"/>
      <c r="G4" s="2406"/>
      <c r="H4" s="2406"/>
      <c r="I4" s="2406"/>
      <c r="J4" s="2407"/>
      <c r="K4" s="8"/>
      <c r="L4" s="8"/>
      <c r="M4" s="8"/>
      <c r="N4"/>
      <c r="O4"/>
      <c r="P4"/>
      <c r="Q4" s="8"/>
      <c r="R4" s="8"/>
      <c r="S4" s="8"/>
      <c r="T4" s="8"/>
      <c r="U4" s="8"/>
      <c r="V4" s="8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41" ht="21.75" customHeight="1" thickBot="1">
      <c r="A5" s="588" t="s">
        <v>77</v>
      </c>
      <c r="B5" s="591" t="s">
        <v>78</v>
      </c>
      <c r="C5" s="92" t="s">
        <v>179</v>
      </c>
      <c r="D5" s="93" t="s">
        <v>79</v>
      </c>
      <c r="E5" s="93" t="s">
        <v>80</v>
      </c>
      <c r="F5" s="711" t="s">
        <v>81</v>
      </c>
      <c r="G5" s="95">
        <v>1</v>
      </c>
      <c r="H5" s="96">
        <v>2</v>
      </c>
      <c r="I5" s="96">
        <v>3</v>
      </c>
      <c r="J5" s="96">
        <v>4</v>
      </c>
      <c r="K5" s="96">
        <v>5</v>
      </c>
      <c r="L5" s="96">
        <v>6</v>
      </c>
      <c r="M5" s="96">
        <v>7</v>
      </c>
      <c r="N5" s="96">
        <v>8</v>
      </c>
      <c r="O5" s="96">
        <v>9</v>
      </c>
      <c r="P5" s="96">
        <v>10</v>
      </c>
      <c r="Q5" s="96">
        <v>11</v>
      </c>
      <c r="R5" s="96">
        <v>12</v>
      </c>
      <c r="S5" s="96">
        <v>13</v>
      </c>
      <c r="T5" s="96">
        <v>14</v>
      </c>
      <c r="U5" s="96">
        <v>15</v>
      </c>
      <c r="V5" s="97">
        <v>16</v>
      </c>
      <c r="W5" s="96">
        <v>17</v>
      </c>
      <c r="X5" s="96">
        <v>18</v>
      </c>
      <c r="Y5" s="96">
        <v>19</v>
      </c>
      <c r="Z5" s="96">
        <v>20</v>
      </c>
      <c r="AA5" s="96">
        <v>21</v>
      </c>
      <c r="AB5" s="96">
        <v>22</v>
      </c>
      <c r="AC5" s="96">
        <v>23</v>
      </c>
      <c r="AD5" s="96">
        <v>24</v>
      </c>
      <c r="AE5" s="96">
        <v>25</v>
      </c>
      <c r="AF5" s="96">
        <v>26</v>
      </c>
      <c r="AG5" s="96">
        <v>27</v>
      </c>
      <c r="AH5" s="96">
        <v>28</v>
      </c>
      <c r="AI5" s="96">
        <v>29</v>
      </c>
      <c r="AJ5" s="96">
        <v>30</v>
      </c>
      <c r="AK5" s="96">
        <v>31</v>
      </c>
      <c r="AL5" s="98" t="s">
        <v>7</v>
      </c>
      <c r="AM5" s="99" t="s">
        <v>82</v>
      </c>
    </row>
    <row r="6" spans="1:41" ht="20.100000000000001" customHeight="1">
      <c r="A6" s="1084" t="s">
        <v>180</v>
      </c>
      <c r="B6" s="2411" t="s">
        <v>181</v>
      </c>
      <c r="C6" s="34" t="s">
        <v>1593</v>
      </c>
      <c r="D6" s="35" t="s">
        <v>1550</v>
      </c>
      <c r="E6" s="35" t="s">
        <v>72</v>
      </c>
      <c r="F6" s="2253">
        <v>2664</v>
      </c>
      <c r="G6" s="37">
        <v>540</v>
      </c>
      <c r="H6" s="37">
        <v>300</v>
      </c>
      <c r="I6" s="38">
        <v>841</v>
      </c>
      <c r="J6" s="38"/>
      <c r="K6" s="365">
        <v>7</v>
      </c>
      <c r="L6" s="365">
        <v>360</v>
      </c>
      <c r="M6" s="38">
        <v>660</v>
      </c>
      <c r="N6" s="38">
        <v>360</v>
      </c>
      <c r="O6" s="38">
        <v>300</v>
      </c>
      <c r="P6" s="38">
        <v>480</v>
      </c>
      <c r="Q6" s="38"/>
      <c r="R6" s="38"/>
      <c r="S6" s="38">
        <v>120</v>
      </c>
      <c r="T6" s="38">
        <v>360</v>
      </c>
      <c r="U6" s="38">
        <v>420</v>
      </c>
      <c r="V6" s="38">
        <v>360</v>
      </c>
      <c r="W6" s="38"/>
      <c r="X6" s="38"/>
      <c r="Y6" s="38"/>
      <c r="Z6" s="38"/>
      <c r="AA6" s="38">
        <v>180</v>
      </c>
      <c r="AB6" s="38">
        <v>300</v>
      </c>
      <c r="AC6" s="38">
        <v>540</v>
      </c>
      <c r="AD6" s="38">
        <v>600</v>
      </c>
      <c r="AE6" s="38"/>
      <c r="AF6" s="38"/>
      <c r="AG6" s="38">
        <v>120</v>
      </c>
      <c r="AH6" s="38">
        <v>360</v>
      </c>
      <c r="AI6" s="38">
        <v>660</v>
      </c>
      <c r="AJ6" s="38">
        <v>30</v>
      </c>
      <c r="AK6" s="38"/>
      <c r="AL6" s="100">
        <f>SUM(G6:AK6)</f>
        <v>7898</v>
      </c>
      <c r="AM6" s="101">
        <f t="shared" ref="AM6:AM37" si="0">AL6*F6</f>
        <v>21040272</v>
      </c>
    </row>
    <row r="7" spans="1:41" ht="20.100000000000001" customHeight="1">
      <c r="A7" s="1085"/>
      <c r="B7" s="2412"/>
      <c r="C7" s="20" t="s">
        <v>1594</v>
      </c>
      <c r="D7" s="3" t="s">
        <v>1551</v>
      </c>
      <c r="E7" s="3" t="s">
        <v>73</v>
      </c>
      <c r="F7" s="2250">
        <v>2664</v>
      </c>
      <c r="G7" s="22">
        <v>540</v>
      </c>
      <c r="H7" s="22">
        <v>300</v>
      </c>
      <c r="I7" s="23">
        <v>840</v>
      </c>
      <c r="J7" s="23"/>
      <c r="K7" s="23"/>
      <c r="L7" s="23">
        <v>360</v>
      </c>
      <c r="M7" s="23">
        <v>660</v>
      </c>
      <c r="N7" s="23">
        <v>360</v>
      </c>
      <c r="O7" s="23">
        <v>300</v>
      </c>
      <c r="P7" s="23">
        <v>480</v>
      </c>
      <c r="Q7" s="23"/>
      <c r="R7" s="23"/>
      <c r="S7" s="23">
        <v>120</v>
      </c>
      <c r="T7" s="23">
        <v>360</v>
      </c>
      <c r="U7" s="23">
        <v>420</v>
      </c>
      <c r="V7" s="23">
        <v>360</v>
      </c>
      <c r="W7" s="23"/>
      <c r="X7" s="23"/>
      <c r="Y7" s="23"/>
      <c r="Z7" s="23"/>
      <c r="AA7" s="23">
        <v>180</v>
      </c>
      <c r="AB7" s="23">
        <v>300</v>
      </c>
      <c r="AC7" s="23">
        <v>540</v>
      </c>
      <c r="AD7" s="23">
        <v>600</v>
      </c>
      <c r="AE7" s="23"/>
      <c r="AF7" s="23"/>
      <c r="AG7" s="23">
        <v>120</v>
      </c>
      <c r="AH7" s="23">
        <v>360</v>
      </c>
      <c r="AI7" s="23">
        <v>660</v>
      </c>
      <c r="AJ7" s="23">
        <v>22</v>
      </c>
      <c r="AK7" s="23"/>
      <c r="AL7" s="125">
        <f t="shared" ref="AL7:AL62" si="1">SUM(G7:AK7)</f>
        <v>7882</v>
      </c>
      <c r="AM7" s="102">
        <f t="shared" si="0"/>
        <v>20997648</v>
      </c>
    </row>
    <row r="8" spans="1:41" ht="20.100000000000001" customHeight="1">
      <c r="A8" s="1085"/>
      <c r="B8" s="2412"/>
      <c r="C8" s="24" t="s">
        <v>1595</v>
      </c>
      <c r="D8" s="4" t="s">
        <v>1552</v>
      </c>
      <c r="E8" s="4" t="s">
        <v>469</v>
      </c>
      <c r="F8" s="2250">
        <v>2272</v>
      </c>
      <c r="G8" s="26">
        <v>160</v>
      </c>
      <c r="H8" s="26">
        <v>60</v>
      </c>
      <c r="I8" s="27">
        <v>80</v>
      </c>
      <c r="J8" s="27"/>
      <c r="K8" s="27"/>
      <c r="L8" s="27">
        <v>80</v>
      </c>
      <c r="M8" s="27"/>
      <c r="N8" s="27">
        <v>80</v>
      </c>
      <c r="O8" s="27"/>
      <c r="P8" s="27">
        <v>80</v>
      </c>
      <c r="Q8" s="27"/>
      <c r="R8" s="27"/>
      <c r="S8" s="27"/>
      <c r="T8" s="27">
        <v>80</v>
      </c>
      <c r="U8" s="27">
        <v>80</v>
      </c>
      <c r="V8" s="27">
        <v>80</v>
      </c>
      <c r="W8" s="27"/>
      <c r="X8" s="27"/>
      <c r="Y8" s="27"/>
      <c r="Z8" s="27"/>
      <c r="AA8" s="27">
        <v>80</v>
      </c>
      <c r="AB8" s="27"/>
      <c r="AC8" s="27"/>
      <c r="AD8" s="27"/>
      <c r="AE8" s="27">
        <v>7</v>
      </c>
      <c r="AF8" s="27"/>
      <c r="AG8" s="27">
        <v>80</v>
      </c>
      <c r="AH8" s="27">
        <v>80</v>
      </c>
      <c r="AI8" s="27"/>
      <c r="AJ8" s="27"/>
      <c r="AK8" s="27"/>
      <c r="AL8" s="125">
        <f t="shared" si="1"/>
        <v>1027</v>
      </c>
      <c r="AM8" s="102">
        <f t="shared" si="0"/>
        <v>2333344</v>
      </c>
    </row>
    <row r="9" spans="1:41" ht="20.100000000000001" customHeight="1" thickBot="1">
      <c r="A9" s="1085"/>
      <c r="B9" s="2413"/>
      <c r="C9" s="28" t="s">
        <v>1596</v>
      </c>
      <c r="D9" s="29" t="s">
        <v>1553</v>
      </c>
      <c r="E9" s="29" t="s">
        <v>470</v>
      </c>
      <c r="F9" s="2251">
        <v>2272</v>
      </c>
      <c r="G9" s="31">
        <v>160</v>
      </c>
      <c r="H9" s="31">
        <v>60</v>
      </c>
      <c r="I9" s="32">
        <v>80</v>
      </c>
      <c r="J9" s="32"/>
      <c r="K9" s="32"/>
      <c r="L9" s="32">
        <v>80</v>
      </c>
      <c r="M9" s="32"/>
      <c r="N9" s="32">
        <v>80</v>
      </c>
      <c r="O9" s="32"/>
      <c r="P9" s="32">
        <v>80</v>
      </c>
      <c r="Q9" s="32"/>
      <c r="R9" s="32"/>
      <c r="S9" s="32"/>
      <c r="T9" s="32">
        <v>80</v>
      </c>
      <c r="U9" s="32">
        <v>80</v>
      </c>
      <c r="V9" s="32">
        <v>80</v>
      </c>
      <c r="W9" s="32"/>
      <c r="X9" s="32"/>
      <c r="Y9" s="32"/>
      <c r="Z9" s="32"/>
      <c r="AA9" s="32">
        <v>80</v>
      </c>
      <c r="AB9" s="32"/>
      <c r="AC9" s="32"/>
      <c r="AD9" s="32"/>
      <c r="AE9" s="32">
        <v>11</v>
      </c>
      <c r="AF9" s="32"/>
      <c r="AG9" s="32">
        <v>80</v>
      </c>
      <c r="AH9" s="32">
        <v>80</v>
      </c>
      <c r="AI9" s="32"/>
      <c r="AJ9" s="32"/>
      <c r="AK9" s="32"/>
      <c r="AL9" s="126">
        <f t="shared" si="1"/>
        <v>1031</v>
      </c>
      <c r="AM9" s="103">
        <f t="shared" si="0"/>
        <v>2342432</v>
      </c>
      <c r="AN9" s="1003">
        <f>SUM(AM6:AM9)</f>
        <v>46713696</v>
      </c>
      <c r="AO9" s="104"/>
    </row>
    <row r="10" spans="1:41" ht="20.100000000000001" customHeight="1">
      <c r="A10" s="1085"/>
      <c r="B10" s="2414" t="s">
        <v>186</v>
      </c>
      <c r="C10" s="34" t="s">
        <v>1797</v>
      </c>
      <c r="D10" s="35" t="s">
        <v>2111</v>
      </c>
      <c r="E10" s="35" t="s">
        <v>72</v>
      </c>
      <c r="F10" s="715">
        <v>2735</v>
      </c>
      <c r="G10" s="37"/>
      <c r="H10" s="37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100">
        <f t="shared" si="1"/>
        <v>0</v>
      </c>
      <c r="AM10" s="101">
        <f t="shared" si="0"/>
        <v>0</v>
      </c>
    </row>
    <row r="11" spans="1:41" ht="20.100000000000001" customHeight="1">
      <c r="A11" s="1085"/>
      <c r="B11" s="2415"/>
      <c r="C11" s="20" t="s">
        <v>1798</v>
      </c>
      <c r="D11" s="3" t="s">
        <v>2112</v>
      </c>
      <c r="E11" s="3" t="s">
        <v>73</v>
      </c>
      <c r="F11" s="712">
        <v>2735</v>
      </c>
      <c r="G11" s="22"/>
      <c r="H11" s="22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25">
        <f t="shared" si="1"/>
        <v>0</v>
      </c>
      <c r="AM11" s="102">
        <f t="shared" si="0"/>
        <v>0</v>
      </c>
    </row>
    <row r="12" spans="1:41" ht="20.100000000000001" customHeight="1">
      <c r="A12" s="1085"/>
      <c r="B12" s="2415"/>
      <c r="C12" s="24" t="s">
        <v>1799</v>
      </c>
      <c r="D12" s="4" t="s">
        <v>2113</v>
      </c>
      <c r="E12" s="4" t="s">
        <v>2114</v>
      </c>
      <c r="F12" s="713">
        <v>4148</v>
      </c>
      <c r="G12" s="26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125">
        <f t="shared" si="1"/>
        <v>0</v>
      </c>
      <c r="AM12" s="102">
        <f t="shared" si="0"/>
        <v>0</v>
      </c>
    </row>
    <row r="13" spans="1:41" ht="20.100000000000001" customHeight="1">
      <c r="A13" s="1085"/>
      <c r="B13" s="2415"/>
      <c r="C13" s="105" t="s">
        <v>1800</v>
      </c>
      <c r="D13" s="43" t="s">
        <v>2115</v>
      </c>
      <c r="E13" s="43" t="s">
        <v>2116</v>
      </c>
      <c r="F13" s="716">
        <v>4136</v>
      </c>
      <c r="G13" s="45"/>
      <c r="H13" s="45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125">
        <f t="shared" si="1"/>
        <v>0</v>
      </c>
      <c r="AM13" s="102">
        <f t="shared" si="0"/>
        <v>0</v>
      </c>
    </row>
    <row r="14" spans="1:41" ht="20.100000000000001" customHeight="1">
      <c r="A14" s="1085"/>
      <c r="B14" s="2415"/>
      <c r="C14" s="24" t="s">
        <v>1801</v>
      </c>
      <c r="D14" s="4" t="s">
        <v>2117</v>
      </c>
      <c r="E14" s="4" t="s">
        <v>2118</v>
      </c>
      <c r="F14" s="713">
        <v>4136</v>
      </c>
      <c r="G14" s="26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125">
        <f t="shared" si="1"/>
        <v>0</v>
      </c>
      <c r="AM14" s="102">
        <f t="shared" si="0"/>
        <v>0</v>
      </c>
      <c r="AN14" s="1004"/>
    </row>
    <row r="15" spans="1:41" ht="20.100000000000001" customHeight="1" thickBot="1">
      <c r="A15" s="1085"/>
      <c r="B15" s="2416"/>
      <c r="C15" s="28" t="s">
        <v>1802</v>
      </c>
      <c r="D15" s="29" t="s">
        <v>2119</v>
      </c>
      <c r="E15" s="29" t="s">
        <v>2120</v>
      </c>
      <c r="F15" s="714">
        <v>4146</v>
      </c>
      <c r="G15" s="31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126">
        <f t="shared" si="1"/>
        <v>0</v>
      </c>
      <c r="AM15" s="113">
        <f t="shared" si="0"/>
        <v>0</v>
      </c>
      <c r="AN15" s="1003">
        <f>SUM(AM10:AM15)</f>
        <v>0</v>
      </c>
      <c r="AO15" s="104"/>
    </row>
    <row r="16" spans="1:41" ht="20.100000000000001" customHeight="1">
      <c r="A16" s="1085"/>
      <c r="B16" s="2417" t="s">
        <v>197</v>
      </c>
      <c r="C16" s="106" t="s">
        <v>1985</v>
      </c>
      <c r="D16" s="107" t="s">
        <v>1548</v>
      </c>
      <c r="E16" s="107" t="s">
        <v>2106</v>
      </c>
      <c r="F16" s="2257">
        <v>2558</v>
      </c>
      <c r="G16" s="469">
        <v>480</v>
      </c>
      <c r="H16" s="429">
        <v>480</v>
      </c>
      <c r="I16" s="416">
        <v>427</v>
      </c>
      <c r="J16" s="416"/>
      <c r="K16" s="416"/>
      <c r="L16" s="416">
        <v>420</v>
      </c>
      <c r="M16" s="469">
        <v>420</v>
      </c>
      <c r="N16" s="469"/>
      <c r="O16" s="469">
        <v>540</v>
      </c>
      <c r="P16" s="416">
        <v>540</v>
      </c>
      <c r="Q16" s="416"/>
      <c r="R16" s="416"/>
      <c r="S16" s="416">
        <v>540</v>
      </c>
      <c r="T16" s="416">
        <v>420</v>
      </c>
      <c r="U16" s="416">
        <v>540</v>
      </c>
      <c r="V16" s="416">
        <v>540</v>
      </c>
      <c r="W16" s="416">
        <v>540</v>
      </c>
      <c r="X16" s="416"/>
      <c r="Y16" s="416"/>
      <c r="Z16" s="416">
        <v>360</v>
      </c>
      <c r="AA16" s="416">
        <v>420</v>
      </c>
      <c r="AB16" s="469">
        <v>540</v>
      </c>
      <c r="AC16" s="416">
        <v>540</v>
      </c>
      <c r="AD16" s="416">
        <v>540</v>
      </c>
      <c r="AE16" s="416"/>
      <c r="AF16" s="416"/>
      <c r="AG16" s="416">
        <v>420</v>
      </c>
      <c r="AH16" s="416">
        <v>540</v>
      </c>
      <c r="AI16" s="416">
        <v>540</v>
      </c>
      <c r="AJ16" s="416">
        <v>420</v>
      </c>
      <c r="AK16" s="416">
        <v>28</v>
      </c>
      <c r="AL16" s="100">
        <f t="shared" si="1"/>
        <v>10235</v>
      </c>
      <c r="AM16" s="127">
        <f t="shared" si="0"/>
        <v>26181130</v>
      </c>
      <c r="AN16" s="1004"/>
    </row>
    <row r="17" spans="1:41" ht="20.100000000000001" customHeight="1">
      <c r="A17" s="1085"/>
      <c r="B17" s="2418"/>
      <c r="C17" s="108" t="s">
        <v>1986</v>
      </c>
      <c r="D17" s="109" t="s">
        <v>1549</v>
      </c>
      <c r="E17" s="109" t="s">
        <v>2107</v>
      </c>
      <c r="F17" s="2257">
        <v>2558</v>
      </c>
      <c r="G17" s="470">
        <v>480</v>
      </c>
      <c r="H17" s="471">
        <v>480</v>
      </c>
      <c r="I17" s="417">
        <v>427</v>
      </c>
      <c r="J17" s="417"/>
      <c r="K17" s="417">
        <v>8</v>
      </c>
      <c r="L17" s="417">
        <v>420</v>
      </c>
      <c r="M17" s="470">
        <v>420</v>
      </c>
      <c r="N17" s="470"/>
      <c r="O17" s="470">
        <v>540</v>
      </c>
      <c r="P17" s="417">
        <v>540</v>
      </c>
      <c r="Q17" s="417"/>
      <c r="R17" s="417"/>
      <c r="S17" s="417">
        <v>540</v>
      </c>
      <c r="T17" s="417">
        <v>420</v>
      </c>
      <c r="U17" s="417">
        <v>540</v>
      </c>
      <c r="V17" s="417">
        <v>540</v>
      </c>
      <c r="W17" s="417">
        <v>540</v>
      </c>
      <c r="X17" s="417"/>
      <c r="Y17" s="417"/>
      <c r="Z17" s="417">
        <v>360</v>
      </c>
      <c r="AA17" s="417">
        <v>420</v>
      </c>
      <c r="AB17" s="470">
        <v>540</v>
      </c>
      <c r="AC17" s="417">
        <v>540</v>
      </c>
      <c r="AD17" s="417">
        <v>540</v>
      </c>
      <c r="AE17" s="417"/>
      <c r="AF17" s="417"/>
      <c r="AG17" s="417">
        <v>420</v>
      </c>
      <c r="AH17" s="417">
        <v>540</v>
      </c>
      <c r="AI17" s="417">
        <v>540</v>
      </c>
      <c r="AJ17" s="417">
        <v>420</v>
      </c>
      <c r="AK17" s="417">
        <v>10</v>
      </c>
      <c r="AL17" s="125">
        <f t="shared" si="1"/>
        <v>10225</v>
      </c>
      <c r="AM17" s="102">
        <f t="shared" si="0"/>
        <v>26155550</v>
      </c>
      <c r="AN17" s="1265"/>
    </row>
    <row r="18" spans="1:41" ht="20.100000000000001" customHeight="1">
      <c r="A18" s="1085"/>
      <c r="B18" s="2418"/>
      <c r="C18" s="110" t="s">
        <v>2102</v>
      </c>
      <c r="D18" s="111" t="s">
        <v>1069</v>
      </c>
      <c r="E18" s="111" t="s">
        <v>2103</v>
      </c>
      <c r="F18" s="2257">
        <v>3443</v>
      </c>
      <c r="G18" s="472">
        <v>400</v>
      </c>
      <c r="H18" s="26">
        <v>400</v>
      </c>
      <c r="I18" s="418">
        <v>600</v>
      </c>
      <c r="J18" s="418"/>
      <c r="K18" s="418"/>
      <c r="L18" s="418">
        <v>600</v>
      </c>
      <c r="M18" s="472">
        <v>400</v>
      </c>
      <c r="N18" s="472"/>
      <c r="O18" s="472">
        <v>400</v>
      </c>
      <c r="P18" s="418">
        <v>400</v>
      </c>
      <c r="Q18" s="418"/>
      <c r="R18" s="418"/>
      <c r="S18" s="418">
        <v>400</v>
      </c>
      <c r="T18" s="418">
        <v>600</v>
      </c>
      <c r="U18" s="418">
        <v>400</v>
      </c>
      <c r="V18" s="418">
        <v>400</v>
      </c>
      <c r="W18" s="418">
        <v>400</v>
      </c>
      <c r="X18" s="418"/>
      <c r="Y18" s="418"/>
      <c r="Z18" s="418">
        <v>600</v>
      </c>
      <c r="AA18" s="418">
        <v>600</v>
      </c>
      <c r="AB18" s="472">
        <v>400</v>
      </c>
      <c r="AC18" s="418">
        <v>400</v>
      </c>
      <c r="AD18" s="418">
        <v>400</v>
      </c>
      <c r="AE18" s="418"/>
      <c r="AF18" s="418"/>
      <c r="AG18" s="418">
        <v>600</v>
      </c>
      <c r="AH18" s="418">
        <v>400</v>
      </c>
      <c r="AI18" s="418">
        <v>400</v>
      </c>
      <c r="AJ18" s="418">
        <v>600</v>
      </c>
      <c r="AK18" s="418"/>
      <c r="AL18" s="125">
        <f t="shared" si="1"/>
        <v>9800</v>
      </c>
      <c r="AM18" s="102">
        <f t="shared" si="0"/>
        <v>33741400</v>
      </c>
      <c r="AN18" s="1265"/>
    </row>
    <row r="19" spans="1:41" ht="20.100000000000001" customHeight="1" thickBot="1">
      <c r="A19" s="1085"/>
      <c r="B19" s="2418"/>
      <c r="C19" s="1029" t="s">
        <v>2104</v>
      </c>
      <c r="D19" s="148" t="s">
        <v>1071</v>
      </c>
      <c r="E19" s="148" t="s">
        <v>2105</v>
      </c>
      <c r="F19" s="2257">
        <v>3443</v>
      </c>
      <c r="G19" s="150">
        <v>400</v>
      </c>
      <c r="H19" s="150">
        <v>400</v>
      </c>
      <c r="I19" s="151">
        <v>600</v>
      </c>
      <c r="J19" s="151"/>
      <c r="K19" s="151"/>
      <c r="L19" s="151">
        <v>600</v>
      </c>
      <c r="M19" s="150">
        <v>400</v>
      </c>
      <c r="N19" s="150"/>
      <c r="O19" s="150">
        <v>400</v>
      </c>
      <c r="P19" s="151">
        <v>400</v>
      </c>
      <c r="Q19" s="151"/>
      <c r="R19" s="151"/>
      <c r="S19" s="151">
        <v>400</v>
      </c>
      <c r="T19" s="151">
        <v>600</v>
      </c>
      <c r="U19" s="151">
        <v>400</v>
      </c>
      <c r="V19" s="151">
        <v>400</v>
      </c>
      <c r="W19" s="151">
        <v>400</v>
      </c>
      <c r="X19" s="151"/>
      <c r="Y19" s="151"/>
      <c r="Z19" s="151">
        <v>600</v>
      </c>
      <c r="AA19" s="151">
        <v>600</v>
      </c>
      <c r="AB19" s="150">
        <v>400</v>
      </c>
      <c r="AC19" s="151">
        <v>400</v>
      </c>
      <c r="AD19" s="151">
        <v>400</v>
      </c>
      <c r="AE19" s="151"/>
      <c r="AF19" s="151"/>
      <c r="AG19" s="151">
        <v>600</v>
      </c>
      <c r="AH19" s="151">
        <v>400</v>
      </c>
      <c r="AI19" s="151">
        <v>400</v>
      </c>
      <c r="AJ19" s="151">
        <v>600</v>
      </c>
      <c r="AK19" s="151"/>
      <c r="AL19" s="126">
        <f t="shared" si="1"/>
        <v>9800</v>
      </c>
      <c r="AM19" s="102">
        <f t="shared" si="0"/>
        <v>33741400</v>
      </c>
      <c r="AN19" s="1265"/>
      <c r="AO19" s="104"/>
    </row>
    <row r="20" spans="1:41" ht="20.100000000000001" customHeight="1" thickBot="1">
      <c r="A20" s="1085"/>
      <c r="B20" s="2418"/>
      <c r="C20" s="604" t="s">
        <v>1068</v>
      </c>
      <c r="D20" s="604" t="s">
        <v>1069</v>
      </c>
      <c r="E20" s="604" t="s">
        <v>2108</v>
      </c>
      <c r="F20" s="2250">
        <v>3478</v>
      </c>
      <c r="G20" s="1948"/>
      <c r="H20" s="1948"/>
      <c r="I20" s="1948"/>
      <c r="J20" s="1948"/>
      <c r="K20" s="1948"/>
      <c r="L20" s="1948"/>
      <c r="M20" s="1948"/>
      <c r="N20" s="1948"/>
      <c r="O20" s="1948"/>
      <c r="P20" s="1948"/>
      <c r="Q20" s="1948"/>
      <c r="R20" s="1948"/>
      <c r="S20" s="1948"/>
      <c r="T20" s="1948"/>
      <c r="U20" s="1948"/>
      <c r="V20" s="1948"/>
      <c r="W20" s="1948"/>
      <c r="X20" s="1948"/>
      <c r="Y20" s="1948"/>
      <c r="Z20" s="1948"/>
      <c r="AA20" s="1451"/>
      <c r="AB20" s="1948"/>
      <c r="AC20" s="1948"/>
      <c r="AD20" s="1948"/>
      <c r="AE20" s="1948">
        <v>29</v>
      </c>
      <c r="AF20" s="1948"/>
      <c r="AG20" s="1948"/>
      <c r="AH20" s="1948"/>
      <c r="AI20" s="1948"/>
      <c r="AJ20" s="1948"/>
      <c r="AK20" s="1948"/>
      <c r="AL20" s="1412">
        <f t="shared" ref="AL20:AL21" si="2">SUM(G20:AK20)</f>
        <v>29</v>
      </c>
      <c r="AM20" s="102">
        <f t="shared" si="0"/>
        <v>100862</v>
      </c>
      <c r="AN20" s="1265"/>
      <c r="AO20" s="104"/>
    </row>
    <row r="21" spans="1:41" ht="20.100000000000001" customHeight="1" thickBot="1">
      <c r="A21" s="1085"/>
      <c r="B21" s="2419"/>
      <c r="C21" s="148" t="s">
        <v>1070</v>
      </c>
      <c r="D21" s="148" t="s">
        <v>1071</v>
      </c>
      <c r="E21" s="148" t="s">
        <v>2109</v>
      </c>
      <c r="F21" s="2257">
        <v>3478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109"/>
      <c r="AB21" s="151"/>
      <c r="AC21" s="151"/>
      <c r="AD21" s="151"/>
      <c r="AE21" s="151">
        <v>30</v>
      </c>
      <c r="AF21" s="151"/>
      <c r="AG21" s="151"/>
      <c r="AH21" s="151"/>
      <c r="AI21" s="151"/>
      <c r="AJ21" s="151"/>
      <c r="AK21" s="151"/>
      <c r="AL21" s="1413">
        <f t="shared" si="2"/>
        <v>30</v>
      </c>
      <c r="AM21" s="103">
        <f t="shared" si="0"/>
        <v>104340</v>
      </c>
      <c r="AN21" s="1003">
        <f>SUM(AM16:AM21)</f>
        <v>120024682</v>
      </c>
      <c r="AO21" s="104"/>
    </row>
    <row r="22" spans="1:41" ht="20.100000000000001" customHeight="1">
      <c r="A22" s="1085"/>
      <c r="B22" s="2414" t="s">
        <v>198</v>
      </c>
      <c r="C22" s="34">
        <v>11020865</v>
      </c>
      <c r="D22" s="35" t="s">
        <v>472</v>
      </c>
      <c r="E22" s="35" t="s">
        <v>72</v>
      </c>
      <c r="F22" s="334">
        <v>4249</v>
      </c>
      <c r="G22" s="37"/>
      <c r="H22" s="37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100">
        <f t="shared" si="1"/>
        <v>0</v>
      </c>
      <c r="AM22" s="101">
        <f t="shared" si="0"/>
        <v>0</v>
      </c>
    </row>
    <row r="23" spans="1:41" ht="20.100000000000001" customHeight="1">
      <c r="A23" s="1085"/>
      <c r="B23" s="2415"/>
      <c r="C23" s="20">
        <v>11020872</v>
      </c>
      <c r="D23" s="3" t="s">
        <v>473</v>
      </c>
      <c r="E23" s="3" t="s">
        <v>73</v>
      </c>
      <c r="F23" s="712">
        <v>4249</v>
      </c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25">
        <f t="shared" si="1"/>
        <v>0</v>
      </c>
      <c r="AM23" s="102">
        <f t="shared" si="0"/>
        <v>0</v>
      </c>
      <c r="AO23" s="112"/>
    </row>
    <row r="24" spans="1:41" ht="20.100000000000001" customHeight="1">
      <c r="A24" s="1085"/>
      <c r="B24" s="2415"/>
      <c r="C24" s="24">
        <v>11020866</v>
      </c>
      <c r="D24" s="4" t="s">
        <v>474</v>
      </c>
      <c r="E24" s="4" t="s">
        <v>469</v>
      </c>
      <c r="F24" s="713">
        <v>3037</v>
      </c>
      <c r="G24" s="472"/>
      <c r="H24" s="472"/>
      <c r="I24" s="418"/>
      <c r="J24" s="27"/>
      <c r="K24" s="418"/>
      <c r="L24" s="418"/>
      <c r="M24" s="418"/>
      <c r="N24" s="418"/>
      <c r="O24" s="418"/>
      <c r="P24" s="418"/>
      <c r="Q24" s="418"/>
      <c r="R24" s="418"/>
      <c r="S24" s="418"/>
      <c r="T24" s="418"/>
      <c r="U24" s="418"/>
      <c r="V24" s="419"/>
      <c r="W24" s="418"/>
      <c r="X24" s="418"/>
      <c r="Y24" s="418"/>
      <c r="Z24" s="418"/>
      <c r="AA24" s="418"/>
      <c r="AB24" s="418"/>
      <c r="AC24" s="418"/>
      <c r="AD24" s="418"/>
      <c r="AE24" s="418"/>
      <c r="AF24" s="418"/>
      <c r="AG24" s="418"/>
      <c r="AH24" s="418"/>
      <c r="AI24" s="418"/>
      <c r="AJ24" s="418"/>
      <c r="AK24" s="418"/>
      <c r="AL24" s="125">
        <f t="shared" si="1"/>
        <v>0</v>
      </c>
      <c r="AM24" s="102">
        <f t="shared" si="0"/>
        <v>0</v>
      </c>
    </row>
    <row r="25" spans="1:41" ht="20.100000000000001" customHeight="1" thickBot="1">
      <c r="A25" s="1085"/>
      <c r="B25" s="2416"/>
      <c r="C25" s="28">
        <v>11020871</v>
      </c>
      <c r="D25" s="29" t="s">
        <v>475</v>
      </c>
      <c r="E25" s="29" t="s">
        <v>470</v>
      </c>
      <c r="F25" s="714">
        <v>3037</v>
      </c>
      <c r="G25" s="31"/>
      <c r="H25" s="31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126">
        <f t="shared" si="1"/>
        <v>0</v>
      </c>
      <c r="AM25" s="113">
        <f t="shared" si="0"/>
        <v>0</v>
      </c>
      <c r="AN25" s="1003">
        <f>SUM(AM22:AM25)</f>
        <v>0</v>
      </c>
      <c r="AO25" s="104"/>
    </row>
    <row r="26" spans="1:41" ht="20.100000000000001" customHeight="1">
      <c r="A26" s="1085"/>
      <c r="B26" s="2414" t="s">
        <v>772</v>
      </c>
      <c r="C26" s="593" t="s">
        <v>790</v>
      </c>
      <c r="D26" s="585" t="s">
        <v>788</v>
      </c>
      <c r="E26" s="585" t="s">
        <v>789</v>
      </c>
      <c r="F26" s="719">
        <v>4059</v>
      </c>
      <c r="G26" s="582"/>
      <c r="H26" s="583"/>
      <c r="I26" s="584"/>
      <c r="J26" s="584"/>
      <c r="K26" s="584"/>
      <c r="L26" s="584"/>
      <c r="M26" s="584"/>
      <c r="N26" s="584"/>
      <c r="O26" s="584"/>
      <c r="P26" s="584"/>
      <c r="Q26" s="584"/>
      <c r="R26" s="584"/>
      <c r="S26" s="584"/>
      <c r="T26" s="584"/>
      <c r="U26" s="584"/>
      <c r="V26" s="584"/>
      <c r="W26" s="584"/>
      <c r="X26" s="584"/>
      <c r="Y26" s="584"/>
      <c r="Z26" s="584"/>
      <c r="AA26" s="584"/>
      <c r="AB26" s="584"/>
      <c r="AC26" s="584"/>
      <c r="AD26" s="584"/>
      <c r="AE26" s="584"/>
      <c r="AF26" s="584"/>
      <c r="AG26" s="584"/>
      <c r="AH26" s="584"/>
      <c r="AI26" s="584"/>
      <c r="AJ26" s="584"/>
      <c r="AK26" s="583">
        <v>50</v>
      </c>
      <c r="AL26" s="586">
        <f t="shared" si="1"/>
        <v>50</v>
      </c>
      <c r="AM26" s="587">
        <f t="shared" si="0"/>
        <v>202950</v>
      </c>
      <c r="AN26" s="1005">
        <f>AM26</f>
        <v>202950</v>
      </c>
      <c r="AO26" s="104"/>
    </row>
    <row r="27" spans="1:41" ht="20.399999999999999" customHeight="1" thickBot="1">
      <c r="A27" s="1085"/>
      <c r="B27" s="2416"/>
      <c r="C27" s="592" t="s">
        <v>2121</v>
      </c>
      <c r="D27" s="29" t="s">
        <v>2122</v>
      </c>
      <c r="E27" s="29" t="s">
        <v>773</v>
      </c>
      <c r="F27" s="714">
        <v>5335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126">
        <f t="shared" si="1"/>
        <v>0</v>
      </c>
      <c r="AM27" s="113">
        <f t="shared" si="0"/>
        <v>0</v>
      </c>
      <c r="AN27" s="1005"/>
      <c r="AO27" s="104"/>
    </row>
    <row r="28" spans="1:41" ht="20.399999999999999" customHeight="1">
      <c r="A28" s="1085"/>
      <c r="B28" s="2414" t="s">
        <v>879</v>
      </c>
      <c r="C28" s="685" t="s">
        <v>2123</v>
      </c>
      <c r="D28" s="686" t="s">
        <v>855</v>
      </c>
      <c r="E28" s="686" t="s">
        <v>2124</v>
      </c>
      <c r="F28" s="2253">
        <v>1649</v>
      </c>
      <c r="G28" s="687"/>
      <c r="H28" s="687"/>
      <c r="I28" s="687"/>
      <c r="J28" s="687"/>
      <c r="K28" s="687"/>
      <c r="L28" s="687">
        <v>101</v>
      </c>
      <c r="M28" s="687"/>
      <c r="N28" s="687">
        <v>200</v>
      </c>
      <c r="O28" s="687"/>
      <c r="P28" s="687"/>
      <c r="Q28" s="687"/>
      <c r="R28" s="687"/>
      <c r="S28" s="687">
        <v>40</v>
      </c>
      <c r="T28" s="687"/>
      <c r="U28" s="687"/>
      <c r="V28" s="687"/>
      <c r="W28" s="687">
        <v>200</v>
      </c>
      <c r="X28" s="687"/>
      <c r="Y28" s="687"/>
      <c r="Z28" s="687">
        <v>360</v>
      </c>
      <c r="AA28" s="687"/>
      <c r="AB28" s="687"/>
      <c r="AC28" s="687"/>
      <c r="AD28" s="687"/>
      <c r="AE28" s="687"/>
      <c r="AF28" s="687"/>
      <c r="AG28" s="687"/>
      <c r="AH28" s="687"/>
      <c r="AI28" s="687"/>
      <c r="AJ28" s="687"/>
      <c r="AK28" s="687">
        <v>20</v>
      </c>
      <c r="AL28" s="684">
        <f t="shared" si="1"/>
        <v>921</v>
      </c>
      <c r="AM28" s="103">
        <f t="shared" si="0"/>
        <v>1518729</v>
      </c>
      <c r="AN28" s="1005"/>
      <c r="AO28" s="104"/>
    </row>
    <row r="29" spans="1:41" ht="20.399999999999999" customHeight="1" thickBot="1">
      <c r="A29" s="1085"/>
      <c r="B29" s="2416"/>
      <c r="C29" s="681" t="s">
        <v>2125</v>
      </c>
      <c r="D29" s="682" t="s">
        <v>856</v>
      </c>
      <c r="E29" s="682" t="s">
        <v>880</v>
      </c>
      <c r="F29" s="2258">
        <v>1649</v>
      </c>
      <c r="G29" s="683"/>
      <c r="H29" s="683"/>
      <c r="I29" s="683"/>
      <c r="J29" s="683"/>
      <c r="K29" s="683"/>
      <c r="L29" s="683">
        <v>74</v>
      </c>
      <c r="M29" s="683"/>
      <c r="N29" s="683">
        <v>200</v>
      </c>
      <c r="O29" s="683"/>
      <c r="P29" s="683"/>
      <c r="Q29" s="683"/>
      <c r="R29" s="683"/>
      <c r="S29" s="683">
        <v>400</v>
      </c>
      <c r="T29" s="683"/>
      <c r="U29" s="683"/>
      <c r="V29" s="683"/>
      <c r="W29" s="683">
        <v>200</v>
      </c>
      <c r="X29" s="683"/>
      <c r="Y29" s="683"/>
      <c r="Z29" s="683">
        <v>25</v>
      </c>
      <c r="AA29" s="683"/>
      <c r="AB29" s="683"/>
      <c r="AC29" s="683"/>
      <c r="AD29" s="683"/>
      <c r="AE29" s="683"/>
      <c r="AF29" s="683"/>
      <c r="AG29" s="683"/>
      <c r="AH29" s="683"/>
      <c r="AI29" s="683"/>
      <c r="AJ29" s="683"/>
      <c r="AK29" s="683"/>
      <c r="AL29" s="126">
        <f t="shared" si="1"/>
        <v>899</v>
      </c>
      <c r="AM29" s="113">
        <f t="shared" si="0"/>
        <v>1482451</v>
      </c>
      <c r="AN29" s="1005">
        <f>AM29+AM28</f>
        <v>3001180</v>
      </c>
      <c r="AO29" s="104"/>
    </row>
    <row r="30" spans="1:41" ht="20.100000000000001" customHeight="1">
      <c r="A30" s="1085"/>
      <c r="B30" s="2414" t="s">
        <v>782</v>
      </c>
      <c r="C30" s="598" t="s">
        <v>783</v>
      </c>
      <c r="D30" s="576" t="s">
        <v>784</v>
      </c>
      <c r="E30" s="576" t="s">
        <v>785</v>
      </c>
      <c r="F30" s="720">
        <v>4059</v>
      </c>
      <c r="G30" s="453"/>
      <c r="H30" s="453"/>
      <c r="I30" s="453"/>
      <c r="J30" s="453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V30" s="453"/>
      <c r="W30" s="453"/>
      <c r="X30" s="453"/>
      <c r="Y30" s="453"/>
      <c r="Z30" s="453"/>
      <c r="AA30" s="453"/>
      <c r="AB30" s="453"/>
      <c r="AC30" s="453"/>
      <c r="AD30" s="453"/>
      <c r="AE30" s="453"/>
      <c r="AF30" s="453"/>
      <c r="AG30" s="453"/>
      <c r="AH30" s="453"/>
      <c r="AI30" s="453"/>
      <c r="AJ30" s="453"/>
      <c r="AK30" s="453"/>
      <c r="AL30" s="100">
        <f t="shared" si="1"/>
        <v>0</v>
      </c>
      <c r="AM30" s="101">
        <f t="shared" si="0"/>
        <v>0</v>
      </c>
      <c r="AN30" s="1005"/>
      <c r="AO30" s="104"/>
    </row>
    <row r="31" spans="1:41" ht="20.100000000000001" customHeight="1">
      <c r="A31" s="1085"/>
      <c r="B31" s="2415"/>
      <c r="C31" s="599" t="s">
        <v>786</v>
      </c>
      <c r="D31" s="578" t="s">
        <v>784</v>
      </c>
      <c r="E31" s="578" t="s">
        <v>785</v>
      </c>
      <c r="F31" s="721">
        <v>4059</v>
      </c>
      <c r="G31" s="436"/>
      <c r="H31" s="436"/>
      <c r="I31" s="436"/>
      <c r="J31" s="436"/>
      <c r="K31" s="436"/>
      <c r="L31" s="436"/>
      <c r="M31" s="436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  <c r="Z31" s="436"/>
      <c r="AA31" s="436"/>
      <c r="AB31" s="436"/>
      <c r="AC31" s="436"/>
      <c r="AD31" s="436"/>
      <c r="AE31" s="436"/>
      <c r="AF31" s="436"/>
      <c r="AG31" s="436"/>
      <c r="AH31" s="436"/>
      <c r="AI31" s="436"/>
      <c r="AJ31" s="436"/>
      <c r="AK31" s="436"/>
      <c r="AL31" s="125">
        <f t="shared" si="1"/>
        <v>0</v>
      </c>
      <c r="AM31" s="102">
        <f t="shared" si="0"/>
        <v>0</v>
      </c>
      <c r="AN31" s="1005"/>
      <c r="AO31" s="104"/>
    </row>
    <row r="32" spans="1:41" ht="20.100000000000001" customHeight="1">
      <c r="A32" s="1085"/>
      <c r="B32" s="2415"/>
      <c r="C32" s="599" t="s">
        <v>787</v>
      </c>
      <c r="D32" s="578" t="s">
        <v>788</v>
      </c>
      <c r="E32" s="578" t="s">
        <v>789</v>
      </c>
      <c r="F32" s="721">
        <v>4059</v>
      </c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  <c r="AA32" s="436"/>
      <c r="AB32" s="436"/>
      <c r="AC32" s="436"/>
      <c r="AD32" s="436"/>
      <c r="AE32" s="436"/>
      <c r="AF32" s="436"/>
      <c r="AG32" s="436"/>
      <c r="AH32" s="436"/>
      <c r="AI32" s="436"/>
      <c r="AJ32" s="436"/>
      <c r="AK32" s="436"/>
      <c r="AL32" s="125">
        <f t="shared" si="1"/>
        <v>0</v>
      </c>
      <c r="AM32" s="102">
        <f t="shared" si="0"/>
        <v>0</v>
      </c>
      <c r="AN32" s="1005"/>
      <c r="AO32" s="104"/>
    </row>
    <row r="33" spans="1:41" ht="20.100000000000001" customHeight="1">
      <c r="A33" s="1085"/>
      <c r="B33" s="2415"/>
      <c r="C33" s="599" t="s">
        <v>790</v>
      </c>
      <c r="D33" s="578" t="s">
        <v>788</v>
      </c>
      <c r="E33" s="578" t="s">
        <v>789</v>
      </c>
      <c r="F33" s="721">
        <v>4059</v>
      </c>
      <c r="G33" s="436"/>
      <c r="H33" s="436"/>
      <c r="I33" s="436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  <c r="AB33" s="436"/>
      <c r="AC33" s="436"/>
      <c r="AD33" s="436"/>
      <c r="AE33" s="436">
        <v>50</v>
      </c>
      <c r="AF33" s="436"/>
      <c r="AG33" s="436"/>
      <c r="AH33" s="436"/>
      <c r="AI33" s="436"/>
      <c r="AJ33" s="436"/>
      <c r="AK33" s="436"/>
      <c r="AL33" s="125">
        <f t="shared" si="1"/>
        <v>50</v>
      </c>
      <c r="AM33" s="102">
        <f t="shared" si="0"/>
        <v>202950</v>
      </c>
      <c r="AN33" s="1005"/>
      <c r="AO33" s="104"/>
    </row>
    <row r="34" spans="1:41" ht="20.100000000000001" customHeight="1">
      <c r="A34" s="1085"/>
      <c r="B34" s="2415"/>
      <c r="C34" s="599" t="s">
        <v>791</v>
      </c>
      <c r="D34" s="578" t="s">
        <v>792</v>
      </c>
      <c r="E34" s="578" t="s">
        <v>793</v>
      </c>
      <c r="F34" s="721">
        <v>5335</v>
      </c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  <c r="AA34" s="436"/>
      <c r="AB34" s="436"/>
      <c r="AC34" s="436"/>
      <c r="AD34" s="436"/>
      <c r="AE34" s="436"/>
      <c r="AF34" s="436"/>
      <c r="AG34" s="436"/>
      <c r="AH34" s="436"/>
      <c r="AI34" s="436"/>
      <c r="AJ34" s="436"/>
      <c r="AK34" s="436"/>
      <c r="AL34" s="125">
        <f t="shared" si="1"/>
        <v>0</v>
      </c>
      <c r="AM34" s="102">
        <f t="shared" si="0"/>
        <v>0</v>
      </c>
      <c r="AN34" s="1005"/>
      <c r="AO34" s="104"/>
    </row>
    <row r="35" spans="1:41" ht="20.100000000000001" customHeight="1">
      <c r="A35" s="1085"/>
      <c r="B35" s="2415"/>
      <c r="C35" s="599" t="s">
        <v>2121</v>
      </c>
      <c r="D35" s="578" t="s">
        <v>2122</v>
      </c>
      <c r="E35" s="578" t="s">
        <v>2126</v>
      </c>
      <c r="F35" s="721">
        <v>5335</v>
      </c>
      <c r="G35" s="436"/>
      <c r="H35" s="436"/>
      <c r="I35" s="436"/>
      <c r="J35" s="436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  <c r="AA35" s="436"/>
      <c r="AB35" s="436"/>
      <c r="AC35" s="436"/>
      <c r="AD35" s="436"/>
      <c r="AE35" s="436"/>
      <c r="AF35" s="436"/>
      <c r="AG35" s="436"/>
      <c r="AH35" s="436"/>
      <c r="AI35" s="436"/>
      <c r="AJ35" s="436"/>
      <c r="AK35" s="436"/>
      <c r="AL35" s="125">
        <f t="shared" si="1"/>
        <v>0</v>
      </c>
      <c r="AM35" s="102">
        <f t="shared" si="0"/>
        <v>0</v>
      </c>
      <c r="AN35" s="1005"/>
      <c r="AO35" s="104"/>
    </row>
    <row r="36" spans="1:41" ht="20.100000000000001" customHeight="1">
      <c r="A36" s="1085"/>
      <c r="B36" s="2415"/>
      <c r="C36" s="599" t="s">
        <v>794</v>
      </c>
      <c r="D36" s="578" t="s">
        <v>795</v>
      </c>
      <c r="E36" s="578" t="s">
        <v>796</v>
      </c>
      <c r="F36" s="721">
        <v>3463</v>
      </c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  <c r="AA36" s="436"/>
      <c r="AB36" s="436"/>
      <c r="AC36" s="436"/>
      <c r="AD36" s="436"/>
      <c r="AE36" s="436"/>
      <c r="AF36" s="436"/>
      <c r="AG36" s="436"/>
      <c r="AH36" s="436"/>
      <c r="AI36" s="436"/>
      <c r="AJ36" s="436"/>
      <c r="AK36" s="436"/>
      <c r="AL36" s="125">
        <f t="shared" si="1"/>
        <v>0</v>
      </c>
      <c r="AM36" s="102">
        <f t="shared" si="0"/>
        <v>0</v>
      </c>
      <c r="AN36" s="1005"/>
      <c r="AO36" s="104"/>
    </row>
    <row r="37" spans="1:41" ht="20.100000000000001" customHeight="1" thickBot="1">
      <c r="A37" s="1085"/>
      <c r="B37" s="2415"/>
      <c r="C37" s="600" t="s">
        <v>797</v>
      </c>
      <c r="D37" s="107" t="s">
        <v>795</v>
      </c>
      <c r="E37" s="107" t="s">
        <v>796</v>
      </c>
      <c r="F37" s="717">
        <v>3463</v>
      </c>
      <c r="G37" s="416"/>
      <c r="H37" s="416"/>
      <c r="I37" s="416"/>
      <c r="J37" s="416"/>
      <c r="K37" s="416"/>
      <c r="L37" s="416"/>
      <c r="M37" s="416"/>
      <c r="N37" s="416"/>
      <c r="O37" s="416"/>
      <c r="P37" s="416"/>
      <c r="Q37" s="416"/>
      <c r="R37" s="416"/>
      <c r="S37" s="416"/>
      <c r="T37" s="416"/>
      <c r="U37" s="416"/>
      <c r="V37" s="416"/>
      <c r="W37" s="416"/>
      <c r="X37" s="416"/>
      <c r="Y37" s="416"/>
      <c r="Z37" s="416"/>
      <c r="AA37" s="416"/>
      <c r="AB37" s="416"/>
      <c r="AC37" s="416"/>
      <c r="AD37" s="416"/>
      <c r="AE37" s="416"/>
      <c r="AF37" s="416"/>
      <c r="AG37" s="416"/>
      <c r="AH37" s="416"/>
      <c r="AI37" s="416"/>
      <c r="AJ37" s="416"/>
      <c r="AK37" s="416"/>
      <c r="AL37" s="684">
        <f t="shared" si="1"/>
        <v>0</v>
      </c>
      <c r="AM37" s="103">
        <f t="shared" si="0"/>
        <v>0</v>
      </c>
      <c r="AN37" s="1005"/>
      <c r="AO37" s="104"/>
    </row>
    <row r="38" spans="1:41" ht="20.100000000000001" customHeight="1">
      <c r="A38" s="5"/>
      <c r="B38" s="2420" t="s">
        <v>1517</v>
      </c>
      <c r="C38" s="1419" t="s">
        <v>1490</v>
      </c>
      <c r="D38" s="1418" t="s">
        <v>1510</v>
      </c>
      <c r="E38" s="1418" t="s">
        <v>1491</v>
      </c>
      <c r="F38" s="2253">
        <v>1076</v>
      </c>
      <c r="G38" s="453">
        <v>480</v>
      </c>
      <c r="H38" s="453">
        <v>400</v>
      </c>
      <c r="I38" s="453">
        <v>320</v>
      </c>
      <c r="J38" s="453">
        <v>240</v>
      </c>
      <c r="K38" s="453"/>
      <c r="L38" s="453">
        <v>400</v>
      </c>
      <c r="M38" s="453">
        <v>320</v>
      </c>
      <c r="N38" s="453">
        <v>400</v>
      </c>
      <c r="O38" s="453">
        <v>240</v>
      </c>
      <c r="P38" s="453">
        <v>320</v>
      </c>
      <c r="Q38" s="453"/>
      <c r="R38" s="453"/>
      <c r="S38" s="453">
        <v>560</v>
      </c>
      <c r="T38" s="453"/>
      <c r="U38" s="453"/>
      <c r="V38" s="453"/>
      <c r="W38" s="436"/>
      <c r="X38" s="453"/>
      <c r="Y38" s="453"/>
      <c r="Z38" s="453">
        <v>1648</v>
      </c>
      <c r="AA38" s="453"/>
      <c r="AB38" s="453"/>
      <c r="AC38" s="453">
        <v>432</v>
      </c>
      <c r="AD38" s="453">
        <v>576</v>
      </c>
      <c r="AE38" s="453"/>
      <c r="AF38" s="453"/>
      <c r="AG38" s="453">
        <v>432</v>
      </c>
      <c r="AH38" s="453"/>
      <c r="AI38" s="453"/>
      <c r="AJ38" s="453"/>
      <c r="AK38" s="453">
        <v>1296</v>
      </c>
      <c r="AL38" s="586">
        <f>SUM(G38:AK38)</f>
        <v>8064</v>
      </c>
      <c r="AM38" s="587">
        <f t="shared" ref="AM38:AM62" si="3">AL38*F38</f>
        <v>8676864</v>
      </c>
      <c r="AN38" s="1005"/>
      <c r="AO38" s="104"/>
    </row>
    <row r="39" spans="1:41" ht="20.100000000000001" customHeight="1">
      <c r="A39" s="5"/>
      <c r="B39" s="2421"/>
      <c r="C39" s="1420" t="s">
        <v>1493</v>
      </c>
      <c r="D39" s="1364" t="s">
        <v>1511</v>
      </c>
      <c r="E39" s="1364" t="s">
        <v>1492</v>
      </c>
      <c r="F39" s="2250">
        <v>1712</v>
      </c>
      <c r="G39" s="436">
        <v>480</v>
      </c>
      <c r="H39" s="436">
        <v>400</v>
      </c>
      <c r="I39" s="436">
        <v>320</v>
      </c>
      <c r="J39" s="436">
        <v>240</v>
      </c>
      <c r="K39" s="436"/>
      <c r="L39" s="436">
        <v>400</v>
      </c>
      <c r="M39" s="436">
        <v>320</v>
      </c>
      <c r="N39" s="436">
        <v>400</v>
      </c>
      <c r="O39" s="436">
        <v>240</v>
      </c>
      <c r="P39" s="436">
        <v>320</v>
      </c>
      <c r="Q39" s="436"/>
      <c r="R39" s="436"/>
      <c r="S39" s="436">
        <v>560</v>
      </c>
      <c r="T39" s="436"/>
      <c r="U39" s="436"/>
      <c r="V39" s="436"/>
      <c r="W39" s="416"/>
      <c r="X39" s="436"/>
      <c r="Y39" s="436"/>
      <c r="Z39" s="436">
        <v>1648</v>
      </c>
      <c r="AA39" s="436"/>
      <c r="AB39" s="436"/>
      <c r="AC39" s="436">
        <v>432</v>
      </c>
      <c r="AD39" s="436">
        <v>576</v>
      </c>
      <c r="AE39" s="436"/>
      <c r="AF39" s="436"/>
      <c r="AG39" s="436">
        <v>432</v>
      </c>
      <c r="AH39" s="436"/>
      <c r="AI39" s="436"/>
      <c r="AJ39" s="436"/>
      <c r="AK39" s="436">
        <v>1296</v>
      </c>
      <c r="AL39" s="684">
        <f>SUM(G39:AK39)</f>
        <v>8064</v>
      </c>
      <c r="AM39" s="103">
        <f t="shared" si="3"/>
        <v>13805568</v>
      </c>
      <c r="AN39" s="1005"/>
      <c r="AO39" s="104"/>
    </row>
    <row r="40" spans="1:41" ht="20.100000000000001" customHeight="1">
      <c r="A40" s="5"/>
      <c r="B40" s="2421"/>
      <c r="C40" s="1420" t="s">
        <v>2127</v>
      </c>
      <c r="D40" s="1364" t="s">
        <v>1512</v>
      </c>
      <c r="E40" s="1364" t="s">
        <v>1514</v>
      </c>
      <c r="F40" s="2250">
        <v>1661</v>
      </c>
      <c r="G40" s="436"/>
      <c r="H40" s="436">
        <v>576</v>
      </c>
      <c r="I40" s="436">
        <v>288</v>
      </c>
      <c r="J40" s="436"/>
      <c r="K40" s="436"/>
      <c r="L40" s="436">
        <v>432</v>
      </c>
      <c r="M40" s="436">
        <v>432</v>
      </c>
      <c r="N40" s="436"/>
      <c r="O40" s="436">
        <v>432</v>
      </c>
      <c r="P40" s="436">
        <v>432</v>
      </c>
      <c r="Q40" s="436"/>
      <c r="R40" s="436"/>
      <c r="S40" s="436">
        <v>432</v>
      </c>
      <c r="T40" s="436"/>
      <c r="U40" s="436"/>
      <c r="V40" s="436"/>
      <c r="W40" s="436"/>
      <c r="X40" s="436"/>
      <c r="Y40" s="436"/>
      <c r="Z40" s="436">
        <v>2503</v>
      </c>
      <c r="AA40" s="436"/>
      <c r="AB40" s="436">
        <v>320</v>
      </c>
      <c r="AC40" s="436">
        <v>80</v>
      </c>
      <c r="AD40" s="436">
        <v>480</v>
      </c>
      <c r="AE40" s="436"/>
      <c r="AF40" s="436"/>
      <c r="AG40" s="436">
        <v>240</v>
      </c>
      <c r="AH40" s="436"/>
      <c r="AI40" s="436"/>
      <c r="AJ40" s="436"/>
      <c r="AK40" s="436">
        <v>720</v>
      </c>
      <c r="AL40" s="684">
        <f>SUM(G40:AK40)</f>
        <v>7367</v>
      </c>
      <c r="AM40" s="103">
        <f t="shared" si="3"/>
        <v>12236587</v>
      </c>
      <c r="AN40" s="1005"/>
      <c r="AO40" s="104"/>
    </row>
    <row r="41" spans="1:41" ht="20.100000000000001" customHeight="1" thickBot="1">
      <c r="A41" s="5"/>
      <c r="B41" s="2421"/>
      <c r="C41" s="1494" t="s">
        <v>2128</v>
      </c>
      <c r="D41" s="1367" t="s">
        <v>1513</v>
      </c>
      <c r="E41" s="1367" t="s">
        <v>1515</v>
      </c>
      <c r="F41" s="2257">
        <v>1661</v>
      </c>
      <c r="G41" s="416"/>
      <c r="H41" s="416">
        <v>576</v>
      </c>
      <c r="I41" s="416">
        <v>288</v>
      </c>
      <c r="J41" s="416"/>
      <c r="K41" s="416"/>
      <c r="L41" s="416">
        <v>432</v>
      </c>
      <c r="M41" s="416">
        <v>432</v>
      </c>
      <c r="N41" s="416"/>
      <c r="O41" s="416">
        <v>432</v>
      </c>
      <c r="P41" s="416">
        <v>432</v>
      </c>
      <c r="Q41" s="416"/>
      <c r="R41" s="416"/>
      <c r="S41" s="416">
        <v>432</v>
      </c>
      <c r="T41" s="416"/>
      <c r="U41" s="416"/>
      <c r="V41" s="416"/>
      <c r="W41" s="416"/>
      <c r="X41" s="416"/>
      <c r="Y41" s="416"/>
      <c r="Z41" s="416">
        <v>2508</v>
      </c>
      <c r="AA41" s="416"/>
      <c r="AB41" s="416">
        <v>320</v>
      </c>
      <c r="AC41" s="416">
        <v>80</v>
      </c>
      <c r="AD41" s="416">
        <v>480</v>
      </c>
      <c r="AE41" s="416"/>
      <c r="AF41" s="416"/>
      <c r="AG41" s="416">
        <v>240</v>
      </c>
      <c r="AH41" s="416"/>
      <c r="AI41" s="416"/>
      <c r="AJ41" s="416"/>
      <c r="AK41" s="416">
        <v>720</v>
      </c>
      <c r="AL41" s="684">
        <f>SUM(G41:AK41)</f>
        <v>7372</v>
      </c>
      <c r="AM41" s="103">
        <f t="shared" si="3"/>
        <v>12244892</v>
      </c>
      <c r="AN41" s="1005">
        <f>SUM(AM38:AM41)</f>
        <v>46963911</v>
      </c>
      <c r="AO41" s="104"/>
    </row>
    <row r="42" spans="1:41" ht="18.75" customHeight="1">
      <c r="A42" s="5"/>
      <c r="B42" s="2422" t="s">
        <v>1094</v>
      </c>
      <c r="C42" s="576" t="s">
        <v>1795</v>
      </c>
      <c r="D42" s="576" t="s">
        <v>1836</v>
      </c>
      <c r="E42" s="576" t="s">
        <v>1149</v>
      </c>
      <c r="F42" s="2253">
        <v>2858</v>
      </c>
      <c r="G42" s="991">
        <v>1300</v>
      </c>
      <c r="H42" s="991">
        <v>600</v>
      </c>
      <c r="I42" s="453">
        <v>1400</v>
      </c>
      <c r="J42" s="453">
        <v>600</v>
      </c>
      <c r="K42" s="453"/>
      <c r="L42" s="453">
        <v>1200</v>
      </c>
      <c r="M42" s="453">
        <v>900</v>
      </c>
      <c r="N42" s="453">
        <v>1000</v>
      </c>
      <c r="O42" s="453">
        <v>1000</v>
      </c>
      <c r="P42" s="453">
        <v>900</v>
      </c>
      <c r="Q42" s="453"/>
      <c r="R42" s="453"/>
      <c r="S42" s="453">
        <v>1200</v>
      </c>
      <c r="T42" s="453">
        <v>900</v>
      </c>
      <c r="U42" s="453">
        <v>900</v>
      </c>
      <c r="V42" s="453">
        <v>1200</v>
      </c>
      <c r="W42" s="453"/>
      <c r="X42" s="453"/>
      <c r="Y42" s="453"/>
      <c r="Z42" s="453">
        <v>600</v>
      </c>
      <c r="AA42" s="991">
        <v>1000</v>
      </c>
      <c r="AB42" s="453">
        <v>900</v>
      </c>
      <c r="AC42" s="453">
        <v>900</v>
      </c>
      <c r="AD42" s="453">
        <v>900</v>
      </c>
      <c r="AE42" s="453"/>
      <c r="AF42" s="453"/>
      <c r="AG42" s="991">
        <v>1000</v>
      </c>
      <c r="AH42" s="991">
        <v>600</v>
      </c>
      <c r="AI42" s="991">
        <v>1000</v>
      </c>
      <c r="AJ42" s="991">
        <v>1000</v>
      </c>
      <c r="AK42" s="991">
        <v>400</v>
      </c>
      <c r="AL42" s="100">
        <f t="shared" ref="AL42:AL43" si="4">SUM(G42:AK42)</f>
        <v>21400</v>
      </c>
      <c r="AM42" s="101">
        <f t="shared" si="3"/>
        <v>61161200</v>
      </c>
      <c r="AN42" s="1265"/>
      <c r="AO42" s="1166"/>
    </row>
    <row r="43" spans="1:41" ht="20.100000000000001" customHeight="1">
      <c r="A43" s="5"/>
      <c r="B43" s="2423"/>
      <c r="C43" s="578" t="s">
        <v>1796</v>
      </c>
      <c r="D43" s="578" t="s">
        <v>1837</v>
      </c>
      <c r="E43" s="578" t="s">
        <v>1150</v>
      </c>
      <c r="F43" s="2250">
        <v>2858</v>
      </c>
      <c r="G43" s="922">
        <v>1300</v>
      </c>
      <c r="H43" s="922">
        <v>600</v>
      </c>
      <c r="I43" s="436">
        <v>1400</v>
      </c>
      <c r="J43" s="436">
        <v>600</v>
      </c>
      <c r="K43" s="436"/>
      <c r="L43" s="436">
        <v>1200</v>
      </c>
      <c r="M43" s="436">
        <v>900</v>
      </c>
      <c r="N43" s="436">
        <v>1000</v>
      </c>
      <c r="O43" s="436">
        <v>1000</v>
      </c>
      <c r="P43" s="436">
        <v>900</v>
      </c>
      <c r="Q43" s="436"/>
      <c r="R43" s="436"/>
      <c r="S43" s="436">
        <v>1200</v>
      </c>
      <c r="T43" s="436">
        <v>900</v>
      </c>
      <c r="U43" s="436">
        <v>900</v>
      </c>
      <c r="V43" s="436">
        <v>1200</v>
      </c>
      <c r="W43" s="436"/>
      <c r="X43" s="436"/>
      <c r="Y43" s="436"/>
      <c r="Z43" s="436">
        <v>600</v>
      </c>
      <c r="AA43" s="922">
        <v>1000</v>
      </c>
      <c r="AB43" s="436">
        <v>900</v>
      </c>
      <c r="AC43" s="436">
        <v>900</v>
      </c>
      <c r="AD43" s="436">
        <v>700</v>
      </c>
      <c r="AE43" s="436"/>
      <c r="AF43" s="436"/>
      <c r="AG43" s="922">
        <v>1000</v>
      </c>
      <c r="AH43" s="922">
        <v>600</v>
      </c>
      <c r="AI43" s="922">
        <v>1000</v>
      </c>
      <c r="AJ43" s="922">
        <v>1000</v>
      </c>
      <c r="AK43" s="922">
        <v>400</v>
      </c>
      <c r="AL43" s="125">
        <f t="shared" si="4"/>
        <v>21200</v>
      </c>
      <c r="AM43" s="102">
        <f t="shared" si="3"/>
        <v>60589600</v>
      </c>
      <c r="AN43" s="1265"/>
      <c r="AO43" s="1167"/>
    </row>
    <row r="44" spans="1:41" ht="20.100000000000001" customHeight="1">
      <c r="A44" s="5"/>
      <c r="B44" s="2423"/>
      <c r="C44" s="578" t="s">
        <v>1791</v>
      </c>
      <c r="D44" s="578" t="s">
        <v>1840</v>
      </c>
      <c r="E44" s="578" t="s">
        <v>1153</v>
      </c>
      <c r="F44" s="2250">
        <v>11028</v>
      </c>
      <c r="G44" s="436">
        <v>1380</v>
      </c>
      <c r="H44" s="436">
        <v>960</v>
      </c>
      <c r="I44" s="436">
        <v>900</v>
      </c>
      <c r="J44" s="436">
        <v>960</v>
      </c>
      <c r="K44" s="436"/>
      <c r="L44" s="436">
        <v>900</v>
      </c>
      <c r="M44" s="436">
        <v>900</v>
      </c>
      <c r="N44" s="436">
        <v>900</v>
      </c>
      <c r="O44" s="436">
        <v>900</v>
      </c>
      <c r="P44" s="436">
        <v>900</v>
      </c>
      <c r="Q44" s="436"/>
      <c r="R44" s="436"/>
      <c r="S44" s="436">
        <v>900</v>
      </c>
      <c r="T44" s="436">
        <v>900</v>
      </c>
      <c r="U44" s="436">
        <v>900</v>
      </c>
      <c r="V44" s="436">
        <v>900</v>
      </c>
      <c r="W44" s="436"/>
      <c r="X44" s="436"/>
      <c r="Y44" s="436"/>
      <c r="Z44" s="436">
        <v>360</v>
      </c>
      <c r="AA44" s="436">
        <v>900</v>
      </c>
      <c r="AB44" s="436">
        <v>900</v>
      </c>
      <c r="AC44" s="436">
        <v>900</v>
      </c>
      <c r="AD44" s="436">
        <v>1560</v>
      </c>
      <c r="AE44" s="436"/>
      <c r="AF44" s="436"/>
      <c r="AG44" s="922">
        <v>480</v>
      </c>
      <c r="AH44" s="922">
        <v>480</v>
      </c>
      <c r="AI44" s="922">
        <v>900</v>
      </c>
      <c r="AJ44" s="922">
        <v>960</v>
      </c>
      <c r="AK44" s="922">
        <v>1740</v>
      </c>
      <c r="AL44" s="125">
        <f>SUM(G44:AK44)</f>
        <v>21480</v>
      </c>
      <c r="AM44" s="102">
        <f t="shared" si="3"/>
        <v>236881440</v>
      </c>
      <c r="AN44" s="1265"/>
      <c r="AO44" s="104"/>
    </row>
    <row r="45" spans="1:41" ht="20.100000000000001" customHeight="1">
      <c r="A45" s="5"/>
      <c r="B45" s="2423"/>
      <c r="C45" s="578" t="s">
        <v>1792</v>
      </c>
      <c r="D45" s="578" t="s">
        <v>1841</v>
      </c>
      <c r="E45" s="578" t="s">
        <v>1154</v>
      </c>
      <c r="F45" s="2250">
        <v>11028</v>
      </c>
      <c r="G45" s="436">
        <v>1380</v>
      </c>
      <c r="H45" s="436">
        <v>960</v>
      </c>
      <c r="I45" s="436">
        <v>900</v>
      </c>
      <c r="J45" s="436">
        <v>960</v>
      </c>
      <c r="K45" s="436"/>
      <c r="L45" s="436">
        <v>900</v>
      </c>
      <c r="M45" s="436">
        <v>900</v>
      </c>
      <c r="N45" s="436">
        <v>900</v>
      </c>
      <c r="O45" s="436">
        <v>900</v>
      </c>
      <c r="P45" s="436">
        <v>900</v>
      </c>
      <c r="Q45" s="436"/>
      <c r="R45" s="436"/>
      <c r="S45" s="436">
        <v>900</v>
      </c>
      <c r="T45" s="436">
        <v>900</v>
      </c>
      <c r="U45" s="436">
        <v>900</v>
      </c>
      <c r="V45" s="436">
        <v>900</v>
      </c>
      <c r="W45" s="436"/>
      <c r="X45" s="436"/>
      <c r="Y45" s="436"/>
      <c r="Z45" s="436">
        <v>360</v>
      </c>
      <c r="AA45" s="436">
        <v>900</v>
      </c>
      <c r="AB45" s="436">
        <v>900</v>
      </c>
      <c r="AC45" s="436">
        <v>900</v>
      </c>
      <c r="AD45" s="436">
        <v>1500</v>
      </c>
      <c r="AE45" s="436"/>
      <c r="AF45" s="436"/>
      <c r="AG45" s="922">
        <v>480</v>
      </c>
      <c r="AH45" s="922">
        <v>480</v>
      </c>
      <c r="AI45" s="922">
        <v>900</v>
      </c>
      <c r="AJ45" s="922">
        <v>600</v>
      </c>
      <c r="AK45" s="922">
        <v>2100</v>
      </c>
      <c r="AL45" s="125">
        <f>SUM(G45:AK45)</f>
        <v>21420</v>
      </c>
      <c r="AM45" s="102">
        <f t="shared" si="3"/>
        <v>236219760</v>
      </c>
      <c r="AN45" s="1265"/>
      <c r="AO45" s="104"/>
    </row>
    <row r="46" spans="1:41" ht="20.100000000000001" customHeight="1">
      <c r="A46" s="5"/>
      <c r="B46" s="2423"/>
      <c r="C46" s="578" t="s">
        <v>1793</v>
      </c>
      <c r="D46" s="578" t="s">
        <v>1838</v>
      </c>
      <c r="E46" s="578" t="s">
        <v>1151</v>
      </c>
      <c r="F46" s="2250">
        <v>10598</v>
      </c>
      <c r="G46" s="436">
        <v>60</v>
      </c>
      <c r="H46" s="436"/>
      <c r="I46" s="436">
        <v>60</v>
      </c>
      <c r="J46" s="436"/>
      <c r="K46" s="436"/>
      <c r="L46" s="436">
        <v>60</v>
      </c>
      <c r="M46" s="436"/>
      <c r="N46" s="436">
        <v>60</v>
      </c>
      <c r="O46" s="436"/>
      <c r="P46" s="436">
        <v>60</v>
      </c>
      <c r="Q46" s="436"/>
      <c r="R46" s="436"/>
      <c r="S46" s="436">
        <v>60</v>
      </c>
      <c r="T46" s="436"/>
      <c r="U46" s="436">
        <v>60</v>
      </c>
      <c r="V46" s="436">
        <v>60</v>
      </c>
      <c r="W46" s="436"/>
      <c r="X46" s="436"/>
      <c r="Y46" s="436"/>
      <c r="Z46" s="436"/>
      <c r="AA46" s="436"/>
      <c r="AB46" s="436">
        <v>120</v>
      </c>
      <c r="AC46" s="436"/>
      <c r="AD46" s="436">
        <v>60</v>
      </c>
      <c r="AE46" s="436"/>
      <c r="AF46" s="436"/>
      <c r="AG46" s="922"/>
      <c r="AH46" s="922"/>
      <c r="AI46" s="922">
        <v>60</v>
      </c>
      <c r="AJ46" s="922"/>
      <c r="AK46" s="922">
        <v>60</v>
      </c>
      <c r="AL46" s="125">
        <f>SUM(G46:AK46)</f>
        <v>780</v>
      </c>
      <c r="AM46" s="102">
        <f t="shared" si="3"/>
        <v>8266440</v>
      </c>
      <c r="AN46" s="1265"/>
      <c r="AO46" s="104"/>
    </row>
    <row r="47" spans="1:41" ht="20.100000000000001" customHeight="1">
      <c r="A47" s="5"/>
      <c r="B47" s="2423"/>
      <c r="C47" s="578" t="s">
        <v>1794</v>
      </c>
      <c r="D47" s="578" t="s">
        <v>1839</v>
      </c>
      <c r="E47" s="578" t="s">
        <v>1152</v>
      </c>
      <c r="F47" s="2250">
        <v>10598</v>
      </c>
      <c r="G47" s="436">
        <v>60</v>
      </c>
      <c r="H47" s="436"/>
      <c r="I47" s="436">
        <v>60</v>
      </c>
      <c r="J47" s="436"/>
      <c r="K47" s="436"/>
      <c r="L47" s="436">
        <v>60</v>
      </c>
      <c r="M47" s="436"/>
      <c r="N47" s="436">
        <v>60</v>
      </c>
      <c r="O47" s="436"/>
      <c r="P47" s="436">
        <v>60</v>
      </c>
      <c r="Q47" s="436"/>
      <c r="R47" s="436"/>
      <c r="S47" s="436">
        <v>60</v>
      </c>
      <c r="T47" s="436"/>
      <c r="U47" s="436">
        <v>60</v>
      </c>
      <c r="V47" s="436">
        <v>60</v>
      </c>
      <c r="W47" s="436"/>
      <c r="X47" s="436"/>
      <c r="Y47" s="436"/>
      <c r="Z47" s="84"/>
      <c r="AA47" s="436"/>
      <c r="AB47" s="436">
        <v>120</v>
      </c>
      <c r="AC47" s="436"/>
      <c r="AD47" s="436">
        <v>60</v>
      </c>
      <c r="AE47" s="436"/>
      <c r="AF47" s="436"/>
      <c r="AG47" s="922"/>
      <c r="AH47" s="922"/>
      <c r="AI47" s="922">
        <v>60</v>
      </c>
      <c r="AJ47" s="922"/>
      <c r="AK47" s="922">
        <v>60</v>
      </c>
      <c r="AL47" s="125">
        <f>SUM(G47:AK47)</f>
        <v>780</v>
      </c>
      <c r="AM47" s="102">
        <f t="shared" si="3"/>
        <v>8266440</v>
      </c>
      <c r="AN47" s="1265"/>
      <c r="AO47" s="104"/>
    </row>
    <row r="48" spans="1:41" ht="20.100000000000001" customHeight="1">
      <c r="A48" s="5"/>
      <c r="B48" s="2423"/>
      <c r="C48" s="578" t="s">
        <v>2229</v>
      </c>
      <c r="D48" s="578" t="s">
        <v>2233</v>
      </c>
      <c r="E48" s="578" t="s">
        <v>2231</v>
      </c>
      <c r="F48" s="721">
        <v>10627</v>
      </c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84"/>
      <c r="AA48" s="436"/>
      <c r="AB48" s="436"/>
      <c r="AC48" s="436"/>
      <c r="AD48" s="436">
        <v>100</v>
      </c>
      <c r="AE48" s="436"/>
      <c r="AF48" s="436"/>
      <c r="AG48" s="2071"/>
      <c r="AH48" s="2071"/>
      <c r="AI48" s="2071"/>
      <c r="AJ48" s="2071"/>
      <c r="AK48" s="2071"/>
      <c r="AL48" s="125">
        <f t="shared" ref="AL48:AL49" si="5">SUM(G48:AK48)</f>
        <v>100</v>
      </c>
      <c r="AM48" s="102">
        <f t="shared" si="3"/>
        <v>1062700</v>
      </c>
      <c r="AN48" s="1265"/>
      <c r="AO48" s="104"/>
    </row>
    <row r="49" spans="1:42" ht="20.100000000000001" customHeight="1" thickBot="1">
      <c r="A49" s="5"/>
      <c r="B49" s="2424"/>
      <c r="C49" s="740" t="s">
        <v>2230</v>
      </c>
      <c r="D49" s="740" t="s">
        <v>2234</v>
      </c>
      <c r="E49" s="740" t="s">
        <v>2232</v>
      </c>
      <c r="F49" s="738">
        <v>2753</v>
      </c>
      <c r="G49" s="455"/>
      <c r="H49" s="455"/>
      <c r="I49" s="455"/>
      <c r="J49" s="455"/>
      <c r="K49" s="455"/>
      <c r="L49" s="455"/>
      <c r="M49" s="455"/>
      <c r="N49" s="455"/>
      <c r="O49" s="455"/>
      <c r="P49" s="455"/>
      <c r="Q49" s="455"/>
      <c r="R49" s="455"/>
      <c r="S49" s="455"/>
      <c r="T49" s="455"/>
      <c r="U49" s="455"/>
      <c r="V49" s="455"/>
      <c r="W49" s="455"/>
      <c r="X49" s="455"/>
      <c r="Y49" s="455"/>
      <c r="Z49" s="80"/>
      <c r="AA49" s="455"/>
      <c r="AB49" s="455"/>
      <c r="AC49" s="455"/>
      <c r="AD49" s="455">
        <v>100</v>
      </c>
      <c r="AE49" s="455"/>
      <c r="AF49" s="455"/>
      <c r="AG49" s="2072"/>
      <c r="AH49" s="2072"/>
      <c r="AI49" s="2072"/>
      <c r="AJ49" s="2072"/>
      <c r="AK49" s="2072"/>
      <c r="AL49" s="125">
        <f t="shared" si="5"/>
        <v>100</v>
      </c>
      <c r="AM49" s="102">
        <f t="shared" si="3"/>
        <v>275300</v>
      </c>
      <c r="AN49" s="1005">
        <f>SUM(AM42:AM49)</f>
        <v>612722880</v>
      </c>
      <c r="AO49" s="104"/>
    </row>
    <row r="50" spans="1:42" ht="20.100000000000001" customHeight="1" thickBot="1">
      <c r="A50" s="1085"/>
      <c r="B50" s="1168" t="s">
        <v>199</v>
      </c>
      <c r="C50" s="1169" t="s">
        <v>200</v>
      </c>
      <c r="D50" s="1170">
        <v>94511494</v>
      </c>
      <c r="E50" s="1170" t="s">
        <v>490</v>
      </c>
      <c r="F50" s="1171">
        <v>648</v>
      </c>
      <c r="G50" s="1172"/>
      <c r="H50" s="1173"/>
      <c r="I50" s="1174"/>
      <c r="J50" s="1174"/>
      <c r="K50" s="1174"/>
      <c r="L50" s="1174"/>
      <c r="M50" s="1174"/>
      <c r="N50" s="1174"/>
      <c r="O50" s="1174"/>
      <c r="P50" s="1174"/>
      <c r="Q50" s="1174"/>
      <c r="R50" s="1174"/>
      <c r="S50" s="1174"/>
      <c r="T50" s="1174"/>
      <c r="U50" s="1174"/>
      <c r="V50" s="1174"/>
      <c r="W50" s="1174"/>
      <c r="X50" s="1174"/>
      <c r="Y50" s="1174"/>
      <c r="Z50" s="1174"/>
      <c r="AA50" s="1174"/>
      <c r="AB50" s="1174"/>
      <c r="AC50" s="1174"/>
      <c r="AD50" s="1174"/>
      <c r="AE50" s="1174"/>
      <c r="AF50" s="1174"/>
      <c r="AG50" s="1174"/>
      <c r="AH50" s="1174"/>
      <c r="AI50" s="1174"/>
      <c r="AJ50" s="1174"/>
      <c r="AK50" s="1173"/>
      <c r="AL50" s="1175">
        <f t="shared" si="1"/>
        <v>0</v>
      </c>
      <c r="AM50" s="114">
        <f t="shared" si="3"/>
        <v>0</v>
      </c>
      <c r="AN50" s="1265"/>
      <c r="AO50" s="104"/>
    </row>
    <row r="51" spans="1:42" ht="20.100000000000001" customHeight="1">
      <c r="A51" s="1085"/>
      <c r="B51" s="2414" t="s">
        <v>201</v>
      </c>
      <c r="C51" s="34" t="s">
        <v>1803</v>
      </c>
      <c r="D51" s="48" t="s">
        <v>2129</v>
      </c>
      <c r="E51" s="48" t="s">
        <v>2130</v>
      </c>
      <c r="F51" s="2258">
        <v>3850</v>
      </c>
      <c r="G51" s="49"/>
      <c r="H51" s="42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>
        <v>100</v>
      </c>
      <c r="AF51" s="50"/>
      <c r="AG51" s="50"/>
      <c r="AH51" s="50"/>
      <c r="AI51" s="50"/>
      <c r="AJ51" s="50"/>
      <c r="AK51" s="420"/>
      <c r="AL51" s="100">
        <f t="shared" si="1"/>
        <v>100</v>
      </c>
      <c r="AM51" s="115">
        <f t="shared" si="3"/>
        <v>385000</v>
      </c>
      <c r="AN51" s="1265"/>
      <c r="AP51" s="112"/>
    </row>
    <row r="52" spans="1:42" ht="20.100000000000001" customHeight="1">
      <c r="A52" s="1085"/>
      <c r="B52" s="2415"/>
      <c r="C52" s="116" t="s">
        <v>1858</v>
      </c>
      <c r="D52" s="3" t="s">
        <v>2131</v>
      </c>
      <c r="E52" s="117" t="s">
        <v>2132</v>
      </c>
      <c r="F52" s="2250">
        <v>3537</v>
      </c>
      <c r="G52" s="22"/>
      <c r="H52" s="421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421"/>
      <c r="AL52" s="125">
        <f t="shared" si="1"/>
        <v>0</v>
      </c>
      <c r="AM52" s="103">
        <f t="shared" si="3"/>
        <v>0</v>
      </c>
      <c r="AN52" s="1265"/>
    </row>
    <row r="53" spans="1:42" ht="20.100000000000001" customHeight="1">
      <c r="A53" s="1085"/>
      <c r="B53" s="2415"/>
      <c r="C53" s="105" t="s">
        <v>1804</v>
      </c>
      <c r="D53" s="43" t="s">
        <v>2133</v>
      </c>
      <c r="E53" s="43" t="s">
        <v>2134</v>
      </c>
      <c r="F53" s="2250">
        <v>3327</v>
      </c>
      <c r="G53" s="45"/>
      <c r="H53" s="422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22">
        <v>65</v>
      </c>
      <c r="AL53" s="125">
        <f t="shared" si="1"/>
        <v>65</v>
      </c>
      <c r="AM53" s="102">
        <f t="shared" si="3"/>
        <v>216255</v>
      </c>
      <c r="AN53" s="1265"/>
    </row>
    <row r="54" spans="1:42" ht="20.100000000000001" customHeight="1">
      <c r="A54" s="1085"/>
      <c r="B54" s="2415"/>
      <c r="C54" s="589" t="s">
        <v>1944</v>
      </c>
      <c r="D54" s="118" t="s">
        <v>2135</v>
      </c>
      <c r="E54" s="118" t="s">
        <v>2136</v>
      </c>
      <c r="F54" s="2259">
        <v>3854</v>
      </c>
      <c r="G54" s="119"/>
      <c r="H54" s="423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23"/>
      <c r="AD54" s="23"/>
      <c r="AE54" s="23"/>
      <c r="AF54" s="23"/>
      <c r="AG54" s="23"/>
      <c r="AH54" s="23"/>
      <c r="AI54" s="23"/>
      <c r="AJ54" s="23"/>
      <c r="AK54" s="421"/>
      <c r="AL54" s="125">
        <f t="shared" si="1"/>
        <v>0</v>
      </c>
      <c r="AM54" s="102">
        <f t="shared" si="3"/>
        <v>0</v>
      </c>
    </row>
    <row r="55" spans="1:42" ht="20.100000000000001" customHeight="1">
      <c r="A55" s="1085"/>
      <c r="B55" s="2415"/>
      <c r="C55" s="590" t="s">
        <v>2218</v>
      </c>
      <c r="D55" s="17" t="s">
        <v>2137</v>
      </c>
      <c r="E55" s="17" t="s">
        <v>2138</v>
      </c>
      <c r="F55" s="2">
        <v>3772</v>
      </c>
      <c r="G55" s="415"/>
      <c r="H55" s="424"/>
      <c r="I55" s="365"/>
      <c r="J55" s="365"/>
      <c r="K55" s="365"/>
      <c r="L55" s="365"/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365"/>
      <c r="X55" s="365"/>
      <c r="Y55" s="365"/>
      <c r="Z55" s="365"/>
      <c r="AA55" s="365"/>
      <c r="AB55" s="365"/>
      <c r="AC55" s="365"/>
      <c r="AD55" s="365"/>
      <c r="AE55" s="365"/>
      <c r="AF55" s="365"/>
      <c r="AG55" s="365"/>
      <c r="AH55" s="365"/>
      <c r="AI55" s="365"/>
      <c r="AJ55" s="365"/>
      <c r="AK55" s="424"/>
      <c r="AL55" s="125">
        <f t="shared" si="1"/>
        <v>0</v>
      </c>
      <c r="AM55" s="102">
        <f t="shared" si="3"/>
        <v>0</v>
      </c>
    </row>
    <row r="56" spans="1:42" ht="20.100000000000001" customHeight="1" thickBot="1">
      <c r="A56" s="1085"/>
      <c r="B56" s="2416"/>
      <c r="C56" s="2171" t="s">
        <v>2219</v>
      </c>
      <c r="D56" s="121" t="s">
        <v>2139</v>
      </c>
      <c r="E56" s="121" t="s">
        <v>2140</v>
      </c>
      <c r="F56" s="2172">
        <v>3205</v>
      </c>
      <c r="G56" s="2175"/>
      <c r="H56" s="2176"/>
      <c r="I56" s="425"/>
      <c r="J56" s="425"/>
      <c r="K56" s="425"/>
      <c r="L56" s="425">
        <v>14</v>
      </c>
      <c r="M56" s="425"/>
      <c r="N56" s="425"/>
      <c r="O56" s="425"/>
      <c r="P56" s="425"/>
      <c r="Q56" s="425"/>
      <c r="R56" s="425"/>
      <c r="S56" s="425"/>
      <c r="T56" s="425"/>
      <c r="U56" s="425"/>
      <c r="V56" s="425"/>
      <c r="W56" s="425"/>
      <c r="X56" s="425"/>
      <c r="Y56" s="425"/>
      <c r="Z56" s="425"/>
      <c r="AA56" s="425"/>
      <c r="AB56" s="425"/>
      <c r="AC56" s="425"/>
      <c r="AD56" s="425"/>
      <c r="AE56" s="425"/>
      <c r="AF56" s="425"/>
      <c r="AG56" s="425"/>
      <c r="AH56" s="425"/>
      <c r="AI56" s="425"/>
      <c r="AJ56" s="425"/>
      <c r="AK56" s="2176"/>
      <c r="AL56" s="684">
        <f t="shared" si="1"/>
        <v>14</v>
      </c>
      <c r="AM56" s="103">
        <f t="shared" si="3"/>
        <v>44870</v>
      </c>
      <c r="AN56" s="1003">
        <f>SUM(AM51:AM56)</f>
        <v>646125</v>
      </c>
      <c r="AO56" s="104"/>
    </row>
    <row r="57" spans="1:42" s="698" customFormat="1" ht="20.100000000000001" customHeight="1">
      <c r="A57" s="2169"/>
      <c r="B57" s="2417" t="s">
        <v>1862</v>
      </c>
      <c r="C57" s="1364" t="s">
        <v>2255</v>
      </c>
      <c r="D57" s="2177" t="s">
        <v>2256</v>
      </c>
      <c r="E57" s="2179" t="s">
        <v>2254</v>
      </c>
      <c r="F57" s="720">
        <v>1657</v>
      </c>
      <c r="G57" s="991"/>
      <c r="H57" s="991"/>
      <c r="I57" s="991"/>
      <c r="J57" s="991"/>
      <c r="K57" s="991"/>
      <c r="L57" s="991"/>
      <c r="M57" s="991"/>
      <c r="N57" s="991"/>
      <c r="O57" s="991"/>
      <c r="P57" s="991"/>
      <c r="Q57" s="991"/>
      <c r="R57" s="991"/>
      <c r="S57" s="991"/>
      <c r="T57" s="991"/>
      <c r="U57" s="991"/>
      <c r="V57" s="991"/>
      <c r="W57" s="991"/>
      <c r="X57" s="991"/>
      <c r="Y57" s="991"/>
      <c r="Z57" s="991"/>
      <c r="AA57" s="991"/>
      <c r="AB57" s="991"/>
      <c r="AC57" s="991"/>
      <c r="AD57" s="991"/>
      <c r="AE57" s="991"/>
      <c r="AF57" s="991"/>
      <c r="AG57" s="991"/>
      <c r="AH57" s="991"/>
      <c r="AI57" s="991"/>
      <c r="AJ57" s="991"/>
      <c r="AK57" s="991">
        <v>3</v>
      </c>
      <c r="AL57" s="100">
        <f t="shared" si="1"/>
        <v>3</v>
      </c>
      <c r="AM57" s="101">
        <f t="shared" si="3"/>
        <v>4971</v>
      </c>
      <c r="AN57" s="2286">
        <f>AM57</f>
        <v>4971</v>
      </c>
      <c r="AO57" s="1004"/>
    </row>
    <row r="58" spans="1:42" s="698" customFormat="1" ht="20.100000000000001" customHeight="1">
      <c r="A58" s="2169"/>
      <c r="B58" s="2418"/>
      <c r="C58" s="1364" t="s">
        <v>2263</v>
      </c>
      <c r="D58" s="2177" t="s">
        <v>1224</v>
      </c>
      <c r="E58" s="2180" t="s">
        <v>1225</v>
      </c>
      <c r="F58" s="2250">
        <v>4379</v>
      </c>
      <c r="G58" s="922"/>
      <c r="H58" s="922"/>
      <c r="I58" s="922"/>
      <c r="J58" s="922"/>
      <c r="K58" s="922"/>
      <c r="L58" s="922"/>
      <c r="M58" s="922"/>
      <c r="N58" s="922"/>
      <c r="O58" s="922"/>
      <c r="P58" s="922"/>
      <c r="Q58" s="922"/>
      <c r="R58" s="922"/>
      <c r="S58" s="922"/>
      <c r="T58" s="922"/>
      <c r="U58" s="922"/>
      <c r="V58" s="922"/>
      <c r="W58" s="922"/>
      <c r="X58" s="922"/>
      <c r="Y58" s="922"/>
      <c r="Z58" s="922"/>
      <c r="AA58" s="922"/>
      <c r="AB58" s="922"/>
      <c r="AC58" s="922"/>
      <c r="AD58" s="922"/>
      <c r="AE58" s="922"/>
      <c r="AF58" s="922"/>
      <c r="AG58" s="922"/>
      <c r="AH58" s="922"/>
      <c r="AI58" s="922"/>
      <c r="AJ58" s="922"/>
      <c r="AK58" s="922">
        <v>8</v>
      </c>
      <c r="AL58" s="125">
        <f t="shared" si="1"/>
        <v>8</v>
      </c>
      <c r="AM58" s="102">
        <f t="shared" si="3"/>
        <v>35032</v>
      </c>
      <c r="AN58" s="2286">
        <f>AM58</f>
        <v>35032</v>
      </c>
      <c r="AO58" s="1004"/>
    </row>
    <row r="59" spans="1:42" s="698" customFormat="1" ht="20.100000000000001" customHeight="1">
      <c r="A59" s="2169"/>
      <c r="B59" s="2418"/>
      <c r="C59" s="1364" t="s">
        <v>2257</v>
      </c>
      <c r="D59" s="2177" t="s">
        <v>1226</v>
      </c>
      <c r="E59" s="2180" t="s">
        <v>1227</v>
      </c>
      <c r="F59" s="2173">
        <v>4379</v>
      </c>
      <c r="G59" s="922"/>
      <c r="H59" s="922"/>
      <c r="I59" s="922"/>
      <c r="J59" s="922"/>
      <c r="K59" s="922"/>
      <c r="L59" s="922"/>
      <c r="M59" s="922"/>
      <c r="N59" s="922"/>
      <c r="O59" s="922"/>
      <c r="P59" s="922"/>
      <c r="Q59" s="922"/>
      <c r="R59" s="922"/>
      <c r="S59" s="922"/>
      <c r="T59" s="922"/>
      <c r="U59" s="922"/>
      <c r="V59" s="922"/>
      <c r="W59" s="922"/>
      <c r="X59" s="922"/>
      <c r="Y59" s="922"/>
      <c r="Z59" s="922"/>
      <c r="AA59" s="922"/>
      <c r="AB59" s="922"/>
      <c r="AC59" s="922"/>
      <c r="AD59" s="922"/>
      <c r="AE59" s="922"/>
      <c r="AF59" s="922"/>
      <c r="AG59" s="922"/>
      <c r="AH59" s="922"/>
      <c r="AI59" s="922"/>
      <c r="AJ59" s="922"/>
      <c r="AK59" s="922">
        <v>2</v>
      </c>
      <c r="AL59" s="125">
        <f t="shared" si="1"/>
        <v>2</v>
      </c>
      <c r="AM59" s="102">
        <f t="shared" si="3"/>
        <v>8758</v>
      </c>
      <c r="AN59" s="2286">
        <f>AM59</f>
        <v>8758</v>
      </c>
      <c r="AO59" s="1004"/>
    </row>
    <row r="60" spans="1:42" s="698" customFormat="1" ht="20.100000000000001" customHeight="1">
      <c r="A60" s="2169"/>
      <c r="B60" s="2418"/>
      <c r="C60" s="1364" t="s">
        <v>2258</v>
      </c>
      <c r="D60" s="2177" t="s">
        <v>1230</v>
      </c>
      <c r="E60" s="2180" t="s">
        <v>1231</v>
      </c>
      <c r="F60" s="2173">
        <v>4898</v>
      </c>
      <c r="G60" s="922"/>
      <c r="H60" s="922"/>
      <c r="I60" s="922"/>
      <c r="J60" s="922"/>
      <c r="K60" s="922"/>
      <c r="L60" s="922"/>
      <c r="M60" s="922"/>
      <c r="N60" s="922"/>
      <c r="O60" s="922"/>
      <c r="P60" s="922"/>
      <c r="Q60" s="922"/>
      <c r="R60" s="922"/>
      <c r="S60" s="922"/>
      <c r="T60" s="922"/>
      <c r="U60" s="922"/>
      <c r="V60" s="922"/>
      <c r="W60" s="922"/>
      <c r="X60" s="922"/>
      <c r="Y60" s="922"/>
      <c r="Z60" s="922"/>
      <c r="AA60" s="922"/>
      <c r="AB60" s="922"/>
      <c r="AC60" s="922"/>
      <c r="AD60" s="922"/>
      <c r="AE60" s="922"/>
      <c r="AF60" s="922"/>
      <c r="AG60" s="922"/>
      <c r="AH60" s="922"/>
      <c r="AI60" s="922"/>
      <c r="AJ60" s="922"/>
      <c r="AK60" s="922">
        <v>4</v>
      </c>
      <c r="AL60" s="125">
        <f t="shared" si="1"/>
        <v>4</v>
      </c>
      <c r="AM60" s="102">
        <f t="shared" si="3"/>
        <v>19592</v>
      </c>
      <c r="AN60" s="2286">
        <f t="shared" ref="AN60:AN61" si="6">AM60</f>
        <v>19592</v>
      </c>
      <c r="AO60" s="1004"/>
    </row>
    <row r="61" spans="1:42" s="698" customFormat="1" ht="20.100000000000001" customHeight="1">
      <c r="A61" s="2169"/>
      <c r="B61" s="2418"/>
      <c r="C61" s="1364" t="s">
        <v>1974</v>
      </c>
      <c r="D61" s="2177" t="s">
        <v>1326</v>
      </c>
      <c r="E61" s="2180" t="s">
        <v>2275</v>
      </c>
      <c r="F61" s="2173">
        <v>1416</v>
      </c>
      <c r="G61" s="922"/>
      <c r="H61" s="922"/>
      <c r="I61" s="922"/>
      <c r="J61" s="922"/>
      <c r="K61" s="922"/>
      <c r="L61" s="922"/>
      <c r="M61" s="922"/>
      <c r="N61" s="922"/>
      <c r="O61" s="922"/>
      <c r="P61" s="922"/>
      <c r="Q61" s="922"/>
      <c r="R61" s="922"/>
      <c r="S61" s="922"/>
      <c r="T61" s="922"/>
      <c r="U61" s="922"/>
      <c r="V61" s="922"/>
      <c r="W61" s="922"/>
      <c r="X61" s="922"/>
      <c r="Y61" s="922"/>
      <c r="Z61" s="922"/>
      <c r="AA61" s="922"/>
      <c r="AB61" s="922"/>
      <c r="AC61" s="922"/>
      <c r="AD61" s="922"/>
      <c r="AE61" s="922"/>
      <c r="AF61" s="922"/>
      <c r="AG61" s="922"/>
      <c r="AH61" s="922"/>
      <c r="AI61" s="922"/>
      <c r="AJ61" s="922"/>
      <c r="AK61" s="922">
        <v>4</v>
      </c>
      <c r="AL61" s="125">
        <f t="shared" si="1"/>
        <v>4</v>
      </c>
      <c r="AM61" s="102">
        <f t="shared" si="3"/>
        <v>5664</v>
      </c>
      <c r="AN61" s="2286">
        <f t="shared" si="6"/>
        <v>5664</v>
      </c>
      <c r="AO61" s="1004"/>
    </row>
    <row r="62" spans="1:42" ht="20.100000000000001" customHeight="1" thickBot="1">
      <c r="A62" s="1086"/>
      <c r="B62" s="2419"/>
      <c r="C62" s="1474" t="s">
        <v>1987</v>
      </c>
      <c r="D62" s="2178" t="s">
        <v>1988</v>
      </c>
      <c r="E62" s="2181" t="s">
        <v>1989</v>
      </c>
      <c r="F62" s="2251">
        <v>1694</v>
      </c>
      <c r="G62" s="373"/>
      <c r="H62" s="373"/>
      <c r="I62" s="373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  <c r="U62" s="373"/>
      <c r="V62" s="373"/>
      <c r="W62" s="373"/>
      <c r="X62" s="373"/>
      <c r="Y62" s="373"/>
      <c r="Z62" s="373"/>
      <c r="AA62" s="373"/>
      <c r="AB62" s="373"/>
      <c r="AC62" s="373"/>
      <c r="AD62" s="373"/>
      <c r="AE62" s="373">
        <v>130</v>
      </c>
      <c r="AF62" s="373"/>
      <c r="AG62" s="373"/>
      <c r="AH62" s="373"/>
      <c r="AI62" s="373"/>
      <c r="AJ62" s="373"/>
      <c r="AK62" s="373"/>
      <c r="AL62" s="126">
        <f t="shared" si="1"/>
        <v>130</v>
      </c>
      <c r="AM62" s="113">
        <f t="shared" si="3"/>
        <v>220220</v>
      </c>
      <c r="AN62" s="1004">
        <f>AM62</f>
        <v>220220</v>
      </c>
    </row>
    <row r="63" spans="1:42" ht="15" customHeight="1" thickBot="1">
      <c r="A63" s="5"/>
      <c r="B63" s="122"/>
      <c r="C63" s="122"/>
      <c r="D63" s="5"/>
      <c r="E63" s="5"/>
      <c r="F63" s="68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2408" t="s">
        <v>7</v>
      </c>
      <c r="AJ63" s="2409"/>
      <c r="AK63" s="2410"/>
      <c r="AL63" s="123">
        <f>SUM(AL6:AL62)</f>
        <v>178334</v>
      </c>
      <c r="AM63" s="124">
        <f>SUM(AM6:AM62)</f>
        <v>830772611</v>
      </c>
    </row>
    <row r="64" spans="1:42" ht="15" customHeight="1">
      <c r="AL64" s="104"/>
      <c r="AM64" s="104"/>
    </row>
    <row r="65" spans="34:40" ht="15" customHeight="1">
      <c r="AH65"/>
      <c r="AI65"/>
      <c r="AJ65"/>
      <c r="AK65"/>
      <c r="AL65"/>
      <c r="AM65"/>
      <c r="AN65" s="1265"/>
    </row>
    <row r="66" spans="34:40" ht="15" customHeight="1">
      <c r="AH66"/>
      <c r="AI66"/>
      <c r="AJ66"/>
      <c r="AK66"/>
      <c r="AL66"/>
      <c r="AM66"/>
      <c r="AN66" s="1265"/>
    </row>
    <row r="67" spans="34:40" ht="15" customHeight="1">
      <c r="AH67"/>
      <c r="AI67"/>
      <c r="AJ67"/>
      <c r="AK67"/>
      <c r="AL67"/>
      <c r="AM67"/>
      <c r="AN67" s="1265"/>
    </row>
    <row r="68" spans="34:40" ht="15" customHeight="1">
      <c r="AH68"/>
      <c r="AI68"/>
      <c r="AJ68"/>
      <c r="AK68"/>
      <c r="AL68"/>
      <c r="AM68"/>
      <c r="AN68" s="1265"/>
    </row>
    <row r="69" spans="34:40" ht="15" customHeight="1">
      <c r="AI69"/>
      <c r="AJ69"/>
      <c r="AK69"/>
      <c r="AL69"/>
    </row>
    <row r="70" spans="34:40" ht="15" customHeight="1">
      <c r="AI70"/>
      <c r="AJ70"/>
      <c r="AK70"/>
      <c r="AL70"/>
      <c r="AM70" s="104"/>
    </row>
    <row r="71" spans="34:40" ht="15" customHeight="1"/>
    <row r="72" spans="34:40" ht="15" customHeight="1">
      <c r="AM72" s="104"/>
    </row>
    <row r="74" spans="34:40">
      <c r="AM74" s="104"/>
    </row>
  </sheetData>
  <customSheetViews>
    <customSheetView guid="{4B6F0EB4-660D-4B5D-BC48-6CB7C10D7F9B}" showGridLines="0" topLeftCell="A13">
      <pane xSplit="6" topLeftCell="G1" activePane="topRight" state="frozen"/>
      <selection pane="topRight" activeCell="AB11" sqref="AB11"/>
      <pageMargins left="0.75" right="0.75" top="1" bottom="1" header="0.5" footer="0.5"/>
      <pageSetup paperSize="9" orientation="landscape" horizontalDpi="300" verticalDpi="300" r:id="rId1"/>
      <headerFooter alignWithMargins="0"/>
    </customSheetView>
    <customSheetView guid="{2118503C-FA17-40AD-A92D-3BEB91EE1F01}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2"/>
      <headerFooter alignWithMargins="0"/>
    </customSheetView>
    <customSheetView guid="{844B66BD-C499-418A-A656-40E7940347EA}" showGridLines="0">
      <pane xSplit="6" topLeftCell="G1" activePane="topRight" state="frozen"/>
      <selection pane="topRight" activeCell="U20" sqref="U20"/>
      <pageMargins left="0.75" right="0.75" top="1" bottom="1" header="0.5" footer="0.5"/>
      <pageSetup paperSize="9" orientation="landscape" horizontalDpi="300" verticalDpi="300" r:id="rId3"/>
      <headerFooter alignWithMargins="0"/>
    </customSheetView>
    <customSheetView guid="{7523CC8F-897F-48BF-94A5-CFFF399736A5}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4"/>
      <headerFooter alignWithMargins="0"/>
    </customSheetView>
    <customSheetView guid="{89B07EC3-7982-4908-AB99-54EB5928E5C4}" showGridLines="0" topLeftCell="A6">
      <pane xSplit="6" topLeftCell="G1" activePane="topRight" state="frozen"/>
      <selection pane="topRight" activeCell="G6" sqref="G6:AC30"/>
      <pageMargins left="0.75" right="0.75" top="1" bottom="1" header="0.5" footer="0.5"/>
      <pageSetup paperSize="9" orientation="landscape" horizontalDpi="300" verticalDpi="300" r:id="rId5"/>
      <headerFooter alignWithMargins="0"/>
    </customSheetView>
  </customSheetViews>
  <mergeCells count="13">
    <mergeCell ref="G3:J4"/>
    <mergeCell ref="AI63:AK63"/>
    <mergeCell ref="B6:B9"/>
    <mergeCell ref="B22:B25"/>
    <mergeCell ref="B51:B56"/>
    <mergeCell ref="B10:B15"/>
    <mergeCell ref="B26:B27"/>
    <mergeCell ref="B30:B37"/>
    <mergeCell ref="B28:B29"/>
    <mergeCell ref="B16:B21"/>
    <mergeCell ref="B38:B41"/>
    <mergeCell ref="B42:B49"/>
    <mergeCell ref="B57:B62"/>
  </mergeCells>
  <phoneticPr fontId="7" type="noConversion"/>
  <pageMargins left="0.75" right="0.75" top="1" bottom="1" header="0.5" footer="0.5"/>
  <pageSetup paperSize="9" orientation="landscape" horizontalDpi="300" verticalDpi="300" r:id="rId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J63"/>
  <sheetViews>
    <sheetView workbookViewId="0">
      <pane xSplit="6" ySplit="5" topLeftCell="AC39" activePane="bottomRight" state="frozen"/>
      <selection pane="topRight" activeCell="G1" sqref="G1"/>
      <selection pane="bottomLeft" activeCell="A6" sqref="A6"/>
      <selection pane="bottomRight" activeCell="F45" sqref="F45"/>
    </sheetView>
  </sheetViews>
  <sheetFormatPr defaultColWidth="9" defaultRowHeight="13.2"/>
  <cols>
    <col min="1" max="1" width="5.5" style="1" customWidth="1"/>
    <col min="2" max="2" width="8.8984375" style="698" customWidth="1"/>
    <col min="3" max="3" width="13.69921875" style="6" customWidth="1"/>
    <col min="4" max="4" width="9.69921875" style="6" customWidth="1"/>
    <col min="5" max="5" width="21.5" style="6" customWidth="1"/>
    <col min="6" max="6" width="6.5" style="6" customWidth="1"/>
    <col min="7" max="9" width="4.19921875" style="6" customWidth="1"/>
    <col min="10" max="10" width="5.19921875" style="6" bestFit="1" customWidth="1"/>
    <col min="11" max="11" width="5.5" style="6" customWidth="1"/>
    <col min="12" max="18" width="4.19921875" style="6" customWidth="1"/>
    <col min="19" max="20" width="5.19921875" style="6" bestFit="1" customWidth="1"/>
    <col min="21" max="21" width="4.69921875" style="6" customWidth="1"/>
    <col min="22" max="24" width="4.19921875" style="6" customWidth="1"/>
    <col min="25" max="25" width="4.09765625" style="6" customWidth="1"/>
    <col min="26" max="36" width="4.19921875" style="6" customWidth="1"/>
    <col min="37" max="37" width="4.19921875" style="698" customWidth="1"/>
    <col min="38" max="38" width="15.59765625" style="698" bestFit="1" customWidth="1"/>
    <col min="39" max="39" width="15.69921875" style="6" bestFit="1" customWidth="1"/>
    <col min="40" max="40" width="15.8984375" style="698" bestFit="1" customWidth="1"/>
    <col min="41" max="41" width="12.69921875" style="6" bestFit="1" customWidth="1"/>
    <col min="42" max="42" width="13.8984375" style="6" bestFit="1" customWidth="1"/>
    <col min="43" max="16384" width="9" style="6"/>
  </cols>
  <sheetData>
    <row r="1" spans="1:41" ht="17.399999999999999">
      <c r="A1" s="122"/>
      <c r="B1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89"/>
      <c r="AL1" s="689"/>
      <c r="AM1" s="5"/>
    </row>
    <row r="2" spans="1:41" ht="14.25" customHeight="1" thickBot="1">
      <c r="A2" s="1411"/>
      <c r="B2"/>
      <c r="C2" s="7"/>
      <c r="D2" s="7"/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690"/>
      <c r="AL2" s="690"/>
      <c r="AM2" s="5"/>
    </row>
    <row r="3" spans="1:41" ht="14.25" customHeight="1">
      <c r="A3" s="122"/>
      <c r="B3"/>
      <c r="C3" s="5"/>
      <c r="D3" s="5"/>
      <c r="E3" s="5"/>
      <c r="F3" s="5"/>
      <c r="G3" s="2403" t="s">
        <v>76</v>
      </c>
      <c r="H3" s="2403"/>
      <c r="I3" s="2403"/>
      <c r="J3" s="240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689"/>
      <c r="AL3" s="689"/>
      <c r="AM3" s="5"/>
    </row>
    <row r="4" spans="1:41" ht="15" customHeight="1" thickBot="1">
      <c r="A4" s="122"/>
      <c r="B4"/>
      <c r="C4" s="5"/>
      <c r="D4" s="5"/>
      <c r="E4" s="5"/>
      <c r="F4" s="5"/>
      <c r="G4" s="2406"/>
      <c r="H4" s="2406"/>
      <c r="I4" s="2406"/>
      <c r="J4" s="240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689"/>
      <c r="AL4" s="689"/>
      <c r="AM4" s="5"/>
    </row>
    <row r="5" spans="1:41" ht="21.75" customHeight="1" thickBot="1">
      <c r="A5" s="91" t="s">
        <v>77</v>
      </c>
      <c r="B5" s="1263" t="s">
        <v>78</v>
      </c>
      <c r="C5" s="92" t="s">
        <v>179</v>
      </c>
      <c r="D5" s="93" t="s">
        <v>79</v>
      </c>
      <c r="E5" s="93" t="s">
        <v>80</v>
      </c>
      <c r="F5" s="711" t="s">
        <v>81</v>
      </c>
      <c r="G5" s="921">
        <v>1</v>
      </c>
      <c r="H5" s="920">
        <v>2</v>
      </c>
      <c r="I5" s="920">
        <v>3</v>
      </c>
      <c r="J5" s="920">
        <v>4</v>
      </c>
      <c r="K5" s="920">
        <v>5</v>
      </c>
      <c r="L5" s="920">
        <v>6</v>
      </c>
      <c r="M5" s="920">
        <v>7</v>
      </c>
      <c r="N5" s="920">
        <v>8</v>
      </c>
      <c r="O5" s="920">
        <v>9</v>
      </c>
      <c r="P5" s="920">
        <v>10</v>
      </c>
      <c r="Q5" s="920">
        <v>11</v>
      </c>
      <c r="R5" s="920">
        <v>12</v>
      </c>
      <c r="S5" s="920">
        <v>13</v>
      </c>
      <c r="T5" s="96">
        <v>14</v>
      </c>
      <c r="U5" s="920">
        <v>15</v>
      </c>
      <c r="V5" s="97">
        <v>16</v>
      </c>
      <c r="W5" s="96">
        <v>17</v>
      </c>
      <c r="X5" s="96">
        <v>18</v>
      </c>
      <c r="Y5" s="96">
        <v>19</v>
      </c>
      <c r="Z5" s="96">
        <v>20</v>
      </c>
      <c r="AA5" s="96">
        <v>21</v>
      </c>
      <c r="AB5" s="96">
        <v>22</v>
      </c>
      <c r="AC5" s="96">
        <v>23</v>
      </c>
      <c r="AD5" s="96">
        <v>24</v>
      </c>
      <c r="AE5" s="96">
        <v>25</v>
      </c>
      <c r="AF5" s="96">
        <v>26</v>
      </c>
      <c r="AG5" s="96">
        <v>27</v>
      </c>
      <c r="AH5" s="96">
        <v>28</v>
      </c>
      <c r="AI5" s="96">
        <v>29</v>
      </c>
      <c r="AJ5" s="96">
        <v>30</v>
      </c>
      <c r="AK5" s="920">
        <v>31</v>
      </c>
      <c r="AL5" s="691" t="s">
        <v>7</v>
      </c>
      <c r="AM5" s="99" t="s">
        <v>82</v>
      </c>
    </row>
    <row r="6" spans="1:41" ht="20.100000000000001" customHeight="1">
      <c r="A6" s="2005"/>
      <c r="B6" s="2429" t="s">
        <v>1349</v>
      </c>
      <c r="C6" s="576" t="s">
        <v>1350</v>
      </c>
      <c r="D6" s="576" t="s">
        <v>1351</v>
      </c>
      <c r="E6" s="576" t="s">
        <v>1352</v>
      </c>
      <c r="F6" s="720">
        <v>4520</v>
      </c>
      <c r="G6" s="453"/>
      <c r="H6" s="453"/>
      <c r="I6" s="453"/>
      <c r="J6" s="453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991"/>
      <c r="AL6" s="1163">
        <f t="shared" ref="AL6:AL7" si="0">SUM(G6:AK6)</f>
        <v>0</v>
      </c>
      <c r="AM6" s="587">
        <f t="shared" ref="AM6:AM18" si="1">AL6*F6</f>
        <v>0</v>
      </c>
      <c r="AN6" s="1106"/>
      <c r="AO6" s="104"/>
    </row>
    <row r="7" spans="1:41" ht="20.100000000000001" customHeight="1" thickBot="1">
      <c r="A7" s="2006"/>
      <c r="B7" s="2430"/>
      <c r="C7" s="1949" t="s">
        <v>1353</v>
      </c>
      <c r="D7" s="1949" t="s">
        <v>1354</v>
      </c>
      <c r="E7" s="1949" t="s">
        <v>1355</v>
      </c>
      <c r="F7" s="1887">
        <v>4520</v>
      </c>
      <c r="G7" s="1950"/>
      <c r="H7" s="1950"/>
      <c r="I7" s="1950"/>
      <c r="J7" s="1950"/>
      <c r="K7" s="1950"/>
      <c r="L7" s="1950"/>
      <c r="M7" s="1950"/>
      <c r="N7" s="1950"/>
      <c r="O7" s="1950"/>
      <c r="P7" s="1950"/>
      <c r="Q7" s="1950"/>
      <c r="R7" s="1950"/>
      <c r="S7" s="1950"/>
      <c r="T7" s="1950"/>
      <c r="U7" s="1950"/>
      <c r="V7" s="1950"/>
      <c r="W7" s="1950"/>
      <c r="X7" s="1950"/>
      <c r="Y7" s="1950"/>
      <c r="Z7" s="1950"/>
      <c r="AA7" s="1950"/>
      <c r="AB7" s="1950"/>
      <c r="AC7" s="1950"/>
      <c r="AD7" s="1950"/>
      <c r="AE7" s="1950"/>
      <c r="AF7" s="1950"/>
      <c r="AG7" s="1950"/>
      <c r="AH7" s="1950"/>
      <c r="AI7" s="1950"/>
      <c r="AJ7" s="1950"/>
      <c r="AK7" s="1951"/>
      <c r="AL7" s="695">
        <f t="shared" si="0"/>
        <v>0</v>
      </c>
      <c r="AM7" s="103">
        <f t="shared" si="1"/>
        <v>0</v>
      </c>
      <c r="AN7" s="1106">
        <f>AM6+AM7</f>
        <v>0</v>
      </c>
      <c r="AO7" s="104"/>
    </row>
    <row r="8" spans="1:41" ht="20.100000000000001" customHeight="1">
      <c r="A8" s="2007" t="s">
        <v>2168</v>
      </c>
      <c r="B8" s="2445" t="s">
        <v>854</v>
      </c>
      <c r="C8" s="686" t="s">
        <v>2141</v>
      </c>
      <c r="D8" s="686" t="s">
        <v>2142</v>
      </c>
      <c r="E8" s="686" t="s">
        <v>2143</v>
      </c>
      <c r="F8" s="2253">
        <v>1546</v>
      </c>
      <c r="G8" s="2094">
        <v>600</v>
      </c>
      <c r="H8" s="2094"/>
      <c r="I8" s="2094">
        <v>600</v>
      </c>
      <c r="J8" s="2094"/>
      <c r="K8" s="2094"/>
      <c r="L8" s="2094">
        <v>500</v>
      </c>
      <c r="M8" s="2094">
        <v>300</v>
      </c>
      <c r="N8" s="2094">
        <v>200</v>
      </c>
      <c r="O8" s="2094">
        <v>500</v>
      </c>
      <c r="P8" s="2094">
        <v>400</v>
      </c>
      <c r="Q8" s="2094"/>
      <c r="R8" s="2094"/>
      <c r="S8" s="2094">
        <v>600</v>
      </c>
      <c r="T8" s="2094">
        <v>300</v>
      </c>
      <c r="U8" s="2094"/>
      <c r="V8" s="2094">
        <v>300</v>
      </c>
      <c r="W8" s="2094">
        <v>10</v>
      </c>
      <c r="X8" s="2094"/>
      <c r="Y8" s="2094"/>
      <c r="Z8" s="2094"/>
      <c r="AA8" s="2094"/>
      <c r="AB8" s="2094"/>
      <c r="AC8" s="2094"/>
      <c r="AD8" s="2094"/>
      <c r="AE8" s="2094"/>
      <c r="AF8" s="2094"/>
      <c r="AG8" s="2094">
        <v>970</v>
      </c>
      <c r="AH8" s="2094"/>
      <c r="AI8" s="2094"/>
      <c r="AJ8" s="2094"/>
      <c r="AK8" s="2095"/>
      <c r="AL8" s="692">
        <f t="shared" ref="AL8:AL24" si="2">SUM(G8:AK8)</f>
        <v>5280</v>
      </c>
      <c r="AM8" s="101">
        <f t="shared" si="1"/>
        <v>8162880</v>
      </c>
      <c r="AN8" s="2433">
        <f>SUM(AM8:AM11)</f>
        <v>20237140</v>
      </c>
      <c r="AO8" s="104"/>
    </row>
    <row r="9" spans="1:41" ht="20.100000000000001" customHeight="1">
      <c r="A9" s="2007"/>
      <c r="B9" s="2446"/>
      <c r="C9" s="605" t="s">
        <v>2144</v>
      </c>
      <c r="D9" s="605" t="s">
        <v>2145</v>
      </c>
      <c r="E9" s="605" t="s">
        <v>2146</v>
      </c>
      <c r="F9" s="2250">
        <v>1546</v>
      </c>
      <c r="G9" s="1093">
        <v>600</v>
      </c>
      <c r="H9" s="1093"/>
      <c r="I9" s="1093">
        <v>600</v>
      </c>
      <c r="J9" s="1093"/>
      <c r="K9" s="1093"/>
      <c r="L9" s="1093">
        <v>500</v>
      </c>
      <c r="M9" s="1093">
        <v>300</v>
      </c>
      <c r="N9" s="1093">
        <v>200</v>
      </c>
      <c r="O9" s="1093">
        <v>500</v>
      </c>
      <c r="P9" s="1093">
        <v>200</v>
      </c>
      <c r="Q9" s="1093"/>
      <c r="R9" s="1093"/>
      <c r="S9" s="1093">
        <v>600</v>
      </c>
      <c r="T9" s="1093">
        <v>300</v>
      </c>
      <c r="U9" s="1093"/>
      <c r="V9" s="1093">
        <v>300</v>
      </c>
      <c r="W9" s="1093">
        <v>200</v>
      </c>
      <c r="X9" s="1093"/>
      <c r="Y9" s="1093"/>
      <c r="Z9" s="1093"/>
      <c r="AA9" s="1093"/>
      <c r="AB9" s="1093"/>
      <c r="AC9" s="1093"/>
      <c r="AD9" s="1093"/>
      <c r="AE9" s="1093"/>
      <c r="AF9" s="1093"/>
      <c r="AG9" s="1093">
        <v>1100</v>
      </c>
      <c r="AH9" s="1093">
        <v>10</v>
      </c>
      <c r="AI9" s="1093"/>
      <c r="AJ9" s="1093"/>
      <c r="AK9" s="1603"/>
      <c r="AL9" s="694">
        <f t="shared" si="2"/>
        <v>5410</v>
      </c>
      <c r="AM9" s="102">
        <f t="shared" si="1"/>
        <v>8363860</v>
      </c>
      <c r="AN9" s="2433"/>
      <c r="AO9" s="104"/>
    </row>
    <row r="10" spans="1:41" ht="20.100000000000001" customHeight="1">
      <c r="A10" s="1081"/>
      <c r="B10" s="2446"/>
      <c r="C10" s="604" t="s">
        <v>2147</v>
      </c>
      <c r="D10" s="604" t="s">
        <v>2142</v>
      </c>
      <c r="E10" s="604" t="s">
        <v>2148</v>
      </c>
      <c r="F10" s="2250">
        <v>1546</v>
      </c>
      <c r="G10" s="1092"/>
      <c r="H10" s="1092"/>
      <c r="I10" s="1092"/>
      <c r="J10" s="1092"/>
      <c r="K10" s="1092"/>
      <c r="L10" s="1092">
        <v>82</v>
      </c>
      <c r="M10" s="1092"/>
      <c r="N10" s="1092"/>
      <c r="O10" s="1092"/>
      <c r="P10" s="1092"/>
      <c r="Q10" s="1092"/>
      <c r="R10" s="1092"/>
      <c r="S10" s="1092"/>
      <c r="T10" s="1092"/>
      <c r="U10" s="1092"/>
      <c r="V10" s="1092"/>
      <c r="W10" s="1092"/>
      <c r="X10" s="1092"/>
      <c r="Y10" s="1092"/>
      <c r="Z10" s="1092">
        <v>1118</v>
      </c>
      <c r="AA10" s="1092"/>
      <c r="AB10" s="1092"/>
      <c r="AC10" s="1092"/>
      <c r="AD10" s="1092"/>
      <c r="AE10" s="1092"/>
      <c r="AF10" s="1092"/>
      <c r="AG10" s="1092"/>
      <c r="AH10" s="1092"/>
      <c r="AI10" s="1092"/>
      <c r="AJ10" s="1092"/>
      <c r="AK10" s="1450"/>
      <c r="AL10" s="694">
        <f t="shared" si="2"/>
        <v>1200</v>
      </c>
      <c r="AM10" s="102">
        <f t="shared" si="1"/>
        <v>1855200</v>
      </c>
      <c r="AN10" s="2433"/>
      <c r="AO10" s="104"/>
    </row>
    <row r="11" spans="1:41" ht="20.100000000000001" customHeight="1" thickBot="1">
      <c r="A11" s="1392"/>
      <c r="B11" s="2447"/>
      <c r="C11" s="2096" t="s">
        <v>2149</v>
      </c>
      <c r="D11" s="2096" t="s">
        <v>2145</v>
      </c>
      <c r="E11" s="2096" t="s">
        <v>2150</v>
      </c>
      <c r="F11" s="2251">
        <v>1546</v>
      </c>
      <c r="G11" s="2098"/>
      <c r="H11" s="2098"/>
      <c r="I11" s="2098"/>
      <c r="J11" s="2098"/>
      <c r="K11" s="2098"/>
      <c r="L11" s="2098">
        <v>230</v>
      </c>
      <c r="M11" s="2098"/>
      <c r="N11" s="2098"/>
      <c r="O11" s="2098"/>
      <c r="P11" s="2098"/>
      <c r="Q11" s="2098"/>
      <c r="R11" s="2098"/>
      <c r="S11" s="2098"/>
      <c r="T11" s="2098"/>
      <c r="U11" s="2098"/>
      <c r="V11" s="2098"/>
      <c r="W11" s="2098"/>
      <c r="X11" s="2098"/>
      <c r="Y11" s="2098"/>
      <c r="Z11" s="2098">
        <v>970</v>
      </c>
      <c r="AA11" s="2098"/>
      <c r="AB11" s="2098"/>
      <c r="AC11" s="2098"/>
      <c r="AD11" s="2098"/>
      <c r="AE11" s="2098"/>
      <c r="AF11" s="2098"/>
      <c r="AG11" s="2098"/>
      <c r="AH11" s="2098"/>
      <c r="AI11" s="2098"/>
      <c r="AJ11" s="2098"/>
      <c r="AK11" s="2099"/>
      <c r="AL11" s="696">
        <f t="shared" si="2"/>
        <v>1200</v>
      </c>
      <c r="AM11" s="113">
        <f t="shared" si="1"/>
        <v>1855200</v>
      </c>
      <c r="AN11" s="2433"/>
      <c r="AO11" s="104"/>
    </row>
    <row r="12" spans="1:41" ht="20.100000000000001" customHeight="1">
      <c r="A12" s="1392" t="s">
        <v>2226</v>
      </c>
      <c r="B12" s="2431" t="s">
        <v>854</v>
      </c>
      <c r="C12" s="880" t="s">
        <v>2227</v>
      </c>
      <c r="D12" s="880" t="s">
        <v>2142</v>
      </c>
      <c r="E12" s="880" t="s">
        <v>2143</v>
      </c>
      <c r="F12" s="881">
        <v>1490</v>
      </c>
      <c r="G12" s="1091"/>
      <c r="H12" s="1091"/>
      <c r="I12" s="1091"/>
      <c r="J12" s="1091"/>
      <c r="K12" s="1091"/>
      <c r="L12" s="1091"/>
      <c r="M12" s="1091"/>
      <c r="N12" s="1091"/>
      <c r="O12" s="1091"/>
      <c r="P12" s="1091"/>
      <c r="Q12" s="1091"/>
      <c r="R12" s="1091"/>
      <c r="S12" s="1091"/>
      <c r="T12" s="1091"/>
      <c r="U12" s="1091"/>
      <c r="V12" s="1091"/>
      <c r="W12" s="1091"/>
      <c r="X12" s="1091"/>
      <c r="Y12" s="1091"/>
      <c r="Z12" s="1091"/>
      <c r="AA12" s="1091"/>
      <c r="AB12" s="1091"/>
      <c r="AC12" s="1091"/>
      <c r="AD12" s="1091"/>
      <c r="AE12" s="1091"/>
      <c r="AF12" s="1091"/>
      <c r="AG12" s="1091"/>
      <c r="AH12" s="1091"/>
      <c r="AI12" s="1091"/>
      <c r="AJ12" s="1091"/>
      <c r="AK12" s="1602">
        <v>1690</v>
      </c>
      <c r="AL12" s="692">
        <f t="shared" si="2"/>
        <v>1690</v>
      </c>
      <c r="AM12" s="101">
        <f t="shared" si="1"/>
        <v>2518100</v>
      </c>
      <c r="AN12" s="1106"/>
      <c r="AO12" s="104"/>
    </row>
    <row r="13" spans="1:41" ht="20.100000000000001" customHeight="1" thickBot="1">
      <c r="A13" s="1392"/>
      <c r="B13" s="2432"/>
      <c r="C13" s="2096" t="s">
        <v>2228</v>
      </c>
      <c r="D13" s="2096" t="s">
        <v>2145</v>
      </c>
      <c r="E13" s="2096" t="s">
        <v>2146</v>
      </c>
      <c r="F13" s="2097">
        <v>1490</v>
      </c>
      <c r="G13" s="2098"/>
      <c r="H13" s="2098"/>
      <c r="I13" s="2098"/>
      <c r="J13" s="2098"/>
      <c r="K13" s="2098"/>
      <c r="L13" s="2098"/>
      <c r="M13" s="2098"/>
      <c r="N13" s="2098"/>
      <c r="O13" s="2098"/>
      <c r="P13" s="2098"/>
      <c r="Q13" s="2098"/>
      <c r="R13" s="2098"/>
      <c r="S13" s="2098"/>
      <c r="T13" s="2098"/>
      <c r="U13" s="2098"/>
      <c r="V13" s="2098"/>
      <c r="W13" s="2098"/>
      <c r="X13" s="2098"/>
      <c r="Y13" s="2098"/>
      <c r="Z13" s="2098"/>
      <c r="AA13" s="2098"/>
      <c r="AB13" s="2098"/>
      <c r="AC13" s="2098"/>
      <c r="AD13" s="2098"/>
      <c r="AE13" s="2098"/>
      <c r="AF13" s="2098"/>
      <c r="AG13" s="2098"/>
      <c r="AH13" s="2098"/>
      <c r="AI13" s="2098"/>
      <c r="AJ13" s="2098"/>
      <c r="AK13" s="2099">
        <v>1690</v>
      </c>
      <c r="AL13" s="696">
        <f t="shared" si="2"/>
        <v>1690</v>
      </c>
      <c r="AM13" s="113">
        <f t="shared" si="1"/>
        <v>2518100</v>
      </c>
      <c r="AN13" s="1106"/>
      <c r="AO13" s="104"/>
    </row>
    <row r="14" spans="1:41" ht="20.100000000000001" customHeight="1">
      <c r="A14" s="1392"/>
      <c r="B14" s="2425" t="s">
        <v>208</v>
      </c>
      <c r="C14" s="1723" t="s">
        <v>2247</v>
      </c>
      <c r="D14" s="128" t="s">
        <v>476</v>
      </c>
      <c r="E14" s="128" t="s">
        <v>2151</v>
      </c>
      <c r="F14" s="2170">
        <v>5333</v>
      </c>
      <c r="G14" s="1099"/>
      <c r="H14" s="1099"/>
      <c r="I14" s="1099"/>
      <c r="J14" s="1099"/>
      <c r="K14" s="1099"/>
      <c r="L14" s="1099"/>
      <c r="M14" s="1099"/>
      <c r="N14" s="1099"/>
      <c r="O14" s="1099"/>
      <c r="P14" s="1099"/>
      <c r="Q14" s="1099"/>
      <c r="R14" s="1099"/>
      <c r="S14" s="1099"/>
      <c r="T14" s="1099"/>
      <c r="U14" s="1099"/>
      <c r="V14" s="1099"/>
      <c r="W14" s="1099"/>
      <c r="X14" s="1099"/>
      <c r="Y14" s="1099"/>
      <c r="Z14" s="1099"/>
      <c r="AA14" s="1099"/>
      <c r="AB14" s="1099"/>
      <c r="AC14" s="1099"/>
      <c r="AD14" s="1099"/>
      <c r="AE14" s="1099">
        <v>2</v>
      </c>
      <c r="AF14" s="1099"/>
      <c r="AG14" s="1099"/>
      <c r="AH14" s="1099"/>
      <c r="AI14" s="1099"/>
      <c r="AJ14" s="1099"/>
      <c r="AK14" s="1596"/>
      <c r="AL14" s="693">
        <f t="shared" si="2"/>
        <v>2</v>
      </c>
      <c r="AM14" s="127">
        <f t="shared" si="1"/>
        <v>10666</v>
      </c>
      <c r="AN14" s="1106"/>
      <c r="AO14" s="104"/>
    </row>
    <row r="15" spans="1:41" ht="20.100000000000001" customHeight="1">
      <c r="A15" s="1392"/>
      <c r="B15" s="2425"/>
      <c r="C15" s="108" t="s">
        <v>2248</v>
      </c>
      <c r="D15" s="109" t="s">
        <v>477</v>
      </c>
      <c r="E15" s="3" t="s">
        <v>2152</v>
      </c>
      <c r="F15" s="718">
        <v>1258</v>
      </c>
      <c r="G15" s="1096"/>
      <c r="H15" s="1096"/>
      <c r="I15" s="1096"/>
      <c r="J15" s="1096"/>
      <c r="K15" s="1096"/>
      <c r="L15" s="1096"/>
      <c r="M15" s="1096"/>
      <c r="N15" s="1096"/>
      <c r="O15" s="1096"/>
      <c r="P15" s="1096"/>
      <c r="Q15" s="1096"/>
      <c r="R15" s="1096"/>
      <c r="S15" s="1096"/>
      <c r="T15" s="1096"/>
      <c r="U15" s="1096"/>
      <c r="V15" s="1096"/>
      <c r="W15" s="1096"/>
      <c r="X15" s="1096"/>
      <c r="Y15" s="1096"/>
      <c r="Z15" s="1096"/>
      <c r="AA15" s="1096"/>
      <c r="AB15" s="1096"/>
      <c r="AC15" s="1096"/>
      <c r="AD15" s="1096"/>
      <c r="AE15" s="1096"/>
      <c r="AF15" s="1096"/>
      <c r="AG15" s="1096"/>
      <c r="AH15" s="1096"/>
      <c r="AI15" s="1096"/>
      <c r="AJ15" s="1096"/>
      <c r="AK15" s="1597"/>
      <c r="AL15" s="694">
        <f>SUM(G15:AK15)</f>
        <v>0</v>
      </c>
      <c r="AM15" s="102">
        <f t="shared" si="1"/>
        <v>0</v>
      </c>
      <c r="AN15" s="1106"/>
      <c r="AO15" s="104"/>
    </row>
    <row r="16" spans="1:41" ht="20.100000000000001" customHeight="1">
      <c r="A16" s="1392"/>
      <c r="B16" s="2425"/>
      <c r="C16" s="1724" t="s">
        <v>2249</v>
      </c>
      <c r="D16" s="129" t="s">
        <v>478</v>
      </c>
      <c r="E16" s="4" t="s">
        <v>2153</v>
      </c>
      <c r="F16" s="756">
        <v>1773</v>
      </c>
      <c r="G16" s="1097"/>
      <c r="H16" s="1097"/>
      <c r="I16" s="1097"/>
      <c r="J16" s="1097"/>
      <c r="K16" s="1097"/>
      <c r="L16" s="1097"/>
      <c r="M16" s="1097"/>
      <c r="N16" s="1097"/>
      <c r="O16" s="1097"/>
      <c r="P16" s="1097"/>
      <c r="Q16" s="1097"/>
      <c r="R16" s="1097"/>
      <c r="S16" s="1097"/>
      <c r="T16" s="1097"/>
      <c r="U16" s="1097"/>
      <c r="V16" s="1097"/>
      <c r="W16" s="1097"/>
      <c r="X16" s="1097"/>
      <c r="Y16" s="1097"/>
      <c r="Z16" s="1097"/>
      <c r="AA16" s="1097"/>
      <c r="AB16" s="1097"/>
      <c r="AC16" s="1097"/>
      <c r="AD16" s="1097"/>
      <c r="AE16" s="1097"/>
      <c r="AF16" s="1097"/>
      <c r="AG16" s="1097"/>
      <c r="AH16" s="1097"/>
      <c r="AI16" s="1097"/>
      <c r="AJ16" s="1097"/>
      <c r="AK16" s="1598"/>
      <c r="AL16" s="694">
        <f>SUM(G16:AK16)</f>
        <v>0</v>
      </c>
      <c r="AM16" s="102">
        <f t="shared" si="1"/>
        <v>0</v>
      </c>
      <c r="AN16" s="1106"/>
      <c r="AO16" s="104"/>
    </row>
    <row r="17" spans="1:41" ht="19.95" customHeight="1" thickBot="1">
      <c r="A17" s="1392"/>
      <c r="B17" s="2425"/>
      <c r="C17" s="1029" t="s">
        <v>2250</v>
      </c>
      <c r="D17" s="148" t="s">
        <v>479</v>
      </c>
      <c r="E17" s="148" t="s">
        <v>2154</v>
      </c>
      <c r="F17" s="757">
        <v>1773</v>
      </c>
      <c r="G17" s="1100"/>
      <c r="H17" s="1100"/>
      <c r="I17" s="1100"/>
      <c r="J17" s="1100"/>
      <c r="K17" s="1100"/>
      <c r="L17" s="1100"/>
      <c r="M17" s="1100"/>
      <c r="N17" s="1100"/>
      <c r="O17" s="1100"/>
      <c r="P17" s="1100"/>
      <c r="Q17" s="1100"/>
      <c r="R17" s="1100"/>
      <c r="S17" s="1100"/>
      <c r="T17" s="1100"/>
      <c r="U17" s="1100"/>
      <c r="V17" s="1100"/>
      <c r="W17" s="1100"/>
      <c r="X17" s="1100"/>
      <c r="Y17" s="1100"/>
      <c r="Z17" s="1100"/>
      <c r="AA17" s="1100"/>
      <c r="AB17" s="1100"/>
      <c r="AC17" s="1100"/>
      <c r="AD17" s="1100"/>
      <c r="AE17" s="1100"/>
      <c r="AF17" s="1100"/>
      <c r="AG17" s="1100"/>
      <c r="AH17" s="1100"/>
      <c r="AI17" s="1100"/>
      <c r="AJ17" s="1100"/>
      <c r="AK17" s="1599"/>
      <c r="AL17" s="695">
        <f>SUM(G17:AK17)</f>
        <v>0</v>
      </c>
      <c r="AM17" s="103">
        <f t="shared" si="1"/>
        <v>0</v>
      </c>
      <c r="AN17" s="1106">
        <f>SUM(AM14:AM17)</f>
        <v>10666</v>
      </c>
      <c r="AO17" s="104"/>
    </row>
    <row r="18" spans="1:41" ht="20.100000000000001" customHeight="1">
      <c r="A18" s="2007" t="s">
        <v>2168</v>
      </c>
      <c r="B18" s="2442" t="s">
        <v>661</v>
      </c>
      <c r="C18" s="576" t="s">
        <v>1963</v>
      </c>
      <c r="D18" s="576" t="s">
        <v>2155</v>
      </c>
      <c r="E18" s="576" t="s">
        <v>2151</v>
      </c>
      <c r="F18" s="2253">
        <v>5322</v>
      </c>
      <c r="G18" s="1095">
        <v>1680</v>
      </c>
      <c r="H18" s="1095">
        <v>960</v>
      </c>
      <c r="I18" s="1095">
        <v>480</v>
      </c>
      <c r="J18" s="1095"/>
      <c r="K18" s="1095"/>
      <c r="L18" s="1095">
        <v>480</v>
      </c>
      <c r="M18" s="1095">
        <v>1200</v>
      </c>
      <c r="N18" s="1095">
        <v>960</v>
      </c>
      <c r="O18" s="1095">
        <v>720</v>
      </c>
      <c r="P18" s="1095">
        <v>720</v>
      </c>
      <c r="Q18" s="1095"/>
      <c r="R18" s="1095"/>
      <c r="S18" s="1095"/>
      <c r="T18" s="1095">
        <v>1200</v>
      </c>
      <c r="U18" s="1095">
        <v>241</v>
      </c>
      <c r="V18" s="1095">
        <v>506</v>
      </c>
      <c r="W18" s="1095"/>
      <c r="X18" s="1095"/>
      <c r="Y18" s="1095"/>
      <c r="Z18" s="1095"/>
      <c r="AA18" s="1095"/>
      <c r="AB18" s="1095"/>
      <c r="AC18" s="1095">
        <v>1200</v>
      </c>
      <c r="AD18" s="1095">
        <v>480</v>
      </c>
      <c r="AE18" s="1095"/>
      <c r="AF18" s="1095"/>
      <c r="AG18" s="1095">
        <v>1440</v>
      </c>
      <c r="AH18" s="1095"/>
      <c r="AI18" s="1095">
        <v>960</v>
      </c>
      <c r="AJ18" s="1095"/>
      <c r="AK18" s="1459">
        <v>12</v>
      </c>
      <c r="AL18" s="692">
        <f t="shared" ref="AL18:AL20" si="3">SUM(G18:AK18)</f>
        <v>13239</v>
      </c>
      <c r="AM18" s="101">
        <f t="shared" si="1"/>
        <v>70457958</v>
      </c>
      <c r="AN18" s="1106"/>
      <c r="AO18" s="104"/>
    </row>
    <row r="19" spans="1:41" ht="20.100000000000001" customHeight="1">
      <c r="A19" s="1081"/>
      <c r="B19" s="2443"/>
      <c r="C19" s="578" t="s">
        <v>1965</v>
      </c>
      <c r="D19" s="578" t="s">
        <v>2156</v>
      </c>
      <c r="E19" s="578" t="s">
        <v>2152</v>
      </c>
      <c r="F19" s="2250">
        <v>5322</v>
      </c>
      <c r="G19" s="1614">
        <v>1680</v>
      </c>
      <c r="H19" s="1614">
        <v>960</v>
      </c>
      <c r="I19" s="1614">
        <v>480</v>
      </c>
      <c r="J19" s="1614"/>
      <c r="K19" s="1614"/>
      <c r="L19" s="1614">
        <v>480</v>
      </c>
      <c r="M19" s="1614">
        <v>1200</v>
      </c>
      <c r="N19" s="1614">
        <v>960</v>
      </c>
      <c r="O19" s="1614">
        <v>720</v>
      </c>
      <c r="P19" s="1614">
        <v>513</v>
      </c>
      <c r="Q19" s="1614"/>
      <c r="R19" s="1614"/>
      <c r="S19" s="1614"/>
      <c r="T19" s="1614">
        <v>1200</v>
      </c>
      <c r="U19" s="1614">
        <v>241</v>
      </c>
      <c r="V19" s="1614">
        <v>720</v>
      </c>
      <c r="W19" s="1614"/>
      <c r="X19" s="1614"/>
      <c r="Y19" s="1614"/>
      <c r="Z19" s="1614"/>
      <c r="AA19" s="1614"/>
      <c r="AB19" s="1614"/>
      <c r="AC19" s="1614">
        <v>1200</v>
      </c>
      <c r="AD19" s="1614">
        <v>480</v>
      </c>
      <c r="AE19" s="1614">
        <v>5</v>
      </c>
      <c r="AF19" s="1614"/>
      <c r="AG19" s="1614">
        <v>1440</v>
      </c>
      <c r="AH19" s="1614"/>
      <c r="AI19" s="1614">
        <v>960</v>
      </c>
      <c r="AJ19" s="1614"/>
      <c r="AK19" s="1615"/>
      <c r="AL19" s="694">
        <f>SUM(G19:AK19)</f>
        <v>13239</v>
      </c>
      <c r="AM19" s="102">
        <f>SUM(AL19*F19)</f>
        <v>70457958</v>
      </c>
      <c r="AN19" s="1106"/>
      <c r="AO19" s="104"/>
    </row>
    <row r="20" spans="1:41" ht="20.100000000000001" customHeight="1">
      <c r="A20" s="1081"/>
      <c r="B20" s="2443"/>
      <c r="C20" s="602" t="s">
        <v>1964</v>
      </c>
      <c r="D20" s="602" t="s">
        <v>2155</v>
      </c>
      <c r="E20" s="602" t="s">
        <v>1940</v>
      </c>
      <c r="F20" s="2250">
        <v>5322</v>
      </c>
      <c r="G20" s="1089"/>
      <c r="H20" s="1089"/>
      <c r="I20" s="1089"/>
      <c r="J20" s="1089"/>
      <c r="K20" s="1089"/>
      <c r="L20" s="1089">
        <v>480</v>
      </c>
      <c r="M20" s="1089"/>
      <c r="N20" s="1089"/>
      <c r="O20" s="1089"/>
      <c r="P20" s="1089">
        <v>241</v>
      </c>
      <c r="Q20" s="1089"/>
      <c r="R20" s="1089"/>
      <c r="S20" s="1089"/>
      <c r="T20" s="1089"/>
      <c r="U20" s="1089"/>
      <c r="V20" s="1089"/>
      <c r="W20" s="1089"/>
      <c r="X20" s="1089"/>
      <c r="Y20" s="1089"/>
      <c r="Z20" s="1089"/>
      <c r="AA20" s="1089"/>
      <c r="AB20" s="1089"/>
      <c r="AC20" s="1089"/>
      <c r="AD20" s="1089"/>
      <c r="AE20" s="1089"/>
      <c r="AF20" s="1089"/>
      <c r="AG20" s="1089"/>
      <c r="AH20" s="1089"/>
      <c r="AI20" s="1089">
        <v>420</v>
      </c>
      <c r="AJ20" s="1089"/>
      <c r="AK20" s="1089"/>
      <c r="AL20" s="694">
        <f t="shared" si="3"/>
        <v>1141</v>
      </c>
      <c r="AM20" s="102">
        <f>AL20*F20</f>
        <v>6072402</v>
      </c>
      <c r="AN20" s="1106"/>
      <c r="AO20" s="104"/>
    </row>
    <row r="21" spans="1:41" ht="20.100000000000001" customHeight="1" thickBot="1">
      <c r="A21" s="1081"/>
      <c r="B21" s="2444"/>
      <c r="C21" s="536" t="s">
        <v>1966</v>
      </c>
      <c r="D21" s="536" t="s">
        <v>2156</v>
      </c>
      <c r="E21" s="536" t="s">
        <v>1941</v>
      </c>
      <c r="F21" s="2251">
        <v>5322</v>
      </c>
      <c r="G21" s="1101"/>
      <c r="H21" s="1101"/>
      <c r="I21" s="1101"/>
      <c r="J21" s="1101"/>
      <c r="K21" s="1101"/>
      <c r="L21" s="1101">
        <v>480</v>
      </c>
      <c r="M21" s="1101"/>
      <c r="N21" s="1101"/>
      <c r="O21" s="1101"/>
      <c r="P21" s="1101"/>
      <c r="Q21" s="1101"/>
      <c r="R21" s="1101"/>
      <c r="S21" s="1101"/>
      <c r="T21" s="1101"/>
      <c r="U21" s="1101"/>
      <c r="V21" s="1101">
        <v>241</v>
      </c>
      <c r="W21" s="1101"/>
      <c r="X21" s="1101"/>
      <c r="Y21" s="1101"/>
      <c r="Z21" s="1101"/>
      <c r="AA21" s="1101"/>
      <c r="AB21" s="1101"/>
      <c r="AC21" s="1101"/>
      <c r="AD21" s="1101"/>
      <c r="AE21" s="1101"/>
      <c r="AF21" s="1101"/>
      <c r="AG21" s="1101"/>
      <c r="AH21" s="1101"/>
      <c r="AI21" s="1101">
        <v>420</v>
      </c>
      <c r="AJ21" s="1101"/>
      <c r="AK21" s="1101"/>
      <c r="AL21" s="696">
        <f>SUM(G21:AK21)</f>
        <v>1141</v>
      </c>
      <c r="AM21" s="113">
        <f>SUM(AL21*F21)</f>
        <v>6072402</v>
      </c>
      <c r="AN21" s="2165">
        <f>SUM(AM18:AM21)</f>
        <v>153060720</v>
      </c>
      <c r="AO21" s="104"/>
    </row>
    <row r="22" spans="1:41" ht="20.100000000000001" customHeight="1">
      <c r="A22" s="2008"/>
      <c r="B22" s="2428" t="s">
        <v>715</v>
      </c>
      <c r="C22" s="993" t="s">
        <v>1967</v>
      </c>
      <c r="D22" s="993" t="s">
        <v>798</v>
      </c>
      <c r="E22" s="993" t="s">
        <v>2151</v>
      </c>
      <c r="F22" s="2259">
        <v>5800</v>
      </c>
      <c r="G22" s="1102"/>
      <c r="H22" s="1102"/>
      <c r="I22" s="1102"/>
      <c r="J22" s="1102"/>
      <c r="K22" s="1102"/>
      <c r="L22" s="1102"/>
      <c r="M22" s="1102"/>
      <c r="N22" s="1102"/>
      <c r="O22" s="1102"/>
      <c r="P22" s="1102"/>
      <c r="Q22" s="1102"/>
      <c r="R22" s="1102"/>
      <c r="S22" s="1102"/>
      <c r="T22" s="1102"/>
      <c r="U22" s="1102"/>
      <c r="V22" s="1102"/>
      <c r="W22" s="1102">
        <v>5760</v>
      </c>
      <c r="X22" s="1102"/>
      <c r="Y22" s="1102"/>
      <c r="Z22" s="1102"/>
      <c r="AA22" s="1102"/>
      <c r="AB22" s="1102"/>
      <c r="AC22" s="1102"/>
      <c r="AD22" s="1102"/>
      <c r="AE22" s="1102"/>
      <c r="AF22" s="1102"/>
      <c r="AG22" s="1102"/>
      <c r="AH22" s="1102">
        <v>5760</v>
      </c>
      <c r="AI22" s="1102"/>
      <c r="AJ22" s="1102">
        <v>1440</v>
      </c>
      <c r="AK22" s="1600"/>
      <c r="AL22" s="693">
        <f t="shared" ref="AL22" si="4">SUM(G22:AK22)</f>
        <v>12960</v>
      </c>
      <c r="AM22" s="127">
        <f>AL22*F22</f>
        <v>75168000</v>
      </c>
      <c r="AN22" s="1106"/>
      <c r="AO22" s="104"/>
    </row>
    <row r="23" spans="1:41" ht="20.100000000000001" customHeight="1" thickBot="1">
      <c r="A23" s="2008"/>
      <c r="B23" s="2427"/>
      <c r="C23" s="536" t="s">
        <v>1968</v>
      </c>
      <c r="D23" s="536" t="s">
        <v>2157</v>
      </c>
      <c r="E23" s="536" t="s">
        <v>2152</v>
      </c>
      <c r="F23" s="2251">
        <v>5800</v>
      </c>
      <c r="G23" s="1101"/>
      <c r="H23" s="1101"/>
      <c r="I23" s="1101"/>
      <c r="J23" s="1285"/>
      <c r="K23" s="1101"/>
      <c r="L23" s="1101"/>
      <c r="M23" s="1101"/>
      <c r="N23" s="1285"/>
      <c r="O23" s="1101"/>
      <c r="P23" s="1285"/>
      <c r="Q23" s="1101"/>
      <c r="R23" s="1101"/>
      <c r="S23" s="1101"/>
      <c r="T23" s="1101"/>
      <c r="U23" s="1101"/>
      <c r="V23" s="1101"/>
      <c r="W23" s="1101">
        <v>5760</v>
      </c>
      <c r="X23" s="1101"/>
      <c r="Y23" s="1101"/>
      <c r="Z23" s="1101"/>
      <c r="AA23" s="1101"/>
      <c r="AB23" s="1101"/>
      <c r="AC23" s="1101"/>
      <c r="AD23" s="1101"/>
      <c r="AE23" s="1101"/>
      <c r="AF23" s="1101"/>
      <c r="AG23" s="1101"/>
      <c r="AH23" s="1101">
        <v>5760</v>
      </c>
      <c r="AI23" s="1101"/>
      <c r="AJ23" s="1101">
        <v>1440</v>
      </c>
      <c r="AK23" s="1464"/>
      <c r="AL23" s="696">
        <f>SUM(G23:AK23)</f>
        <v>12960</v>
      </c>
      <c r="AM23" s="113">
        <f>SUM(AL23*F23)</f>
        <v>75168000</v>
      </c>
      <c r="AN23" s="1005">
        <f>SUM(AM22:AM23)</f>
        <v>150336000</v>
      </c>
      <c r="AO23" s="104"/>
    </row>
    <row r="24" spans="1:41" ht="20.100000000000001" customHeight="1">
      <c r="A24" s="2008"/>
      <c r="B24" s="2426" t="s">
        <v>1191</v>
      </c>
      <c r="C24" s="577" t="s">
        <v>1969</v>
      </c>
      <c r="D24" s="993" t="s">
        <v>798</v>
      </c>
      <c r="E24" s="577" t="s">
        <v>2151</v>
      </c>
      <c r="F24" s="720">
        <v>1597</v>
      </c>
      <c r="G24" s="1098"/>
      <c r="H24" s="1098"/>
      <c r="I24" s="1098"/>
      <c r="J24" s="1098"/>
      <c r="K24" s="1098"/>
      <c r="L24" s="1098"/>
      <c r="M24" s="1098"/>
      <c r="N24" s="1098"/>
      <c r="O24" s="1098"/>
      <c r="P24" s="1098"/>
      <c r="Q24" s="1098"/>
      <c r="R24" s="1098"/>
      <c r="S24" s="1098"/>
      <c r="T24" s="1098"/>
      <c r="U24" s="1098"/>
      <c r="V24" s="1098"/>
      <c r="W24" s="1098"/>
      <c r="X24" s="1098"/>
      <c r="Y24" s="1098"/>
      <c r="Z24" s="1098"/>
      <c r="AA24" s="1098"/>
      <c r="AB24" s="1098"/>
      <c r="AC24" s="1098"/>
      <c r="AD24" s="1098"/>
      <c r="AE24" s="1098"/>
      <c r="AF24" s="1098"/>
      <c r="AG24" s="1098"/>
      <c r="AH24" s="1098"/>
      <c r="AI24" s="1098"/>
      <c r="AJ24" s="1098"/>
      <c r="AK24" s="1601"/>
      <c r="AL24" s="692">
        <f t="shared" si="2"/>
        <v>0</v>
      </c>
      <c r="AM24" s="101">
        <f>AL24*F24</f>
        <v>0</v>
      </c>
      <c r="AN24" s="1106"/>
      <c r="AO24" s="104"/>
    </row>
    <row r="25" spans="1:41" ht="18.75" customHeight="1" thickBot="1">
      <c r="A25" s="2009"/>
      <c r="B25" s="2427"/>
      <c r="C25" s="536" t="s">
        <v>1970</v>
      </c>
      <c r="D25" s="536" t="s">
        <v>2157</v>
      </c>
      <c r="E25" s="536" t="s">
        <v>2152</v>
      </c>
      <c r="F25" s="758">
        <v>1597</v>
      </c>
      <c r="G25" s="1101"/>
      <c r="H25" s="1101"/>
      <c r="I25" s="1101"/>
      <c r="J25" s="1101"/>
      <c r="K25" s="1101"/>
      <c r="L25" s="1101"/>
      <c r="M25" s="1101"/>
      <c r="N25" s="1101"/>
      <c r="O25" s="1101"/>
      <c r="P25" s="1101"/>
      <c r="Q25" s="1101"/>
      <c r="R25" s="1101"/>
      <c r="S25" s="1101"/>
      <c r="T25" s="1101"/>
      <c r="U25" s="1101"/>
      <c r="V25" s="1101"/>
      <c r="W25" s="1101"/>
      <c r="X25" s="1101"/>
      <c r="Y25" s="1101"/>
      <c r="Z25" s="1101"/>
      <c r="AA25" s="1101"/>
      <c r="AB25" s="1101"/>
      <c r="AC25" s="1101"/>
      <c r="AD25" s="1101"/>
      <c r="AE25" s="1101"/>
      <c r="AF25" s="1101"/>
      <c r="AG25" s="1101"/>
      <c r="AH25" s="1101"/>
      <c r="AI25" s="1101"/>
      <c r="AJ25" s="1101"/>
      <c r="AK25" s="1464"/>
      <c r="AL25" s="696">
        <f>SUM(G25:AK25)</f>
        <v>0</v>
      </c>
      <c r="AM25" s="113">
        <f t="shared" ref="AM25:AM47" si="5">SUM(AL25*F25)</f>
        <v>0</v>
      </c>
      <c r="AN25" s="1106">
        <f>SUM(AM24:AM25)</f>
        <v>0</v>
      </c>
      <c r="AO25" s="104"/>
    </row>
    <row r="26" spans="1:41" ht="20.100000000000001" customHeight="1" thickBot="1">
      <c r="A26" s="2010"/>
      <c r="B26" s="2434" t="s">
        <v>945</v>
      </c>
      <c r="C26" s="1612" t="s">
        <v>1959</v>
      </c>
      <c r="D26" s="598" t="s">
        <v>1990</v>
      </c>
      <c r="E26" s="576" t="s">
        <v>1856</v>
      </c>
      <c r="F26" s="2253">
        <v>5845</v>
      </c>
      <c r="G26" s="1095"/>
      <c r="H26" s="1095">
        <v>1920</v>
      </c>
      <c r="I26" s="1095">
        <v>1280</v>
      </c>
      <c r="J26" s="1095"/>
      <c r="K26" s="1095"/>
      <c r="L26" s="1095">
        <v>1600</v>
      </c>
      <c r="M26" s="1095"/>
      <c r="N26" s="1095"/>
      <c r="O26" s="1095">
        <v>1280</v>
      </c>
      <c r="P26" s="1095"/>
      <c r="Q26" s="1095"/>
      <c r="R26" s="1095"/>
      <c r="S26" s="1095">
        <v>1280</v>
      </c>
      <c r="T26" s="1095">
        <v>1280</v>
      </c>
      <c r="U26" s="1095"/>
      <c r="V26" s="1095">
        <v>1280</v>
      </c>
      <c r="W26" s="1095">
        <v>320</v>
      </c>
      <c r="X26" s="1095"/>
      <c r="Y26" s="1095"/>
      <c r="Z26" s="1095">
        <v>320</v>
      </c>
      <c r="AA26" s="1095"/>
      <c r="AB26" s="1095">
        <v>960</v>
      </c>
      <c r="AC26" s="1095">
        <v>640</v>
      </c>
      <c r="AD26" s="1095">
        <v>640</v>
      </c>
      <c r="AE26" s="1095">
        <v>640</v>
      </c>
      <c r="AF26" s="1095"/>
      <c r="AG26" s="1095">
        <v>1280</v>
      </c>
      <c r="AH26" s="1095"/>
      <c r="AI26" s="1095">
        <v>1280</v>
      </c>
      <c r="AJ26" s="1095"/>
      <c r="AK26" s="1459">
        <v>1280</v>
      </c>
      <c r="AL26" s="696">
        <f>SUM(G26:AK26)</f>
        <v>17280</v>
      </c>
      <c r="AM26" s="883">
        <f t="shared" si="5"/>
        <v>101001600</v>
      </c>
      <c r="AN26" s="1106"/>
      <c r="AO26"/>
    </row>
    <row r="27" spans="1:41" ht="20.100000000000001" customHeight="1" thickBot="1">
      <c r="A27" s="2011"/>
      <c r="B27" s="2435"/>
      <c r="C27" s="1613" t="s">
        <v>1960</v>
      </c>
      <c r="D27" s="599" t="s">
        <v>1991</v>
      </c>
      <c r="E27" s="578" t="s">
        <v>1857</v>
      </c>
      <c r="F27" s="2250">
        <v>5845</v>
      </c>
      <c r="G27" s="1614"/>
      <c r="H27" s="1614">
        <v>1280</v>
      </c>
      <c r="I27" s="1614">
        <v>960</v>
      </c>
      <c r="J27" s="1614"/>
      <c r="K27" s="1614"/>
      <c r="L27" s="1614">
        <v>1600</v>
      </c>
      <c r="M27" s="1614"/>
      <c r="N27" s="1614"/>
      <c r="O27" s="1614">
        <v>1280</v>
      </c>
      <c r="P27" s="1614">
        <v>640</v>
      </c>
      <c r="Q27" s="1614"/>
      <c r="R27" s="1614"/>
      <c r="S27" s="1614">
        <v>1280</v>
      </c>
      <c r="T27" s="1614">
        <v>1280</v>
      </c>
      <c r="U27" s="1614"/>
      <c r="V27" s="1614">
        <v>1280</v>
      </c>
      <c r="W27" s="1614"/>
      <c r="X27" s="1614"/>
      <c r="Y27" s="1614"/>
      <c r="Z27" s="1614">
        <v>320</v>
      </c>
      <c r="AA27" s="1614"/>
      <c r="AB27" s="1614">
        <v>2240</v>
      </c>
      <c r="AC27" s="1614">
        <v>640</v>
      </c>
      <c r="AD27" s="1614">
        <v>640</v>
      </c>
      <c r="AE27" s="1614">
        <v>640</v>
      </c>
      <c r="AF27" s="1614"/>
      <c r="AG27" s="1614">
        <v>1280</v>
      </c>
      <c r="AH27" s="1614"/>
      <c r="AI27" s="1614">
        <v>640</v>
      </c>
      <c r="AJ27" s="1614">
        <v>960</v>
      </c>
      <c r="AK27" s="1615">
        <v>1920</v>
      </c>
      <c r="AL27" s="696">
        <f>SUM(G27:AK27)</f>
        <v>18880</v>
      </c>
      <c r="AM27" s="113">
        <f t="shared" si="5"/>
        <v>110353600</v>
      </c>
      <c r="AN27" s="1106"/>
      <c r="AO27" s="104"/>
    </row>
    <row r="28" spans="1:41" ht="20.100000000000001" customHeight="1" thickBot="1">
      <c r="A28" s="2011"/>
      <c r="B28" s="2435"/>
      <c r="C28" s="878" t="s">
        <v>1961</v>
      </c>
      <c r="D28" s="879" t="s">
        <v>946</v>
      </c>
      <c r="E28" s="880" t="s">
        <v>1992</v>
      </c>
      <c r="F28" s="881">
        <v>5791</v>
      </c>
      <c r="G28" s="1091"/>
      <c r="H28" s="1091"/>
      <c r="I28" s="1091"/>
      <c r="J28" s="1091"/>
      <c r="K28" s="1091"/>
      <c r="L28" s="1091"/>
      <c r="M28" s="1091"/>
      <c r="N28" s="1091"/>
      <c r="O28" s="1091"/>
      <c r="P28" s="1091"/>
      <c r="Q28" s="1091"/>
      <c r="R28" s="1091"/>
      <c r="S28" s="1091"/>
      <c r="T28" s="1091"/>
      <c r="U28" s="1091"/>
      <c r="V28" s="1091"/>
      <c r="W28" s="1091"/>
      <c r="X28" s="1091"/>
      <c r="Y28" s="1091"/>
      <c r="Z28" s="1091"/>
      <c r="AA28" s="1091"/>
      <c r="AB28" s="1091"/>
      <c r="AC28" s="1091"/>
      <c r="AD28" s="1091"/>
      <c r="AE28" s="1091"/>
      <c r="AF28" s="1091"/>
      <c r="AG28" s="1091"/>
      <c r="AH28" s="1091"/>
      <c r="AI28" s="1091"/>
      <c r="AJ28" s="1091"/>
      <c r="AK28" s="1602"/>
      <c r="AL28" s="696">
        <f t="shared" ref="AL28:AL41" si="6">SUM(G28:AK28)</f>
        <v>0</v>
      </c>
      <c r="AM28" s="883">
        <f t="shared" si="5"/>
        <v>0</v>
      </c>
      <c r="AN28" s="1106"/>
      <c r="AO28"/>
    </row>
    <row r="29" spans="1:41" ht="20.100000000000001" customHeight="1" thickBot="1">
      <c r="A29" s="2011"/>
      <c r="B29" s="2435"/>
      <c r="C29" s="884" t="s">
        <v>1962</v>
      </c>
      <c r="D29" s="885" t="s">
        <v>947</v>
      </c>
      <c r="E29" s="604" t="s">
        <v>1993</v>
      </c>
      <c r="F29" s="2250">
        <v>5845</v>
      </c>
      <c r="G29" s="1092"/>
      <c r="H29" s="1092"/>
      <c r="I29" s="1092"/>
      <c r="J29" s="1092"/>
      <c r="K29" s="1092"/>
      <c r="L29" s="1092"/>
      <c r="M29" s="1092"/>
      <c r="N29" s="1092"/>
      <c r="O29" s="1092"/>
      <c r="P29" s="1092"/>
      <c r="Q29" s="1092"/>
      <c r="R29" s="1092"/>
      <c r="S29" s="1092"/>
      <c r="T29" s="1092"/>
      <c r="U29" s="1092"/>
      <c r="V29" s="1092"/>
      <c r="W29" s="1092"/>
      <c r="X29" s="1092"/>
      <c r="Y29" s="1092"/>
      <c r="Z29" s="1092"/>
      <c r="AA29" s="1092"/>
      <c r="AB29" s="1092"/>
      <c r="AC29" s="1092"/>
      <c r="AD29" s="1092"/>
      <c r="AE29" s="1092"/>
      <c r="AF29" s="1092"/>
      <c r="AG29" s="1092"/>
      <c r="AH29" s="1092"/>
      <c r="AI29" s="1092"/>
      <c r="AJ29" s="1092"/>
      <c r="AK29" s="1450"/>
      <c r="AL29" s="696">
        <f t="shared" si="6"/>
        <v>0</v>
      </c>
      <c r="AM29" s="113">
        <f t="shared" si="5"/>
        <v>0</v>
      </c>
      <c r="AN29" s="1106"/>
      <c r="AO29" s="104"/>
    </row>
    <row r="30" spans="1:41" ht="20.100000000000001" customHeight="1" thickBot="1">
      <c r="A30" s="2011"/>
      <c r="B30" s="2435"/>
      <c r="C30" s="886" t="s">
        <v>1994</v>
      </c>
      <c r="D30" s="887" t="s">
        <v>948</v>
      </c>
      <c r="E30" s="605" t="s">
        <v>949</v>
      </c>
      <c r="F30" s="2250">
        <v>5905</v>
      </c>
      <c r="G30" s="1093"/>
      <c r="H30" s="1093"/>
      <c r="I30" s="1093"/>
      <c r="J30" s="1093"/>
      <c r="K30" s="1093"/>
      <c r="L30" s="1093"/>
      <c r="M30" s="1093"/>
      <c r="N30" s="1093"/>
      <c r="O30" s="1093"/>
      <c r="P30" s="1093"/>
      <c r="Q30" s="1093"/>
      <c r="R30" s="1093"/>
      <c r="S30" s="1093"/>
      <c r="T30" s="1093"/>
      <c r="U30" s="1093"/>
      <c r="V30" s="1093"/>
      <c r="W30" s="1093"/>
      <c r="X30" s="1093"/>
      <c r="Y30" s="1093"/>
      <c r="Z30" s="1093"/>
      <c r="AA30" s="1093"/>
      <c r="AB30" s="1093"/>
      <c r="AC30" s="1093"/>
      <c r="AD30" s="1093"/>
      <c r="AE30" s="1093"/>
      <c r="AF30" s="1093"/>
      <c r="AG30" s="1093"/>
      <c r="AH30" s="1093"/>
      <c r="AI30" s="1093"/>
      <c r="AJ30" s="1093"/>
      <c r="AK30" s="1603"/>
      <c r="AL30" s="696">
        <f t="shared" si="6"/>
        <v>0</v>
      </c>
      <c r="AM30" s="113">
        <f t="shared" si="5"/>
        <v>0</v>
      </c>
      <c r="AN30" s="1106"/>
      <c r="AO30" s="104"/>
    </row>
    <row r="31" spans="1:41" ht="20.100000000000001" customHeight="1" thickBot="1">
      <c r="A31" s="2011"/>
      <c r="B31" s="2435"/>
      <c r="C31" s="884" t="s">
        <v>1995</v>
      </c>
      <c r="D31" s="885" t="s">
        <v>950</v>
      </c>
      <c r="E31" s="604" t="s">
        <v>951</v>
      </c>
      <c r="F31" s="2250">
        <v>5905</v>
      </c>
      <c r="G31" s="1092"/>
      <c r="H31" s="1092"/>
      <c r="I31" s="1092"/>
      <c r="J31" s="1092"/>
      <c r="K31" s="1092"/>
      <c r="L31" s="1092"/>
      <c r="M31" s="1092"/>
      <c r="N31" s="1092"/>
      <c r="O31" s="1092"/>
      <c r="P31" s="1092"/>
      <c r="Q31" s="1092"/>
      <c r="R31" s="1092"/>
      <c r="S31" s="1092"/>
      <c r="T31" s="1092"/>
      <c r="U31" s="1092"/>
      <c r="V31" s="1092"/>
      <c r="W31" s="1092"/>
      <c r="X31" s="1092"/>
      <c r="Y31" s="1092"/>
      <c r="Z31" s="1092"/>
      <c r="AA31" s="1092"/>
      <c r="AB31" s="1092"/>
      <c r="AC31" s="1092"/>
      <c r="AD31" s="1092"/>
      <c r="AE31" s="1092"/>
      <c r="AF31" s="1092"/>
      <c r="AG31" s="1092"/>
      <c r="AH31" s="1092"/>
      <c r="AI31" s="1092"/>
      <c r="AJ31" s="1092"/>
      <c r="AK31" s="1450"/>
      <c r="AL31" s="696">
        <f t="shared" si="6"/>
        <v>0</v>
      </c>
      <c r="AM31" s="113">
        <f t="shared" si="5"/>
        <v>0</v>
      </c>
      <c r="AN31" s="1106"/>
      <c r="AO31" s="104"/>
    </row>
    <row r="32" spans="1:41" ht="20.100000000000001" customHeight="1" thickBot="1">
      <c r="A32" s="2011"/>
      <c r="B32" s="2435"/>
      <c r="C32" s="888" t="s">
        <v>2179</v>
      </c>
      <c r="D32" s="889" t="s">
        <v>2180</v>
      </c>
      <c r="E32" s="602" t="s">
        <v>2181</v>
      </c>
      <c r="F32" s="732">
        <v>5694</v>
      </c>
      <c r="G32" s="1089"/>
      <c r="H32" s="1089"/>
      <c r="I32" s="1089">
        <v>280</v>
      </c>
      <c r="J32" s="1089"/>
      <c r="K32" s="1089"/>
      <c r="L32" s="1089"/>
      <c r="M32" s="1089"/>
      <c r="N32" s="1089"/>
      <c r="O32" s="1089"/>
      <c r="P32" s="1089"/>
      <c r="Q32" s="1089"/>
      <c r="R32" s="1089"/>
      <c r="S32" s="1089"/>
      <c r="T32" s="1089"/>
      <c r="U32" s="1089"/>
      <c r="V32" s="1089">
        <v>560</v>
      </c>
      <c r="W32" s="1089"/>
      <c r="X32" s="1089"/>
      <c r="Y32" s="1089"/>
      <c r="Z32" s="1089"/>
      <c r="AA32" s="1089"/>
      <c r="AB32" s="1089"/>
      <c r="AC32" s="1089"/>
      <c r="AD32" s="1089"/>
      <c r="AE32" s="1089"/>
      <c r="AF32" s="1089"/>
      <c r="AG32" s="1089">
        <v>280</v>
      </c>
      <c r="AH32" s="1089"/>
      <c r="AI32" s="1089"/>
      <c r="AJ32" s="1089"/>
      <c r="AK32" s="1460"/>
      <c r="AL32" s="696">
        <f t="shared" si="6"/>
        <v>1120</v>
      </c>
      <c r="AM32" s="113">
        <f t="shared" si="5"/>
        <v>6377280</v>
      </c>
      <c r="AN32" s="1106"/>
      <c r="AO32" s="104"/>
    </row>
    <row r="33" spans="1:88" ht="20.100000000000001" customHeight="1" thickBot="1">
      <c r="A33" s="2011"/>
      <c r="B33" s="2439"/>
      <c r="C33" s="890" t="s">
        <v>2182</v>
      </c>
      <c r="D33" s="891" t="s">
        <v>2183</v>
      </c>
      <c r="E33" s="740" t="s">
        <v>2184</v>
      </c>
      <c r="F33" s="2251">
        <v>6154</v>
      </c>
      <c r="G33" s="1090"/>
      <c r="H33" s="1090"/>
      <c r="I33" s="1090">
        <v>280</v>
      </c>
      <c r="J33" s="1090"/>
      <c r="K33" s="1090"/>
      <c r="L33" s="1090"/>
      <c r="M33" s="1090"/>
      <c r="N33" s="1090"/>
      <c r="O33" s="1090"/>
      <c r="P33" s="1090"/>
      <c r="Q33" s="1090"/>
      <c r="R33" s="1090"/>
      <c r="S33" s="1090"/>
      <c r="T33" s="1090"/>
      <c r="U33" s="1090"/>
      <c r="V33" s="1090">
        <v>560</v>
      </c>
      <c r="W33" s="1090"/>
      <c r="X33" s="1090"/>
      <c r="Y33" s="1090"/>
      <c r="Z33" s="1090"/>
      <c r="AA33" s="1090"/>
      <c r="AB33" s="1090"/>
      <c r="AC33" s="1090"/>
      <c r="AD33" s="1090"/>
      <c r="AE33" s="1090"/>
      <c r="AF33" s="1090"/>
      <c r="AG33" s="1090">
        <v>280</v>
      </c>
      <c r="AH33" s="1090"/>
      <c r="AI33" s="1090"/>
      <c r="AJ33" s="1090"/>
      <c r="AK33" s="1604"/>
      <c r="AL33" s="696">
        <f t="shared" si="6"/>
        <v>1120</v>
      </c>
      <c r="AM33" s="113">
        <f t="shared" si="5"/>
        <v>6892480</v>
      </c>
      <c r="AN33" s="1106">
        <f>SUM(AM26:AM33)</f>
        <v>224624960</v>
      </c>
      <c r="AO33" s="104"/>
    </row>
    <row r="34" spans="1:88" ht="20.100000000000001" customHeight="1" thickBot="1">
      <c r="A34" s="1992"/>
      <c r="B34" s="2434" t="s">
        <v>952</v>
      </c>
      <c r="C34" s="880" t="s">
        <v>1971</v>
      </c>
      <c r="D34" s="880" t="s">
        <v>953</v>
      </c>
      <c r="E34" s="880" t="s">
        <v>954</v>
      </c>
      <c r="F34" s="2253">
        <v>5841</v>
      </c>
      <c r="G34" s="1091"/>
      <c r="H34" s="1091"/>
      <c r="I34" s="1091"/>
      <c r="J34" s="1091"/>
      <c r="K34" s="1091"/>
      <c r="L34" s="1091"/>
      <c r="M34" s="1091"/>
      <c r="N34" s="1091"/>
      <c r="O34" s="1091"/>
      <c r="P34" s="1091"/>
      <c r="Q34" s="1091"/>
      <c r="R34" s="1091"/>
      <c r="S34" s="1091"/>
      <c r="T34" s="1091"/>
      <c r="U34" s="1091"/>
      <c r="V34" s="1091"/>
      <c r="W34" s="1091"/>
      <c r="X34" s="1091"/>
      <c r="Y34" s="1091"/>
      <c r="Z34" s="1091"/>
      <c r="AA34" s="1091"/>
      <c r="AB34" s="1091"/>
      <c r="AC34" s="1091"/>
      <c r="AD34" s="1091"/>
      <c r="AE34" s="1091"/>
      <c r="AF34" s="1091"/>
      <c r="AG34" s="1091"/>
      <c r="AH34" s="1091"/>
      <c r="AI34" s="1091"/>
      <c r="AJ34" s="1091"/>
      <c r="AK34" s="1602"/>
      <c r="AL34" s="882">
        <f t="shared" si="6"/>
        <v>0</v>
      </c>
      <c r="AM34" s="883">
        <f t="shared" si="5"/>
        <v>0</v>
      </c>
      <c r="AN34" s="1106"/>
      <c r="AO34" s="104"/>
    </row>
    <row r="35" spans="1:88" ht="20.100000000000001" customHeight="1" thickBot="1">
      <c r="A35" s="1992"/>
      <c r="B35" s="2435"/>
      <c r="C35" s="604" t="s">
        <v>1972</v>
      </c>
      <c r="D35" s="604" t="s">
        <v>955</v>
      </c>
      <c r="E35" s="604" t="s">
        <v>956</v>
      </c>
      <c r="F35" s="2250">
        <v>5841</v>
      </c>
      <c r="G35" s="1092"/>
      <c r="H35" s="1092"/>
      <c r="I35" s="1092"/>
      <c r="J35" s="1092"/>
      <c r="K35" s="1092"/>
      <c r="L35" s="1092"/>
      <c r="M35" s="1092"/>
      <c r="N35" s="1092"/>
      <c r="O35" s="1092"/>
      <c r="P35" s="1092"/>
      <c r="Q35" s="1092"/>
      <c r="R35" s="1092"/>
      <c r="S35" s="1092"/>
      <c r="T35" s="1092"/>
      <c r="U35" s="1092"/>
      <c r="V35" s="1092"/>
      <c r="W35" s="1092"/>
      <c r="X35" s="1092"/>
      <c r="Y35" s="1092"/>
      <c r="Z35" s="1092"/>
      <c r="AA35" s="1092"/>
      <c r="AB35" s="1092"/>
      <c r="AC35" s="1092"/>
      <c r="AD35" s="1092"/>
      <c r="AE35" s="1092"/>
      <c r="AF35" s="1092"/>
      <c r="AG35" s="1092"/>
      <c r="AH35" s="1092"/>
      <c r="AI35" s="1092"/>
      <c r="AJ35" s="1092"/>
      <c r="AK35" s="1450"/>
      <c r="AL35" s="696">
        <f t="shared" si="6"/>
        <v>0</v>
      </c>
      <c r="AM35" s="113">
        <f t="shared" si="5"/>
        <v>0</v>
      </c>
      <c r="AN35" s="1106"/>
      <c r="AO35" s="104"/>
    </row>
    <row r="36" spans="1:88" ht="20.100000000000001" customHeight="1" thickBot="1">
      <c r="A36" s="1992"/>
      <c r="B36" s="2435"/>
      <c r="C36" s="605" t="s">
        <v>2046</v>
      </c>
      <c r="D36" s="605" t="s">
        <v>953</v>
      </c>
      <c r="E36" s="605" t="s">
        <v>2002</v>
      </c>
      <c r="F36" s="2250">
        <v>6206</v>
      </c>
      <c r="G36" s="1093"/>
      <c r="H36" s="1093"/>
      <c r="I36" s="1093">
        <v>6480</v>
      </c>
      <c r="J36" s="1093"/>
      <c r="K36" s="1093"/>
      <c r="L36" s="1093"/>
      <c r="M36" s="1093"/>
      <c r="N36" s="1093"/>
      <c r="O36" s="1093"/>
      <c r="P36" s="1093">
        <v>6120</v>
      </c>
      <c r="Q36" s="1093"/>
      <c r="R36" s="1093"/>
      <c r="S36" s="1093"/>
      <c r="T36" s="1093"/>
      <c r="U36" s="1093">
        <v>720</v>
      </c>
      <c r="V36" s="1093"/>
      <c r="W36" s="1093"/>
      <c r="X36" s="1093"/>
      <c r="Y36" s="1093"/>
      <c r="Z36" s="1093">
        <v>6480</v>
      </c>
      <c r="AA36" s="1093"/>
      <c r="AB36" s="1093"/>
      <c r="AC36" s="1093"/>
      <c r="AD36" s="1093">
        <v>6480</v>
      </c>
      <c r="AE36" s="1093"/>
      <c r="AF36" s="1093"/>
      <c r="AG36" s="1093"/>
      <c r="AH36" s="1093"/>
      <c r="AI36" s="1093"/>
      <c r="AJ36" s="1093"/>
      <c r="AK36" s="1603">
        <v>6120</v>
      </c>
      <c r="AL36" s="696">
        <f t="shared" ref="AL36:AL37" si="7">SUM(G36:AK36)</f>
        <v>32400</v>
      </c>
      <c r="AM36" s="113">
        <f t="shared" si="5"/>
        <v>201074400</v>
      </c>
      <c r="AN36" s="1106"/>
      <c r="AO36" s="104"/>
    </row>
    <row r="37" spans="1:88" ht="20.100000000000001" customHeight="1" thickBot="1">
      <c r="A37" s="1992"/>
      <c r="B37" s="2435"/>
      <c r="C37" s="892" t="s">
        <v>2047</v>
      </c>
      <c r="D37" s="892" t="s">
        <v>955</v>
      </c>
      <c r="E37" s="892" t="s">
        <v>2003</v>
      </c>
      <c r="F37" s="2251">
        <v>6206</v>
      </c>
      <c r="G37" s="1094"/>
      <c r="H37" s="1094"/>
      <c r="I37" s="1094">
        <v>6480</v>
      </c>
      <c r="J37" s="1094"/>
      <c r="K37" s="1094"/>
      <c r="L37" s="1094"/>
      <c r="M37" s="1094"/>
      <c r="N37" s="1094"/>
      <c r="O37" s="1094"/>
      <c r="P37" s="1094">
        <v>6120</v>
      </c>
      <c r="Q37" s="1094"/>
      <c r="R37" s="1094"/>
      <c r="S37" s="1094"/>
      <c r="T37" s="1094"/>
      <c r="U37" s="1094">
        <v>720</v>
      </c>
      <c r="V37" s="1094"/>
      <c r="W37" s="1094"/>
      <c r="X37" s="1094"/>
      <c r="Y37" s="1094"/>
      <c r="Z37" s="1094">
        <v>6480</v>
      </c>
      <c r="AA37" s="1094"/>
      <c r="AB37" s="1094"/>
      <c r="AC37" s="1094"/>
      <c r="AD37" s="1094">
        <v>6480</v>
      </c>
      <c r="AE37" s="1094"/>
      <c r="AF37" s="1094"/>
      <c r="AG37" s="1094"/>
      <c r="AH37" s="1094"/>
      <c r="AI37" s="1094"/>
      <c r="AJ37" s="1094"/>
      <c r="AK37" s="1605">
        <v>6120</v>
      </c>
      <c r="AL37" s="696">
        <f t="shared" si="7"/>
        <v>32400</v>
      </c>
      <c r="AM37" s="113">
        <f t="shared" si="5"/>
        <v>201074400</v>
      </c>
      <c r="AN37" s="1106">
        <f>SUM(AM34:AM37)</f>
        <v>402148800</v>
      </c>
      <c r="AO37" s="104"/>
      <c r="AP37" s="104">
        <f>AN45+AN39+AN33+AN23</f>
        <v>842038080</v>
      </c>
    </row>
    <row r="38" spans="1:88" ht="20.100000000000001" customHeight="1" thickBot="1">
      <c r="A38" s="1992"/>
      <c r="B38" s="1843"/>
      <c r="C38" s="605" t="s">
        <v>2021</v>
      </c>
      <c r="D38" s="605" t="s">
        <v>2158</v>
      </c>
      <c r="E38" s="605" t="s">
        <v>2023</v>
      </c>
      <c r="F38" s="2250">
        <v>6216</v>
      </c>
      <c r="G38" s="1093"/>
      <c r="H38" s="1093"/>
      <c r="I38" s="1093"/>
      <c r="J38" s="1093"/>
      <c r="K38" s="1093"/>
      <c r="L38" s="1093"/>
      <c r="M38" s="1093"/>
      <c r="N38" s="1093"/>
      <c r="O38" s="1093"/>
      <c r="P38" s="1093">
        <v>360</v>
      </c>
      <c r="Q38" s="1093"/>
      <c r="R38" s="1093"/>
      <c r="S38" s="1093"/>
      <c r="T38" s="1093"/>
      <c r="U38" s="1093"/>
      <c r="V38" s="1093"/>
      <c r="W38" s="1093"/>
      <c r="X38" s="1093"/>
      <c r="Y38" s="1093"/>
      <c r="Z38" s="1093"/>
      <c r="AA38" s="1093"/>
      <c r="AB38" s="1093"/>
      <c r="AC38" s="1093"/>
      <c r="AD38" s="1093"/>
      <c r="AE38" s="1093"/>
      <c r="AF38" s="1093"/>
      <c r="AG38" s="1093"/>
      <c r="AH38" s="1093"/>
      <c r="AI38" s="1093"/>
      <c r="AJ38" s="1093"/>
      <c r="AK38" s="1603">
        <v>360</v>
      </c>
      <c r="AL38" s="696">
        <f t="shared" ref="AL38:AL39" si="8">SUM(G38:AK38)</f>
        <v>720</v>
      </c>
      <c r="AM38" s="113">
        <f t="shared" si="5"/>
        <v>4475520</v>
      </c>
      <c r="AN38" s="1106"/>
      <c r="AO38" s="104"/>
    </row>
    <row r="39" spans="1:88" ht="20.100000000000001" customHeight="1" thickBot="1">
      <c r="A39" s="1992"/>
      <c r="B39" s="1843"/>
      <c r="C39" s="892" t="s">
        <v>2022</v>
      </c>
      <c r="D39" s="892" t="s">
        <v>2159</v>
      </c>
      <c r="E39" s="892" t="s">
        <v>2024</v>
      </c>
      <c r="F39" s="2251">
        <v>6216</v>
      </c>
      <c r="G39" s="1094"/>
      <c r="H39" s="1094"/>
      <c r="I39" s="1094"/>
      <c r="J39" s="1094"/>
      <c r="K39" s="1094"/>
      <c r="L39" s="1094"/>
      <c r="M39" s="1094"/>
      <c r="N39" s="1094"/>
      <c r="O39" s="1094"/>
      <c r="P39" s="1094">
        <v>360</v>
      </c>
      <c r="Q39" s="1094"/>
      <c r="R39" s="1094"/>
      <c r="S39" s="1094"/>
      <c r="T39" s="1094"/>
      <c r="U39" s="1094"/>
      <c r="V39" s="1094"/>
      <c r="W39" s="1094"/>
      <c r="X39" s="1094"/>
      <c r="Y39" s="1094"/>
      <c r="Z39" s="1094"/>
      <c r="AA39" s="1094"/>
      <c r="AB39" s="1094"/>
      <c r="AC39" s="1094"/>
      <c r="AD39" s="1094"/>
      <c r="AE39" s="1094"/>
      <c r="AF39" s="1094"/>
      <c r="AG39" s="1094"/>
      <c r="AH39" s="1094"/>
      <c r="AI39" s="1094"/>
      <c r="AJ39" s="1094"/>
      <c r="AK39" s="1605">
        <v>360</v>
      </c>
      <c r="AL39" s="696">
        <f t="shared" si="8"/>
        <v>720</v>
      </c>
      <c r="AM39" s="113">
        <f t="shared" si="5"/>
        <v>4475520</v>
      </c>
      <c r="AN39" s="1106">
        <f>SUM(AM34:AM39)</f>
        <v>411099840</v>
      </c>
      <c r="AO39" s="104"/>
    </row>
    <row r="40" spans="1:88" ht="20.100000000000001" customHeight="1" thickBot="1">
      <c r="A40" s="2011"/>
      <c r="B40" s="2434" t="s">
        <v>1323</v>
      </c>
      <c r="C40" s="1762" t="s">
        <v>1973</v>
      </c>
      <c r="D40" s="1256" t="s">
        <v>1324</v>
      </c>
      <c r="E40" s="1256" t="s">
        <v>1325</v>
      </c>
      <c r="F40" s="1257">
        <v>1283</v>
      </c>
      <c r="G40" s="1258"/>
      <c r="H40" s="1258"/>
      <c r="I40" s="1258"/>
      <c r="J40" s="1258"/>
      <c r="K40" s="1258"/>
      <c r="L40" s="1258"/>
      <c r="M40" s="1258"/>
      <c r="N40" s="1258"/>
      <c r="O40" s="1258"/>
      <c r="P40" s="1258"/>
      <c r="Q40" s="1258"/>
      <c r="R40" s="1258"/>
      <c r="S40" s="1258"/>
      <c r="T40" s="1258"/>
      <c r="U40" s="1258"/>
      <c r="V40" s="1258"/>
      <c r="W40" s="1258"/>
      <c r="X40" s="1258"/>
      <c r="Y40" s="1258"/>
      <c r="Z40" s="1258"/>
      <c r="AA40" s="1258"/>
      <c r="AB40" s="1258"/>
      <c r="AC40" s="1258"/>
      <c r="AD40" s="1258"/>
      <c r="AE40" s="1258"/>
      <c r="AF40" s="1258"/>
      <c r="AG40" s="1258"/>
      <c r="AH40" s="1258"/>
      <c r="AI40" s="1258"/>
      <c r="AJ40" s="1258"/>
      <c r="AK40" s="1606"/>
      <c r="AL40" s="992">
        <f t="shared" si="6"/>
        <v>0</v>
      </c>
      <c r="AM40" s="115">
        <f t="shared" si="5"/>
        <v>0</v>
      </c>
      <c r="AN40" s="1106"/>
      <c r="AO40" s="104"/>
    </row>
    <row r="41" spans="1:88" ht="20.100000000000001" customHeight="1" thickBot="1">
      <c r="A41" s="2011"/>
      <c r="B41" s="2439"/>
      <c r="C41" s="1763" t="s">
        <v>1974</v>
      </c>
      <c r="D41" s="1259" t="s">
        <v>1326</v>
      </c>
      <c r="E41" s="1259" t="s">
        <v>1327</v>
      </c>
      <c r="F41" s="893">
        <v>1283</v>
      </c>
      <c r="G41" s="1094"/>
      <c r="H41" s="1094"/>
      <c r="I41" s="1094"/>
      <c r="J41" s="1094"/>
      <c r="K41" s="1094"/>
      <c r="L41" s="1094"/>
      <c r="M41" s="1094"/>
      <c r="N41" s="1094"/>
      <c r="O41" s="1094"/>
      <c r="P41" s="1094"/>
      <c r="Q41" s="1094"/>
      <c r="R41" s="1094"/>
      <c r="S41" s="1094"/>
      <c r="T41" s="1094"/>
      <c r="U41" s="1094"/>
      <c r="V41" s="1094"/>
      <c r="W41" s="1094"/>
      <c r="X41" s="1094"/>
      <c r="Y41" s="1094"/>
      <c r="Z41" s="1094"/>
      <c r="AA41" s="1094"/>
      <c r="AB41" s="1094"/>
      <c r="AC41" s="1094"/>
      <c r="AD41" s="1094"/>
      <c r="AE41" s="1094"/>
      <c r="AF41" s="1094"/>
      <c r="AG41" s="1094"/>
      <c r="AH41" s="1094"/>
      <c r="AI41" s="1094"/>
      <c r="AJ41" s="1094"/>
      <c r="AK41" s="1605"/>
      <c r="AL41" s="696">
        <f t="shared" si="6"/>
        <v>0</v>
      </c>
      <c r="AM41" s="113">
        <f t="shared" si="5"/>
        <v>0</v>
      </c>
      <c r="AN41"/>
      <c r="AO41" s="104"/>
    </row>
    <row r="42" spans="1:88" s="551" customFormat="1" ht="20.100000000000001" customHeight="1">
      <c r="A42" s="2011"/>
      <c r="B42" s="2437" t="s">
        <v>1223</v>
      </c>
      <c r="C42" s="1418" t="s">
        <v>1975</v>
      </c>
      <c r="D42" s="1418" t="s">
        <v>1224</v>
      </c>
      <c r="E42" s="1418" t="s">
        <v>1225</v>
      </c>
      <c r="F42" s="720">
        <v>4379</v>
      </c>
      <c r="G42" s="1459"/>
      <c r="H42" s="1459">
        <v>320</v>
      </c>
      <c r="I42" s="1459"/>
      <c r="J42" s="1095"/>
      <c r="K42" s="1459"/>
      <c r="L42" s="1095"/>
      <c r="M42" s="1095"/>
      <c r="N42" s="1095">
        <v>320</v>
      </c>
      <c r="O42" s="1095"/>
      <c r="P42" s="1095"/>
      <c r="Q42" s="1095">
        <v>320</v>
      </c>
      <c r="R42" s="1095"/>
      <c r="S42" s="1095"/>
      <c r="T42" s="1095"/>
      <c r="U42" s="1095"/>
      <c r="V42" s="1095">
        <v>320</v>
      </c>
      <c r="W42" s="1095"/>
      <c r="X42" s="1095"/>
      <c r="Y42" s="1095"/>
      <c r="Z42" s="1095"/>
      <c r="AA42" s="1095"/>
      <c r="AB42" s="1095"/>
      <c r="AC42" s="1095">
        <v>640</v>
      </c>
      <c r="AD42" s="1095">
        <v>320</v>
      </c>
      <c r="AE42" s="1095"/>
      <c r="AF42" s="1095"/>
      <c r="AG42" s="1095"/>
      <c r="AH42" s="1095"/>
      <c r="AI42" s="1095">
        <v>320</v>
      </c>
      <c r="AJ42" s="1095">
        <v>320</v>
      </c>
      <c r="AK42" s="1459"/>
      <c r="AL42" s="1163">
        <f t="shared" ref="AL42:AL47" si="9">SUM(G42:AK42)</f>
        <v>2880</v>
      </c>
      <c r="AM42" s="587">
        <f t="shared" si="5"/>
        <v>12611520</v>
      </c>
      <c r="AN42" s="1265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 s="1164" customFormat="1" ht="20.100000000000001" customHeight="1">
      <c r="A43" s="2011"/>
      <c r="B43" s="2438"/>
      <c r="C43" s="1359" t="s">
        <v>1976</v>
      </c>
      <c r="D43" s="1359" t="s">
        <v>1226</v>
      </c>
      <c r="E43" s="1359" t="s">
        <v>1227</v>
      </c>
      <c r="F43" s="732">
        <v>4379</v>
      </c>
      <c r="G43" s="1460"/>
      <c r="H43" s="1460">
        <v>320</v>
      </c>
      <c r="I43" s="1460"/>
      <c r="J43" s="1089"/>
      <c r="K43" s="1460"/>
      <c r="L43" s="1089"/>
      <c r="M43" s="1089"/>
      <c r="N43" s="1089">
        <v>320</v>
      </c>
      <c r="O43" s="1089"/>
      <c r="P43" s="1089"/>
      <c r="Q43" s="1089">
        <v>320</v>
      </c>
      <c r="R43" s="1089"/>
      <c r="S43" s="1089"/>
      <c r="T43" s="1089"/>
      <c r="U43" s="1089"/>
      <c r="V43" s="1089">
        <v>320</v>
      </c>
      <c r="W43" s="1089"/>
      <c r="X43" s="1089"/>
      <c r="Y43" s="1089"/>
      <c r="Z43" s="1089"/>
      <c r="AA43" s="1089"/>
      <c r="AB43" s="1089"/>
      <c r="AC43" s="1089">
        <v>640</v>
      </c>
      <c r="AD43" s="1089">
        <v>320</v>
      </c>
      <c r="AE43" s="1089"/>
      <c r="AF43" s="1089"/>
      <c r="AG43" s="1089"/>
      <c r="AH43" s="1089"/>
      <c r="AI43" s="1089">
        <v>320</v>
      </c>
      <c r="AJ43" s="1089">
        <v>320</v>
      </c>
      <c r="AK43" s="1460">
        <v>320</v>
      </c>
      <c r="AL43" s="695">
        <f t="shared" si="9"/>
        <v>3200</v>
      </c>
      <c r="AM43" s="103">
        <f t="shared" si="5"/>
        <v>14012800</v>
      </c>
      <c r="AN43" s="1265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 ht="20.100000000000001" customHeight="1">
      <c r="A44" s="2011"/>
      <c r="B44" s="2438"/>
      <c r="C44" s="1449" t="s">
        <v>1977</v>
      </c>
      <c r="D44" s="1449" t="s">
        <v>1228</v>
      </c>
      <c r="E44" s="1449" t="s">
        <v>1229</v>
      </c>
      <c r="F44" s="755">
        <v>4898</v>
      </c>
      <c r="G44" s="1450"/>
      <c r="H44" s="1450">
        <v>320</v>
      </c>
      <c r="I44" s="1450"/>
      <c r="J44" s="1092"/>
      <c r="K44" s="1450"/>
      <c r="L44" s="1092"/>
      <c r="M44" s="1092"/>
      <c r="N44" s="1092">
        <v>320</v>
      </c>
      <c r="O44" s="1092"/>
      <c r="P44" s="1092"/>
      <c r="Q44" s="1092">
        <v>320</v>
      </c>
      <c r="R44" s="1092"/>
      <c r="S44" s="1092"/>
      <c r="T44" s="1092"/>
      <c r="U44" s="1092"/>
      <c r="V44" s="1092">
        <v>320</v>
      </c>
      <c r="W44" s="1092"/>
      <c r="X44" s="1092"/>
      <c r="Y44" s="1092"/>
      <c r="Z44" s="1092"/>
      <c r="AA44" s="1092"/>
      <c r="AB44" s="1092"/>
      <c r="AC44" s="1092">
        <v>640</v>
      </c>
      <c r="AD44" s="1092">
        <v>320</v>
      </c>
      <c r="AE44" s="1092"/>
      <c r="AF44" s="1092"/>
      <c r="AG44" s="1092"/>
      <c r="AH44" s="1092"/>
      <c r="AI44" s="1092">
        <v>320</v>
      </c>
      <c r="AJ44" s="1092">
        <v>320</v>
      </c>
      <c r="AK44" s="1450"/>
      <c r="AL44" s="695">
        <f t="shared" si="9"/>
        <v>2880</v>
      </c>
      <c r="AM44" s="103">
        <f t="shared" si="5"/>
        <v>14106240</v>
      </c>
      <c r="AN44" s="1265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</row>
    <row r="45" spans="1:88" s="1165" customFormat="1" ht="20.100000000000001" customHeight="1" thickBot="1">
      <c r="A45" s="2011"/>
      <c r="B45" s="2438"/>
      <c r="C45" s="1461" t="s">
        <v>1978</v>
      </c>
      <c r="D45" s="1461" t="s">
        <v>1230</v>
      </c>
      <c r="E45" s="1461" t="s">
        <v>1231</v>
      </c>
      <c r="F45" s="2257">
        <v>5294</v>
      </c>
      <c r="G45" s="1462"/>
      <c r="H45" s="1462">
        <v>320</v>
      </c>
      <c r="I45" s="1462"/>
      <c r="J45" s="1393"/>
      <c r="K45" s="1462"/>
      <c r="L45" s="1393"/>
      <c r="M45" s="1393"/>
      <c r="N45" s="1393">
        <v>320</v>
      </c>
      <c r="O45" s="1393"/>
      <c r="P45" s="1393"/>
      <c r="Q45" s="1393">
        <v>320</v>
      </c>
      <c r="R45" s="1393"/>
      <c r="S45" s="1393"/>
      <c r="T45" s="1393"/>
      <c r="U45" s="1393"/>
      <c r="V45" s="1393">
        <v>320</v>
      </c>
      <c r="W45" s="1393"/>
      <c r="X45" s="1393"/>
      <c r="Y45" s="1393"/>
      <c r="Z45" s="1393"/>
      <c r="AA45" s="1393"/>
      <c r="AB45" s="1393"/>
      <c r="AC45" s="1393">
        <v>640</v>
      </c>
      <c r="AD45" s="1393">
        <v>320</v>
      </c>
      <c r="AE45" s="1393"/>
      <c r="AF45" s="1393"/>
      <c r="AG45" s="1393"/>
      <c r="AH45" s="1393"/>
      <c r="AI45" s="1393">
        <v>320</v>
      </c>
      <c r="AJ45" s="1393">
        <v>320</v>
      </c>
      <c r="AK45" s="1462"/>
      <c r="AL45" s="695">
        <f t="shared" si="9"/>
        <v>2880</v>
      </c>
      <c r="AM45" s="103">
        <f t="shared" si="5"/>
        <v>15246720</v>
      </c>
      <c r="AN45" s="1532">
        <f>SUM(AM42:AM45)</f>
        <v>55977280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</row>
    <row r="46" spans="1:88" s="1165" customFormat="1" ht="20.100000000000001" customHeight="1">
      <c r="A46" s="2007" t="s">
        <v>2168</v>
      </c>
      <c r="B46" s="2440" t="s">
        <v>1487</v>
      </c>
      <c r="C46" s="1418" t="s">
        <v>1979</v>
      </c>
      <c r="D46" s="1418">
        <v>6608258819</v>
      </c>
      <c r="E46" s="1418" t="s">
        <v>1488</v>
      </c>
      <c r="F46" s="2253">
        <v>6411</v>
      </c>
      <c r="G46" s="1459"/>
      <c r="H46" s="1459">
        <v>100</v>
      </c>
      <c r="I46" s="1095"/>
      <c r="J46" s="1095"/>
      <c r="K46" s="1095"/>
      <c r="L46" s="1095">
        <v>60</v>
      </c>
      <c r="M46" s="1095"/>
      <c r="N46" s="1095"/>
      <c r="O46" s="1095"/>
      <c r="P46" s="1095"/>
      <c r="Q46" s="1095"/>
      <c r="R46" s="1095"/>
      <c r="S46" s="1095"/>
      <c r="T46" s="1095"/>
      <c r="U46" s="1095"/>
      <c r="V46" s="1095"/>
      <c r="W46" s="1095"/>
      <c r="X46" s="1095"/>
      <c r="Y46" s="1095"/>
      <c r="Z46" s="1095">
        <v>60</v>
      </c>
      <c r="AA46" s="1095"/>
      <c r="AB46" s="1095"/>
      <c r="AC46" s="1095"/>
      <c r="AD46" s="1095"/>
      <c r="AE46" s="1095"/>
      <c r="AF46" s="1095"/>
      <c r="AG46" s="1095"/>
      <c r="AH46" s="1095"/>
      <c r="AI46" s="1095"/>
      <c r="AJ46" s="1095"/>
      <c r="AK46" s="1459"/>
      <c r="AL46" s="695">
        <f>SUM(G46:AK46)</f>
        <v>220</v>
      </c>
      <c r="AM46" s="103">
        <f t="shared" si="5"/>
        <v>1410420</v>
      </c>
      <c r="AN46" s="1532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</row>
    <row r="47" spans="1:88" s="1165" customFormat="1" ht="20.100000000000001" customHeight="1" thickBot="1">
      <c r="A47" s="1392"/>
      <c r="B47" s="2441"/>
      <c r="C47" s="1463" t="s">
        <v>1980</v>
      </c>
      <c r="D47" s="1463">
        <v>6608258820</v>
      </c>
      <c r="E47" s="1463" t="s">
        <v>1489</v>
      </c>
      <c r="F47" s="2251">
        <v>6411</v>
      </c>
      <c r="G47" s="1464"/>
      <c r="H47" s="1464">
        <v>100</v>
      </c>
      <c r="I47" s="1101"/>
      <c r="J47" s="1101"/>
      <c r="K47" s="1101"/>
      <c r="L47" s="1101">
        <v>80</v>
      </c>
      <c r="M47" s="1101"/>
      <c r="N47" s="1101"/>
      <c r="O47" s="1101"/>
      <c r="P47" s="1101"/>
      <c r="Q47" s="1101"/>
      <c r="R47" s="1101"/>
      <c r="S47" s="1101"/>
      <c r="T47" s="1101"/>
      <c r="U47" s="1101"/>
      <c r="V47" s="1101"/>
      <c r="W47" s="1101"/>
      <c r="X47" s="1101"/>
      <c r="Y47" s="1101"/>
      <c r="Z47" s="1101">
        <v>60</v>
      </c>
      <c r="AA47" s="1101"/>
      <c r="AB47" s="1101"/>
      <c r="AC47" s="1101"/>
      <c r="AD47" s="1101"/>
      <c r="AE47" s="1101"/>
      <c r="AF47" s="1101"/>
      <c r="AG47" s="1101"/>
      <c r="AH47" s="1101"/>
      <c r="AI47" s="1101"/>
      <c r="AJ47" s="1101"/>
      <c r="AK47" s="1464"/>
      <c r="AL47" s="695">
        <f t="shared" si="9"/>
        <v>240</v>
      </c>
      <c r="AM47" s="103">
        <f t="shared" si="5"/>
        <v>1538640</v>
      </c>
      <c r="AN47" s="2166">
        <f>SUM(AM46:AM47)</f>
        <v>2949060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</row>
    <row r="48" spans="1:88" ht="13.8" thickBot="1">
      <c r="A48" s="122"/>
      <c r="B48" s="1264"/>
      <c r="C48" s="122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 t="s">
        <v>1855</v>
      </c>
      <c r="Z48" s="5"/>
      <c r="AA48" s="5"/>
      <c r="AB48" s="5"/>
      <c r="AC48" s="5"/>
      <c r="AD48" s="5"/>
      <c r="AE48" s="5"/>
      <c r="AF48" s="5"/>
      <c r="AG48" s="5"/>
      <c r="AH48" s="5"/>
      <c r="AI48" s="2408" t="s">
        <v>7</v>
      </c>
      <c r="AJ48" s="2409"/>
      <c r="AK48" s="2436"/>
      <c r="AL48" s="1107">
        <f>SUM(AL6:AL25)</f>
        <v>71152</v>
      </c>
      <c r="AM48" s="124">
        <f>SUM(AM6:AM47)</f>
        <v>1023331866</v>
      </c>
    </row>
    <row r="49" spans="1:39">
      <c r="A49" s="122"/>
      <c r="B49" s="1264"/>
      <c r="C49" s="122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130"/>
      <c r="AJ49" s="130"/>
      <c r="AK49" s="1607"/>
      <c r="AL49" s="697"/>
      <c r="AM49" s="131"/>
    </row>
    <row r="51" spans="1:39">
      <c r="A51" s="122"/>
      <c r="B51" s="1264"/>
      <c r="C51" s="122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130"/>
      <c r="AJ51" s="130"/>
      <c r="AK51" s="1607"/>
      <c r="AL51" s="697"/>
      <c r="AM51" s="131"/>
    </row>
    <row r="52" spans="1:39">
      <c r="A52" s="122"/>
      <c r="B52" s="1264"/>
      <c r="C52" s="12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130"/>
      <c r="AJ52" s="130"/>
      <c r="AK52" s="1607"/>
      <c r="AL52" s="697"/>
      <c r="AM52" s="131"/>
    </row>
    <row r="53" spans="1:39">
      <c r="A53" s="122"/>
      <c r="B53" s="1264"/>
      <c r="C53" s="122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130"/>
      <c r="AJ53" s="130"/>
      <c r="AK53" s="1607"/>
      <c r="AL53" s="697"/>
      <c r="AM53" s="131"/>
    </row>
    <row r="56" spans="1:39">
      <c r="AM56" s="104"/>
    </row>
    <row r="59" spans="1:39">
      <c r="AM59" s="104"/>
    </row>
    <row r="60" spans="1:39">
      <c r="D60" s="1"/>
    </row>
    <row r="61" spans="1:39">
      <c r="AM61" s="104"/>
    </row>
    <row r="63" spans="1:39">
      <c r="AM63" s="104"/>
    </row>
  </sheetData>
  <customSheetViews>
    <customSheetView guid="{4B6F0EB4-660D-4B5D-BC48-6CB7C10D7F9B}" scale="110" showGridLines="0">
      <pane xSplit="6" topLeftCell="G1" activePane="topRight" state="frozen"/>
      <selection pane="topRight" activeCell="AB20" sqref="AB20"/>
      <pageMargins left="0.75" right="0.75" top="1" bottom="1" header="0.5" footer="0.5"/>
      <pageSetup paperSize="9" orientation="landscape" horizontalDpi="300" verticalDpi="300" r:id="rId1"/>
      <headerFooter alignWithMargins="0"/>
    </customSheetView>
    <customSheetView guid="{2118503C-FA17-40AD-A92D-3BEB91EE1F01}" scale="110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2"/>
      <headerFooter alignWithMargins="0"/>
    </customSheetView>
    <customSheetView guid="{844B66BD-C499-418A-A656-40E7940347EA}" scale="110" showGridLines="0">
      <pane xSplit="6" topLeftCell="G1" activePane="topRight" state="frozen"/>
      <selection pane="topRight" activeCell="U18" sqref="U18"/>
      <pageMargins left="0.75" right="0.75" top="1" bottom="1" header="0.5" footer="0.5"/>
      <pageSetup paperSize="9" orientation="landscape" horizontalDpi="300" verticalDpi="300" r:id="rId3"/>
      <headerFooter alignWithMargins="0"/>
    </customSheetView>
    <customSheetView guid="{7523CC8F-897F-48BF-94A5-CFFF399736A5}" scale="110" showGridLines="0">
      <pane xSplit="6" topLeftCell="G1" activePane="topRight" state="frozen"/>
      <selection pane="topRight" activeCell="H20" sqref="H20"/>
      <pageMargins left="0.75" right="0.75" top="1" bottom="1" header="0.5" footer="0.5"/>
      <pageSetup paperSize="9" orientation="landscape" horizontalDpi="300" verticalDpi="300" r:id="rId4"/>
      <headerFooter alignWithMargins="0"/>
    </customSheetView>
    <customSheetView guid="{89B07EC3-7982-4908-AB99-54EB5928E5C4}" scale="110" showGridLines="0">
      <pane xSplit="6" topLeftCell="G1" activePane="topRight" state="frozen"/>
      <selection pane="topRight" activeCell="G10" sqref="G10:AA19"/>
      <pageMargins left="0.75" right="0.75" top="1" bottom="1" header="0.5" footer="0.5"/>
      <pageSetup paperSize="9" orientation="landscape" horizontalDpi="300" verticalDpi="300" r:id="rId5"/>
      <headerFooter alignWithMargins="0"/>
    </customSheetView>
  </customSheetViews>
  <mergeCells count="15">
    <mergeCell ref="AN8:AN11"/>
    <mergeCell ref="B34:B37"/>
    <mergeCell ref="AI48:AK48"/>
    <mergeCell ref="B42:B45"/>
    <mergeCell ref="B40:B41"/>
    <mergeCell ref="B46:B47"/>
    <mergeCell ref="B18:B21"/>
    <mergeCell ref="B26:B33"/>
    <mergeCell ref="B8:B11"/>
    <mergeCell ref="G3:J4"/>
    <mergeCell ref="B14:B17"/>
    <mergeCell ref="B24:B25"/>
    <mergeCell ref="B22:B23"/>
    <mergeCell ref="B6:B7"/>
    <mergeCell ref="B12:B13"/>
  </mergeCells>
  <phoneticPr fontId="46" type="noConversion"/>
  <pageMargins left="0.75" right="0.75" top="1" bottom="1" header="0.5" footer="0.5"/>
  <pageSetup paperSize="9" orientation="landscape" horizontalDpi="300" verticalDpi="300" r:id="rId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N26"/>
  <sheetViews>
    <sheetView workbookViewId="0">
      <selection activeCell="E28" sqref="E28"/>
    </sheetView>
  </sheetViews>
  <sheetFormatPr defaultColWidth="9" defaultRowHeight="13.2"/>
  <cols>
    <col min="1" max="1" width="6.8984375" style="6" bestFit="1" customWidth="1"/>
    <col min="2" max="2" width="6.5" style="6" bestFit="1" customWidth="1"/>
    <col min="3" max="3" width="9.19921875" style="6" bestFit="1" customWidth="1"/>
    <col min="4" max="4" width="16.5" style="6" customWidth="1"/>
    <col min="5" max="5" width="8.69921875" style="6" customWidth="1"/>
    <col min="6" max="32" width="4.19921875" style="6" customWidth="1"/>
    <col min="33" max="33" width="4.3984375" style="6" customWidth="1"/>
    <col min="34" max="36" width="4.19921875" style="6" customWidth="1"/>
    <col min="37" max="37" width="10.09765625" style="6" bestFit="1" customWidth="1"/>
    <col min="38" max="38" width="13.19921875" style="6" bestFit="1" customWidth="1"/>
    <col min="39" max="39" width="15.09765625" style="6" customWidth="1"/>
    <col min="40" max="16384" width="9" style="6"/>
  </cols>
  <sheetData>
    <row r="1" spans="1:40" ht="14.25" customHeight="1">
      <c r="A1" s="7"/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5"/>
    </row>
    <row r="2" spans="1:40" ht="14.25" customHeight="1" thickBot="1">
      <c r="A2" s="5"/>
      <c r="B2" s="5"/>
      <c r="C2" s="5"/>
      <c r="D2" s="5"/>
      <c r="E2" s="5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40" ht="15" customHeight="1">
      <c r="A3" s="5"/>
      <c r="B3" s="5"/>
      <c r="C3" s="5"/>
      <c r="D3" s="5"/>
      <c r="E3" s="5"/>
      <c r="F3" s="2403" t="s">
        <v>76</v>
      </c>
      <c r="G3" s="2403"/>
      <c r="H3" s="2403"/>
      <c r="I3" s="240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40" ht="13.8" thickBot="1">
      <c r="F4" s="2406"/>
      <c r="G4" s="2406"/>
      <c r="H4" s="2406"/>
      <c r="I4" s="2407"/>
    </row>
    <row r="5" spans="1:40" ht="20.25" customHeight="1" thickBot="1">
      <c r="A5" s="11" t="s">
        <v>77</v>
      </c>
      <c r="B5" s="12" t="s">
        <v>78</v>
      </c>
      <c r="C5" s="13" t="s">
        <v>79</v>
      </c>
      <c r="D5" s="13" t="s">
        <v>80</v>
      </c>
      <c r="E5" s="154" t="s">
        <v>81</v>
      </c>
      <c r="F5" s="14">
        <v>1</v>
      </c>
      <c r="G5" s="155">
        <v>2</v>
      </c>
      <c r="H5" s="155">
        <v>3</v>
      </c>
      <c r="I5" s="155">
        <v>4</v>
      </c>
      <c r="J5" s="155">
        <v>5</v>
      </c>
      <c r="K5" s="155">
        <v>6</v>
      </c>
      <c r="L5" s="155">
        <v>7</v>
      </c>
      <c r="M5" s="155">
        <v>8</v>
      </c>
      <c r="N5" s="155">
        <v>9</v>
      </c>
      <c r="O5" s="155">
        <v>10</v>
      </c>
      <c r="P5" s="155">
        <v>11</v>
      </c>
      <c r="Q5" s="96">
        <v>12</v>
      </c>
      <c r="R5" s="155">
        <v>13</v>
      </c>
      <c r="S5" s="155">
        <v>14</v>
      </c>
      <c r="T5" s="155">
        <v>15</v>
      </c>
      <c r="U5" s="155">
        <v>16</v>
      </c>
      <c r="V5" s="155">
        <v>17</v>
      </c>
      <c r="W5" s="155">
        <v>18</v>
      </c>
      <c r="X5" s="155">
        <v>19</v>
      </c>
      <c r="Y5" s="155">
        <v>20</v>
      </c>
      <c r="Z5" s="155">
        <v>21</v>
      </c>
      <c r="AA5" s="155">
        <v>22</v>
      </c>
      <c r="AB5" s="155">
        <v>23</v>
      </c>
      <c r="AC5" s="155">
        <v>24</v>
      </c>
      <c r="AD5" s="155">
        <v>25</v>
      </c>
      <c r="AE5" s="155">
        <v>26</v>
      </c>
      <c r="AF5" s="155">
        <v>27</v>
      </c>
      <c r="AG5" s="155">
        <v>28</v>
      </c>
      <c r="AH5" s="155">
        <v>29</v>
      </c>
      <c r="AI5" s="155">
        <v>30</v>
      </c>
      <c r="AJ5" s="156">
        <v>31</v>
      </c>
      <c r="AK5" s="157" t="s">
        <v>7</v>
      </c>
      <c r="AL5" s="158" t="s">
        <v>82</v>
      </c>
    </row>
    <row r="6" spans="1:40" ht="20.100000000000001" customHeight="1">
      <c r="A6" s="2397" t="s">
        <v>229</v>
      </c>
      <c r="B6" s="2448" t="s">
        <v>230</v>
      </c>
      <c r="C6" s="35" t="s">
        <v>231</v>
      </c>
      <c r="D6" s="35" t="s">
        <v>8</v>
      </c>
      <c r="E6" s="159">
        <v>539</v>
      </c>
      <c r="F6" s="37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160">
        <f>SUM(F6:AJ6)</f>
        <v>0</v>
      </c>
      <c r="AL6" s="161">
        <f t="shared" ref="AL6:AL21" si="0">E6*AK6</f>
        <v>0</v>
      </c>
    </row>
    <row r="7" spans="1:40" ht="20.100000000000001" customHeight="1">
      <c r="A7" s="2398"/>
      <c r="B7" s="2449"/>
      <c r="C7" s="3" t="s">
        <v>232</v>
      </c>
      <c r="D7" s="3" t="s">
        <v>212</v>
      </c>
      <c r="E7" s="162">
        <v>539</v>
      </c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163">
        <f>SUM(F7:AJ7)</f>
        <v>0</v>
      </c>
      <c r="AL7" s="164">
        <f t="shared" si="0"/>
        <v>0</v>
      </c>
    </row>
    <row r="8" spans="1:40" ht="20.100000000000001" customHeight="1">
      <c r="A8" s="2398"/>
      <c r="B8" s="2449"/>
      <c r="C8" s="4" t="s">
        <v>233</v>
      </c>
      <c r="D8" s="4" t="s">
        <v>214</v>
      </c>
      <c r="E8" s="165">
        <v>541</v>
      </c>
      <c r="F8" s="26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163">
        <f t="shared" ref="AK8:AK23" si="1">SUM(F8:AJ8)</f>
        <v>0</v>
      </c>
      <c r="AL8" s="164">
        <f t="shared" si="0"/>
        <v>0</v>
      </c>
    </row>
    <row r="9" spans="1:40" ht="20.100000000000001" customHeight="1" thickBot="1">
      <c r="A9" s="2398"/>
      <c r="B9" s="2450"/>
      <c r="C9" s="29" t="s">
        <v>234</v>
      </c>
      <c r="D9" s="29" t="s">
        <v>10</v>
      </c>
      <c r="E9" s="166">
        <v>562</v>
      </c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185">
        <f t="shared" si="1"/>
        <v>0</v>
      </c>
      <c r="AL9" s="167">
        <f t="shared" si="0"/>
        <v>0</v>
      </c>
      <c r="AM9" s="1108">
        <f>SUM(AL6:AL9)</f>
        <v>0</v>
      </c>
      <c r="AN9" s="33"/>
    </row>
    <row r="10" spans="1:40" ht="20.100000000000001" customHeight="1">
      <c r="A10" s="2398"/>
      <c r="B10" s="2451" t="s">
        <v>235</v>
      </c>
      <c r="C10" s="48">
        <v>95215384</v>
      </c>
      <c r="D10" s="48" t="s">
        <v>8</v>
      </c>
      <c r="E10" s="168">
        <v>747</v>
      </c>
      <c r="F10" s="49"/>
      <c r="G10" s="50"/>
      <c r="H10" s="50"/>
      <c r="I10" s="50"/>
      <c r="J10" s="50"/>
      <c r="K10" s="50"/>
      <c r="L10" s="50"/>
      <c r="M10" s="50"/>
      <c r="N10" s="50"/>
      <c r="O10" s="38"/>
      <c r="P10" s="50"/>
      <c r="Q10" s="50"/>
      <c r="R10" s="38"/>
      <c r="S10" s="38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184">
        <f t="shared" si="1"/>
        <v>0</v>
      </c>
      <c r="AL10" s="169">
        <f t="shared" si="0"/>
        <v>0</v>
      </c>
    </row>
    <row r="11" spans="1:40" ht="20.100000000000001" customHeight="1">
      <c r="A11" s="2398"/>
      <c r="B11" s="2454"/>
      <c r="C11" s="3">
        <v>95215385</v>
      </c>
      <c r="D11" s="3" t="s">
        <v>212</v>
      </c>
      <c r="E11" s="162">
        <v>747</v>
      </c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63">
        <f t="shared" si="1"/>
        <v>0</v>
      </c>
      <c r="AL11" s="164">
        <f t="shared" si="0"/>
        <v>0</v>
      </c>
    </row>
    <row r="12" spans="1:40" ht="20.100000000000001" customHeight="1">
      <c r="A12" s="2398"/>
      <c r="B12" s="2454"/>
      <c r="C12" s="140">
        <v>95971339</v>
      </c>
      <c r="D12" s="140" t="s">
        <v>236</v>
      </c>
      <c r="E12" s="170">
        <v>706</v>
      </c>
      <c r="F12" s="142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27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63">
        <f t="shared" si="1"/>
        <v>0</v>
      </c>
      <c r="AL12" s="164">
        <f t="shared" si="0"/>
        <v>0</v>
      </c>
    </row>
    <row r="13" spans="1:40" ht="20.100000000000001" customHeight="1" thickBot="1">
      <c r="A13" s="2398"/>
      <c r="B13" s="2455"/>
      <c r="C13" s="29">
        <v>95971340</v>
      </c>
      <c r="D13" s="29" t="s">
        <v>10</v>
      </c>
      <c r="E13" s="166">
        <v>706</v>
      </c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85">
        <f t="shared" si="1"/>
        <v>0</v>
      </c>
      <c r="AL13" s="171">
        <f t="shared" si="0"/>
        <v>0</v>
      </c>
      <c r="AM13" s="1108">
        <f>SUM(AL10:AL13)</f>
        <v>0</v>
      </c>
      <c r="AN13" s="33"/>
    </row>
    <row r="14" spans="1:40" ht="20.100000000000001" customHeight="1">
      <c r="A14" s="2398"/>
      <c r="B14" s="2451" t="s">
        <v>237</v>
      </c>
      <c r="C14" s="48">
        <v>95297763</v>
      </c>
      <c r="D14" s="48" t="s">
        <v>8</v>
      </c>
      <c r="E14" s="168">
        <v>863</v>
      </c>
      <c r="F14" s="49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184">
        <f t="shared" si="1"/>
        <v>0</v>
      </c>
      <c r="AL14" s="169">
        <f t="shared" si="0"/>
        <v>0</v>
      </c>
    </row>
    <row r="15" spans="1:40" ht="20.100000000000001" customHeight="1">
      <c r="A15" s="2398"/>
      <c r="B15" s="2452"/>
      <c r="C15" s="3">
        <v>95297764</v>
      </c>
      <c r="D15" s="3" t="s">
        <v>212</v>
      </c>
      <c r="E15" s="162">
        <v>863</v>
      </c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163">
        <f t="shared" si="1"/>
        <v>0</v>
      </c>
      <c r="AL15" s="164">
        <f t="shared" si="0"/>
        <v>0</v>
      </c>
    </row>
    <row r="16" spans="1:40" ht="20.100000000000001" customHeight="1">
      <c r="A16" s="2398"/>
      <c r="B16" s="2452"/>
      <c r="C16" s="4">
        <v>42348903</v>
      </c>
      <c r="D16" s="4" t="s">
        <v>238</v>
      </c>
      <c r="E16" s="165">
        <v>831</v>
      </c>
      <c r="F16" s="26"/>
      <c r="G16" s="27"/>
      <c r="H16" s="27"/>
      <c r="I16" s="27"/>
      <c r="J16" s="27"/>
      <c r="K16" s="27"/>
      <c r="L16" s="27"/>
      <c r="M16" s="27"/>
      <c r="N16" s="143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163">
        <f t="shared" si="1"/>
        <v>0</v>
      </c>
      <c r="AL16" s="164">
        <f t="shared" si="0"/>
        <v>0</v>
      </c>
    </row>
    <row r="17" spans="1:40" ht="20.100000000000001" customHeight="1">
      <c r="A17" s="2398"/>
      <c r="B17" s="2452"/>
      <c r="C17" s="43">
        <v>42348904</v>
      </c>
      <c r="D17" s="43" t="s">
        <v>239</v>
      </c>
      <c r="E17" s="172">
        <v>831</v>
      </c>
      <c r="F17" s="4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163">
        <f t="shared" si="1"/>
        <v>0</v>
      </c>
      <c r="AL17" s="164">
        <f t="shared" si="0"/>
        <v>0</v>
      </c>
      <c r="AM17" s="209"/>
    </row>
    <row r="18" spans="1:40" ht="20.100000000000001" customHeight="1">
      <c r="A18" s="2398"/>
      <c r="B18" s="2452"/>
      <c r="C18" s="174" t="s">
        <v>240</v>
      </c>
      <c r="D18" s="174" t="s">
        <v>241</v>
      </c>
      <c r="E18" s="175">
        <v>831</v>
      </c>
      <c r="F18" s="176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63">
        <f t="shared" si="1"/>
        <v>0</v>
      </c>
      <c r="AL18" s="178">
        <f>E18*AK18</f>
        <v>0</v>
      </c>
      <c r="AM18" s="209"/>
    </row>
    <row r="19" spans="1:40" ht="20.100000000000001" customHeight="1" thickBot="1">
      <c r="A19" s="2398"/>
      <c r="B19" s="2453"/>
      <c r="C19" s="179" t="s">
        <v>242</v>
      </c>
      <c r="D19" s="179" t="s">
        <v>243</v>
      </c>
      <c r="E19" s="180">
        <v>831</v>
      </c>
      <c r="F19" s="181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5">
        <f t="shared" si="1"/>
        <v>0</v>
      </c>
      <c r="AL19" s="171">
        <f>E19*AK19</f>
        <v>0</v>
      </c>
      <c r="AM19" s="1108">
        <f>SUM(AL14:AL19)</f>
        <v>0</v>
      </c>
    </row>
    <row r="20" spans="1:40" ht="20.100000000000001" customHeight="1">
      <c r="A20" s="2418"/>
      <c r="B20" s="2456" t="s">
        <v>244</v>
      </c>
      <c r="C20" s="35">
        <v>95319954</v>
      </c>
      <c r="D20" s="35" t="s">
        <v>8</v>
      </c>
      <c r="E20" s="159">
        <v>749</v>
      </c>
      <c r="F20" s="37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1110">
        <f t="shared" si="1"/>
        <v>0</v>
      </c>
      <c r="AL20" s="161">
        <f t="shared" si="0"/>
        <v>0</v>
      </c>
    </row>
    <row r="21" spans="1:40" ht="20.100000000000001" customHeight="1">
      <c r="A21" s="2418"/>
      <c r="B21" s="2457"/>
      <c r="C21" s="3">
        <v>95319955</v>
      </c>
      <c r="D21" s="3" t="s">
        <v>212</v>
      </c>
      <c r="E21" s="162">
        <v>708</v>
      </c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163">
        <f t="shared" si="1"/>
        <v>0</v>
      </c>
      <c r="AL21" s="164">
        <f t="shared" si="0"/>
        <v>0</v>
      </c>
      <c r="AM21" s="209"/>
    </row>
    <row r="22" spans="1:40" ht="20.100000000000001" customHeight="1">
      <c r="A22" s="2418"/>
      <c r="B22" s="2457"/>
      <c r="C22" s="140">
        <v>42348901</v>
      </c>
      <c r="D22" s="140" t="s">
        <v>214</v>
      </c>
      <c r="E22" s="170">
        <v>668</v>
      </c>
      <c r="F22" s="142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27"/>
      <c r="AB22" s="143"/>
      <c r="AC22" s="143"/>
      <c r="AD22" s="143"/>
      <c r="AE22" s="143"/>
      <c r="AF22" s="143"/>
      <c r="AG22" s="143"/>
      <c r="AH22" s="143"/>
      <c r="AI22" s="143"/>
      <c r="AJ22" s="143"/>
      <c r="AK22" s="163">
        <f t="shared" si="1"/>
        <v>0</v>
      </c>
      <c r="AL22" s="178">
        <f>E22*AK22</f>
        <v>0</v>
      </c>
    </row>
    <row r="23" spans="1:40" ht="20.100000000000001" customHeight="1" thickBot="1">
      <c r="A23" s="2419"/>
      <c r="B23" s="2458"/>
      <c r="C23" s="29">
        <v>42348902</v>
      </c>
      <c r="D23" s="29" t="s">
        <v>10</v>
      </c>
      <c r="E23" s="166">
        <v>668</v>
      </c>
      <c r="F23" s="3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185">
        <f t="shared" si="1"/>
        <v>0</v>
      </c>
      <c r="AL23" s="171">
        <f>E23*AK23</f>
        <v>0</v>
      </c>
      <c r="AM23" s="1108">
        <f>SUM(AL20:AL23)</f>
        <v>0</v>
      </c>
      <c r="AN23" s="33"/>
    </row>
    <row r="24" spans="1:40" ht="20.100000000000001" customHeight="1">
      <c r="AA24" s="6" t="s">
        <v>552</v>
      </c>
      <c r="AK24" s="337">
        <f>SUM(AK6:AK23)</f>
        <v>0</v>
      </c>
      <c r="AL24" s="337">
        <f>SUM(AL6:AL23)</f>
        <v>0</v>
      </c>
      <c r="AM24" s="183"/>
    </row>
    <row r="25" spans="1:40">
      <c r="AK25" s="33"/>
    </row>
    <row r="26" spans="1:40">
      <c r="AK26" s="33"/>
    </row>
  </sheetData>
  <customSheetViews>
    <customSheetView guid="{4B6F0EB4-660D-4B5D-BC48-6CB7C10D7F9B}" scale="115" showGridLines="0">
      <pane xSplit="5" topLeftCell="F1" activePane="topRight" state="frozen"/>
      <selection pane="topRight" activeCell="AA10" sqref="AA10"/>
      <pageMargins left="0.75" right="0.75" top="1" bottom="1" header="0.5" footer="0.5"/>
      <pageSetup paperSize="9" orientation="portrait" horizontalDpi="300" verticalDpi="300" r:id="rId1"/>
      <headerFooter alignWithMargins="0"/>
    </customSheetView>
    <customSheetView guid="{2118503C-FA17-40AD-A92D-3BEB91EE1F01}" scale="115" showGridLines="0">
      <pane xSplit="5" topLeftCell="F1" activePane="topRight" state="frozen"/>
      <selection pane="topRight" activeCell="F6" sqref="F6:AG23"/>
      <pageMargins left="0.75" right="0.75" top="1" bottom="1" header="0.5" footer="0.5"/>
      <pageSetup paperSize="9" orientation="portrait" horizontalDpi="300" verticalDpi="300" r:id="rId2"/>
      <headerFooter alignWithMargins="0"/>
    </customSheetView>
    <customSheetView guid="{844B66BD-C499-418A-A656-40E7940347EA}" scale="115" showGridLines="0">
      <pane xSplit="5" topLeftCell="F1" activePane="topRight" state="frozen"/>
      <selection pane="topRight" activeCell="P12" sqref="P12"/>
      <pageMargins left="0.75" right="0.75" top="1" bottom="1" header="0.5" footer="0.5"/>
      <pageSetup paperSize="9" orientation="portrait" horizontalDpi="300" verticalDpi="300" r:id="rId3"/>
      <headerFooter alignWithMargins="0"/>
    </customSheetView>
    <customSheetView guid="{7523CC8F-897F-48BF-94A5-CFFF399736A5}" scale="115" showGridLines="0">
      <pane xSplit="5" topLeftCell="F1" activePane="topRight" state="frozen"/>
      <selection pane="topRight" activeCell="F6" sqref="F6:AG23"/>
      <pageMargins left="0.75" right="0.75" top="1" bottom="1" header="0.5" footer="0.5"/>
      <pageSetup paperSize="9" orientation="portrait" horizontalDpi="300" verticalDpi="300" r:id="rId4"/>
      <headerFooter alignWithMargins="0"/>
    </customSheetView>
    <customSheetView guid="{89B07EC3-7982-4908-AB99-54EB5928E5C4}" scale="115" showGridLines="0">
      <pane xSplit="5" topLeftCell="F1" activePane="topRight" state="frozen"/>
      <selection pane="topRight" activeCell="G10" sqref="G10:Y13"/>
      <pageMargins left="0.75" right="0.75" top="1" bottom="1" header="0.5" footer="0.5"/>
      <pageSetup paperSize="9" orientation="portrait" horizontalDpi="300" verticalDpi="300" r:id="rId5"/>
      <headerFooter alignWithMargins="0"/>
    </customSheetView>
  </customSheetViews>
  <mergeCells count="6">
    <mergeCell ref="F3:I4"/>
    <mergeCell ref="B6:B9"/>
    <mergeCell ref="B14:B19"/>
    <mergeCell ref="A6:A23"/>
    <mergeCell ref="B10:B13"/>
    <mergeCell ref="B20:B23"/>
  </mergeCells>
  <phoneticPr fontId="44" type="noConversion"/>
  <pageMargins left="0.75" right="0.75" top="1" bottom="1" header="0.5" footer="0.5"/>
  <pageSetup paperSize="9" orientation="portrait" horizontalDpi="300" verticalDpi="300" r:id="rId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O37"/>
  <sheetViews>
    <sheetView workbookViewId="0">
      <pane xSplit="5" ySplit="5" topLeftCell="AB6" activePane="bottomRight" state="frozen"/>
      <selection pane="topRight" activeCell="F1" sqref="F1"/>
      <selection pane="bottomLeft" activeCell="A6" sqref="A6"/>
      <selection pane="bottomRight" activeCell="E24" sqref="E24"/>
    </sheetView>
  </sheetViews>
  <sheetFormatPr defaultColWidth="9" defaultRowHeight="13.2"/>
  <cols>
    <col min="1" max="1" width="6.8984375" style="6" bestFit="1" customWidth="1"/>
    <col min="2" max="2" width="6.5" style="6" bestFit="1" customWidth="1"/>
    <col min="3" max="3" width="10.8984375" style="6" bestFit="1" customWidth="1"/>
    <col min="4" max="4" width="16.5" style="6" bestFit="1" customWidth="1"/>
    <col min="5" max="5" width="9.19921875" style="6" bestFit="1" customWidth="1"/>
    <col min="6" max="28" width="4.19921875" style="6" customWidth="1"/>
    <col min="29" max="29" width="4.59765625" style="6" customWidth="1"/>
    <col min="30" max="30" width="3.69921875" style="6" customWidth="1"/>
    <col min="31" max="31" width="4.3984375" style="6" customWidth="1"/>
    <col min="32" max="32" width="4.19921875" style="6" customWidth="1"/>
    <col min="33" max="33" width="4.69921875" style="6" customWidth="1"/>
    <col min="34" max="34" width="4.19921875" style="6" customWidth="1"/>
    <col min="35" max="35" width="5" style="6" customWidth="1"/>
    <col min="36" max="36" width="4.19921875" style="6" customWidth="1"/>
    <col min="37" max="37" width="10.09765625" style="6" bestFit="1" customWidth="1"/>
    <col min="38" max="38" width="13.19921875" style="133" bestFit="1" customWidth="1"/>
    <col min="39" max="39" width="14.59765625" style="6" customWidth="1"/>
    <col min="40" max="16384" width="9" style="6"/>
  </cols>
  <sheetData>
    <row r="1" spans="1:41" ht="14.25" customHeight="1">
      <c r="A1" s="7"/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132"/>
    </row>
    <row r="2" spans="1:41" ht="14.25" customHeight="1" thickBot="1">
      <c r="A2" s="5"/>
      <c r="B2" s="5"/>
      <c r="C2" s="5"/>
      <c r="D2" s="5"/>
      <c r="E2" s="5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132"/>
    </row>
    <row r="3" spans="1:41" ht="15" customHeight="1">
      <c r="A3" s="5"/>
      <c r="B3" s="5"/>
      <c r="C3" s="5"/>
      <c r="D3" s="5"/>
      <c r="E3" s="5"/>
      <c r="F3" s="2403" t="s">
        <v>76</v>
      </c>
      <c r="G3" s="2403"/>
      <c r="H3" s="2403"/>
      <c r="I3" s="240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132"/>
    </row>
    <row r="4" spans="1:41" ht="13.8" thickBot="1">
      <c r="F4" s="2406"/>
      <c r="G4" s="2406"/>
      <c r="H4" s="2406"/>
      <c r="I4" s="2407"/>
    </row>
    <row r="5" spans="1:41" ht="18.75" customHeight="1" thickBot="1">
      <c r="A5" s="91" t="s">
        <v>77</v>
      </c>
      <c r="B5" s="92" t="s">
        <v>78</v>
      </c>
      <c r="C5" s="93" t="s">
        <v>79</v>
      </c>
      <c r="D5" s="93" t="s">
        <v>80</v>
      </c>
      <c r="E5" s="94" t="s">
        <v>81</v>
      </c>
      <c r="F5" s="95">
        <v>1</v>
      </c>
      <c r="G5" s="96">
        <v>2</v>
      </c>
      <c r="H5" s="96">
        <v>3</v>
      </c>
      <c r="I5" s="96">
        <v>4</v>
      </c>
      <c r="J5" s="96">
        <v>5</v>
      </c>
      <c r="K5" s="96">
        <v>6</v>
      </c>
      <c r="L5" s="96">
        <v>7</v>
      </c>
      <c r="M5" s="96">
        <v>8</v>
      </c>
      <c r="N5" s="96">
        <v>9</v>
      </c>
      <c r="O5" s="96">
        <v>10</v>
      </c>
      <c r="P5" s="96">
        <v>11</v>
      </c>
      <c r="Q5" s="96">
        <v>12</v>
      </c>
      <c r="R5" s="96">
        <v>13</v>
      </c>
      <c r="S5" s="96">
        <v>14</v>
      </c>
      <c r="T5" s="96">
        <v>15</v>
      </c>
      <c r="U5" s="96">
        <v>16</v>
      </c>
      <c r="V5" s="96">
        <v>17</v>
      </c>
      <c r="W5" s="96">
        <v>18</v>
      </c>
      <c r="X5" s="96">
        <v>19</v>
      </c>
      <c r="Y5" s="96">
        <v>20</v>
      </c>
      <c r="Z5" s="96">
        <v>21</v>
      </c>
      <c r="AA5" s="96">
        <v>22</v>
      </c>
      <c r="AB5" s="96">
        <v>23</v>
      </c>
      <c r="AC5" s="96">
        <v>24</v>
      </c>
      <c r="AD5" s="96">
        <v>25</v>
      </c>
      <c r="AE5" s="96">
        <v>26</v>
      </c>
      <c r="AF5" s="96">
        <v>27</v>
      </c>
      <c r="AG5" s="96">
        <v>28</v>
      </c>
      <c r="AH5" s="96">
        <v>29</v>
      </c>
      <c r="AI5" s="96">
        <v>30</v>
      </c>
      <c r="AJ5" s="97">
        <v>31</v>
      </c>
      <c r="AK5" s="134" t="s">
        <v>7</v>
      </c>
      <c r="AL5" s="135" t="s">
        <v>82</v>
      </c>
    </row>
    <row r="6" spans="1:41" ht="20.100000000000001" customHeight="1">
      <c r="A6" s="2462" t="s">
        <v>209</v>
      </c>
      <c r="B6" s="2468" t="s">
        <v>210</v>
      </c>
      <c r="C6" s="48" t="s">
        <v>211</v>
      </c>
      <c r="D6" s="48" t="s">
        <v>8</v>
      </c>
      <c r="E6" s="36">
        <v>2629</v>
      </c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136">
        <f t="shared" ref="AK6:AK25" si="0">SUM(F6:AJ6)</f>
        <v>0</v>
      </c>
      <c r="AL6" s="137">
        <f t="shared" ref="AL6:AL25" si="1">E6*AK6</f>
        <v>0</v>
      </c>
    </row>
    <row r="7" spans="1:41" ht="20.100000000000001" customHeight="1">
      <c r="A7" s="2463"/>
      <c r="B7" s="2449"/>
      <c r="C7" s="118" t="s">
        <v>9</v>
      </c>
      <c r="D7" s="3" t="s">
        <v>212</v>
      </c>
      <c r="E7" s="21">
        <v>2629</v>
      </c>
      <c r="F7" s="119"/>
      <c r="G7" s="120"/>
      <c r="H7" s="120"/>
      <c r="I7" s="120"/>
      <c r="J7" s="120"/>
      <c r="K7" s="23"/>
      <c r="L7" s="23"/>
      <c r="M7" s="120"/>
      <c r="N7" s="23"/>
      <c r="O7" s="120"/>
      <c r="P7" s="23"/>
      <c r="Q7" s="23"/>
      <c r="R7" s="23"/>
      <c r="S7" s="23"/>
      <c r="T7" s="120"/>
      <c r="U7" s="23"/>
      <c r="V7" s="120"/>
      <c r="W7" s="23"/>
      <c r="X7" s="23"/>
      <c r="Y7" s="23"/>
      <c r="Z7" s="23"/>
      <c r="AA7" s="120"/>
      <c r="AB7" s="23"/>
      <c r="AC7" s="120"/>
      <c r="AD7" s="23"/>
      <c r="AE7" s="23"/>
      <c r="AF7" s="23"/>
      <c r="AG7" s="23"/>
      <c r="AH7" s="120"/>
      <c r="AI7" s="23"/>
      <c r="AJ7" s="120"/>
      <c r="AK7" s="138">
        <f t="shared" si="0"/>
        <v>0</v>
      </c>
      <c r="AL7" s="139">
        <f t="shared" si="1"/>
        <v>0</v>
      </c>
    </row>
    <row r="8" spans="1:41" ht="20.100000000000001" customHeight="1">
      <c r="A8" s="2463"/>
      <c r="B8" s="2449"/>
      <c r="C8" s="140" t="s">
        <v>213</v>
      </c>
      <c r="D8" s="4" t="s">
        <v>214</v>
      </c>
      <c r="E8" s="141">
        <v>2756</v>
      </c>
      <c r="F8" s="142"/>
      <c r="G8" s="143"/>
      <c r="H8" s="143"/>
      <c r="I8" s="143"/>
      <c r="J8" s="143"/>
      <c r="K8" s="27"/>
      <c r="L8" s="27"/>
      <c r="M8" s="143"/>
      <c r="N8" s="27"/>
      <c r="O8" s="143"/>
      <c r="P8" s="27"/>
      <c r="Q8" s="27"/>
      <c r="R8" s="27"/>
      <c r="S8" s="27"/>
      <c r="T8" s="143"/>
      <c r="U8" s="27"/>
      <c r="V8" s="143"/>
      <c r="W8" s="27"/>
      <c r="X8" s="27"/>
      <c r="Y8" s="27"/>
      <c r="Z8" s="27"/>
      <c r="AA8" s="143"/>
      <c r="AB8" s="27"/>
      <c r="AC8" s="143"/>
      <c r="AD8" s="27"/>
      <c r="AE8" s="27"/>
      <c r="AF8" s="27"/>
      <c r="AG8" s="27"/>
      <c r="AH8" s="143"/>
      <c r="AI8" s="27"/>
      <c r="AJ8" s="143"/>
      <c r="AK8" s="138">
        <f t="shared" si="0"/>
        <v>0</v>
      </c>
      <c r="AL8" s="139">
        <f t="shared" si="1"/>
        <v>0</v>
      </c>
    </row>
    <row r="9" spans="1:41" ht="20.100000000000001" customHeight="1" thickBot="1">
      <c r="A9" s="2463"/>
      <c r="B9" s="2450"/>
      <c r="C9" s="29" t="s">
        <v>215</v>
      </c>
      <c r="D9" s="29" t="s">
        <v>10</v>
      </c>
      <c r="E9" s="30">
        <v>2756</v>
      </c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144">
        <f t="shared" si="0"/>
        <v>0</v>
      </c>
      <c r="AL9" s="145">
        <f t="shared" si="1"/>
        <v>0</v>
      </c>
      <c r="AM9" s="47">
        <f>SUM(AL6:AL9)</f>
        <v>0</v>
      </c>
      <c r="AN9" s="33"/>
    </row>
    <row r="10" spans="1:41" ht="20.100000000000001" customHeight="1">
      <c r="A10" s="2463"/>
      <c r="B10" s="2468" t="s">
        <v>216</v>
      </c>
      <c r="C10" s="48" t="s">
        <v>11</v>
      </c>
      <c r="D10" s="48" t="s">
        <v>8</v>
      </c>
      <c r="E10" s="36">
        <v>4980</v>
      </c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136">
        <f>SUM(F10:AJ10)</f>
        <v>0</v>
      </c>
      <c r="AL10" s="137">
        <f>E10*AK10</f>
        <v>0</v>
      </c>
      <c r="AO10" s="33"/>
    </row>
    <row r="11" spans="1:41" ht="20.100000000000001" customHeight="1">
      <c r="A11" s="2463"/>
      <c r="B11" s="2449"/>
      <c r="C11" s="118" t="s">
        <v>217</v>
      </c>
      <c r="D11" s="3" t="s">
        <v>212</v>
      </c>
      <c r="E11" s="21">
        <v>5021</v>
      </c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38">
        <f>SUM(F11:AJ11)</f>
        <v>0</v>
      </c>
      <c r="AL11" s="139">
        <f>E11*AK11</f>
        <v>0</v>
      </c>
      <c r="AO11" s="33"/>
    </row>
    <row r="12" spans="1:41" ht="20.100000000000001" customHeight="1">
      <c r="A12" s="2463"/>
      <c r="B12" s="2449"/>
      <c r="C12" s="140" t="s">
        <v>1805</v>
      </c>
      <c r="D12" s="4" t="s">
        <v>214</v>
      </c>
      <c r="E12" s="141">
        <v>4356</v>
      </c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138">
        <f>SUM(F12:AJ12)</f>
        <v>0</v>
      </c>
      <c r="AL12" s="139">
        <f>E12*AK12</f>
        <v>0</v>
      </c>
      <c r="AO12" s="33"/>
    </row>
    <row r="13" spans="1:41" ht="20.100000000000001" customHeight="1" thickBot="1">
      <c r="A13" s="2463"/>
      <c r="B13" s="2450"/>
      <c r="C13" s="29" t="s">
        <v>218</v>
      </c>
      <c r="D13" s="29" t="s">
        <v>10</v>
      </c>
      <c r="E13" s="30">
        <v>4337</v>
      </c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44">
        <f>SUM(F13:AJ13)</f>
        <v>0</v>
      </c>
      <c r="AL13" s="145">
        <f>E13*AK13</f>
        <v>0</v>
      </c>
      <c r="AM13" s="1546">
        <f>SUM(AL10:AL13)</f>
        <v>0</v>
      </c>
      <c r="AN13" s="33"/>
      <c r="AO13" s="33"/>
    </row>
    <row r="14" spans="1:41" ht="20.100000000000001" customHeight="1">
      <c r="A14" s="2463"/>
      <c r="B14" s="2467" t="s">
        <v>219</v>
      </c>
      <c r="C14" s="35" t="s">
        <v>220</v>
      </c>
      <c r="D14" s="48" t="s">
        <v>8</v>
      </c>
      <c r="E14" s="18">
        <v>2615</v>
      </c>
      <c r="F14" s="49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>
        <v>12</v>
      </c>
      <c r="AK14" s="146">
        <f t="shared" ref="AK14:AK19" si="2">SUM(F14:AJ14)</f>
        <v>12</v>
      </c>
      <c r="AL14" s="147">
        <f t="shared" ref="AL14:AL19" si="3">E14*AK14</f>
        <v>31380</v>
      </c>
    </row>
    <row r="15" spans="1:41" ht="20.100000000000001" customHeight="1">
      <c r="A15" s="2463"/>
      <c r="B15" s="2454"/>
      <c r="C15" s="3" t="s">
        <v>221</v>
      </c>
      <c r="D15" s="3" t="s">
        <v>212</v>
      </c>
      <c r="E15" s="21">
        <v>2615</v>
      </c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138">
        <f t="shared" si="2"/>
        <v>0</v>
      </c>
      <c r="AL15" s="139">
        <f t="shared" si="3"/>
        <v>0</v>
      </c>
    </row>
    <row r="16" spans="1:41" ht="20.100000000000001" customHeight="1">
      <c r="A16" s="2463"/>
      <c r="B16" s="2454"/>
      <c r="C16" s="4" t="s">
        <v>222</v>
      </c>
      <c r="D16" s="4" t="s">
        <v>214</v>
      </c>
      <c r="E16" s="141">
        <v>4053</v>
      </c>
      <c r="F16" s="26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>
        <v>1</v>
      </c>
      <c r="AK16" s="138">
        <f t="shared" si="2"/>
        <v>1</v>
      </c>
      <c r="AL16" s="139">
        <f t="shared" si="3"/>
        <v>4053</v>
      </c>
    </row>
    <row r="17" spans="1:40" ht="20.100000000000001" customHeight="1">
      <c r="A17" s="2463"/>
      <c r="B17" s="2454"/>
      <c r="C17" s="148" t="s">
        <v>223</v>
      </c>
      <c r="D17" s="148" t="s">
        <v>10</v>
      </c>
      <c r="E17" s="149">
        <v>4053</v>
      </c>
      <c r="F17" s="150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46">
        <f t="shared" si="2"/>
        <v>0</v>
      </c>
      <c r="AL17" s="147">
        <f t="shared" si="3"/>
        <v>0</v>
      </c>
    </row>
    <row r="18" spans="1:40" ht="20.100000000000001" customHeight="1">
      <c r="A18" s="2463"/>
      <c r="B18" s="2454"/>
      <c r="C18" s="4" t="s">
        <v>224</v>
      </c>
      <c r="D18" s="4" t="s">
        <v>214</v>
      </c>
      <c r="E18" s="25">
        <v>3887</v>
      </c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138">
        <f t="shared" si="2"/>
        <v>0</v>
      </c>
      <c r="AL18" s="139">
        <f t="shared" si="3"/>
        <v>0</v>
      </c>
    </row>
    <row r="19" spans="1:40" ht="20.100000000000001" customHeight="1" thickBot="1">
      <c r="A19" s="2463"/>
      <c r="B19" s="2455"/>
      <c r="C19" s="29" t="s">
        <v>225</v>
      </c>
      <c r="D19" s="29" t="s">
        <v>10</v>
      </c>
      <c r="E19" s="30">
        <v>3863</v>
      </c>
      <c r="F19" s="31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144">
        <f t="shared" si="2"/>
        <v>0</v>
      </c>
      <c r="AL19" s="145">
        <f t="shared" si="3"/>
        <v>0</v>
      </c>
      <c r="AM19" s="1414">
        <f>SUM(AL14:AL19)</f>
        <v>35433</v>
      </c>
      <c r="AN19" s="33"/>
    </row>
    <row r="20" spans="1:40" ht="20.100000000000001" customHeight="1">
      <c r="A20" s="2463"/>
      <c r="B20" s="2467" t="s">
        <v>13</v>
      </c>
      <c r="C20" s="35" t="s">
        <v>226</v>
      </c>
      <c r="D20" s="48" t="s">
        <v>8</v>
      </c>
      <c r="E20" s="18">
        <v>1469</v>
      </c>
      <c r="F20" s="49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146">
        <f t="shared" si="0"/>
        <v>0</v>
      </c>
      <c r="AL20" s="147">
        <f t="shared" si="1"/>
        <v>0</v>
      </c>
    </row>
    <row r="21" spans="1:40" ht="20.100000000000001" customHeight="1">
      <c r="A21" s="2463"/>
      <c r="B21" s="2454"/>
      <c r="C21" s="3" t="s">
        <v>14</v>
      </c>
      <c r="D21" s="3" t="s">
        <v>212</v>
      </c>
      <c r="E21" s="2167">
        <v>1531</v>
      </c>
      <c r="F21" s="22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>
        <v>6</v>
      </c>
      <c r="AK21" s="138">
        <f t="shared" si="0"/>
        <v>6</v>
      </c>
      <c r="AL21" s="139">
        <f t="shared" si="1"/>
        <v>9186</v>
      </c>
    </row>
    <row r="22" spans="1:40" ht="20.100000000000001" customHeight="1">
      <c r="A22" s="2463"/>
      <c r="B22" s="2454"/>
      <c r="C22" s="4" t="s">
        <v>15</v>
      </c>
      <c r="D22" s="4" t="s">
        <v>214</v>
      </c>
      <c r="E22" s="141">
        <v>1655</v>
      </c>
      <c r="F22" s="26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138">
        <f t="shared" si="0"/>
        <v>0</v>
      </c>
      <c r="AL22" s="139">
        <f t="shared" si="1"/>
        <v>0</v>
      </c>
    </row>
    <row r="23" spans="1:40" ht="20.100000000000001" customHeight="1">
      <c r="A23" s="2463"/>
      <c r="B23" s="2454"/>
      <c r="C23" s="148" t="s">
        <v>16</v>
      </c>
      <c r="D23" s="148" t="s">
        <v>10</v>
      </c>
      <c r="E23" s="2168">
        <v>1662</v>
      </c>
      <c r="F23" s="150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>
        <v>5</v>
      </c>
      <c r="AK23" s="146">
        <f t="shared" si="0"/>
        <v>5</v>
      </c>
      <c r="AL23" s="147">
        <f t="shared" si="1"/>
        <v>8310</v>
      </c>
    </row>
    <row r="24" spans="1:40" ht="20.100000000000001" customHeight="1">
      <c r="A24" s="2463"/>
      <c r="B24" s="2454"/>
      <c r="C24" s="4" t="s">
        <v>227</v>
      </c>
      <c r="D24" s="4" t="s">
        <v>214</v>
      </c>
      <c r="E24" s="25">
        <v>1679</v>
      </c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138">
        <f t="shared" si="0"/>
        <v>0</v>
      </c>
      <c r="AL24" s="139">
        <f t="shared" si="1"/>
        <v>0</v>
      </c>
    </row>
    <row r="25" spans="1:40" ht="20.100000000000001" customHeight="1" thickBot="1">
      <c r="A25" s="2464"/>
      <c r="B25" s="2455"/>
      <c r="C25" s="29" t="s">
        <v>228</v>
      </c>
      <c r="D25" s="29" t="s">
        <v>10</v>
      </c>
      <c r="E25" s="30">
        <v>1679</v>
      </c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144">
        <f t="shared" si="0"/>
        <v>0</v>
      </c>
      <c r="AL25" s="145">
        <f t="shared" si="1"/>
        <v>0</v>
      </c>
      <c r="AM25" s="1546">
        <f>SUM(AL20:AL25)</f>
        <v>17496</v>
      </c>
      <c r="AN25" s="33"/>
    </row>
    <row r="26" spans="1:40" ht="20.100000000000001" customHeight="1" thickBot="1">
      <c r="AK26" s="88">
        <f>SUM(AK6:AK25)</f>
        <v>24</v>
      </c>
      <c r="AL26" s="152">
        <f>SUM(AL6:AL25)</f>
        <v>52929</v>
      </c>
    </row>
    <row r="27" spans="1:40" ht="20.100000000000001" customHeight="1">
      <c r="AB27" s="2459"/>
      <c r="AC27" s="2460"/>
      <c r="AD27" s="2460"/>
      <c r="AE27" s="2460"/>
      <c r="AF27" s="2460"/>
      <c r="AG27" s="2460"/>
      <c r="AH27" s="2460"/>
      <c r="AI27" s="2460"/>
      <c r="AJ27" s="2460"/>
      <c r="AK27" s="2461"/>
      <c r="AL27" s="153"/>
    </row>
    <row r="28" spans="1:40" ht="20.100000000000001" customHeight="1">
      <c r="AB28" s="2469" t="s">
        <v>940</v>
      </c>
      <c r="AC28" s="2469"/>
      <c r="AD28" s="2469"/>
      <c r="AE28" s="2469"/>
      <c r="AF28" s="2469"/>
      <c r="AG28" s="2469"/>
      <c r="AH28" s="2469"/>
      <c r="AI28" s="2469"/>
      <c r="AJ28" s="2469"/>
      <c r="AK28" s="2465">
        <f>SUM(AL26+AL27)</f>
        <v>52929</v>
      </c>
      <c r="AL28" s="2466"/>
    </row>
    <row r="29" spans="1:40">
      <c r="AB29" s="6" t="s">
        <v>628</v>
      </c>
    </row>
    <row r="37" spans="30:30">
      <c r="AD37" s="54"/>
    </row>
  </sheetData>
  <customSheetViews>
    <customSheetView guid="{4B6F0EB4-660D-4B5D-BC48-6CB7C10D7F9B}" showGridLines="0">
      <pane xSplit="5" topLeftCell="F1" activePane="topRight" state="frozen"/>
      <selection pane="topRight" activeCell="AA18" sqref="AA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1"/>
      <headerFooter alignWithMargins="0"/>
    </customSheetView>
    <customSheetView guid="{2118503C-FA17-40AD-A92D-3BEB91EE1F01}" showGridLines="0">
      <pane xSplit="5" topLeftCell="F1" activePane="topRight" state="frozen"/>
      <selection pane="topRight" activeCell="G18" sqref="G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2"/>
      <headerFooter alignWithMargins="0"/>
    </customSheetView>
    <customSheetView guid="{844B66BD-C499-418A-A656-40E7940347EA}" showGridLines="0">
      <pane xSplit="5" topLeftCell="F1" activePane="topRight" state="frozen"/>
      <selection pane="topRight" activeCell="T18" sqref="T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3"/>
      <headerFooter alignWithMargins="0"/>
    </customSheetView>
    <customSheetView guid="{7523CC8F-897F-48BF-94A5-CFFF399736A5}" showGridLines="0">
      <pane xSplit="5" topLeftCell="F1" activePane="topRight" state="frozen"/>
      <selection pane="topRight" activeCell="G18" sqref="G18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4"/>
      <headerFooter alignWithMargins="0"/>
    </customSheetView>
    <customSheetView guid="{89B07EC3-7982-4908-AB99-54EB5928E5C4}" showGridLines="0">
      <pane xSplit="5" topLeftCell="F1" activePane="topRight" state="frozen"/>
      <selection pane="topRight" activeCell="W24" sqref="W24"/>
      <pageMargins left="0.74803149606299213" right="0.74803149606299213" top="0.98425196850393704" bottom="0.98425196850393704" header="0.51181102362204722" footer="0.51181102362204722"/>
      <pageSetup paperSize="9" orientation="landscape" horizontalDpi="300" verticalDpi="300" r:id="rId5"/>
      <headerFooter alignWithMargins="0"/>
    </customSheetView>
  </customSheetViews>
  <mergeCells count="9">
    <mergeCell ref="AB27:AK27"/>
    <mergeCell ref="A6:A25"/>
    <mergeCell ref="AK28:AL28"/>
    <mergeCell ref="B20:B25"/>
    <mergeCell ref="F3:I4"/>
    <mergeCell ref="B6:B9"/>
    <mergeCell ref="B10:B13"/>
    <mergeCell ref="AB28:AJ28"/>
    <mergeCell ref="B14:B19"/>
  </mergeCells>
  <phoneticPr fontId="7" type="noConversion"/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Q210"/>
  <sheetViews>
    <sheetView zoomScale="110" zoomScaleNormal="110" workbookViewId="0">
      <pane xSplit="5" ySplit="4" topLeftCell="AK151" activePane="bottomRight" state="frozen"/>
      <selection pane="topRight" activeCell="F1" sqref="F1"/>
      <selection pane="bottomLeft" activeCell="A5" sqref="A5"/>
      <selection pane="bottomRight" activeCell="AL181" sqref="AL181"/>
    </sheetView>
  </sheetViews>
  <sheetFormatPr defaultColWidth="9" defaultRowHeight="13.2"/>
  <cols>
    <col min="1" max="1" width="7.8984375" style="6" customWidth="1"/>
    <col min="2" max="2" width="12.19921875" style="6" customWidth="1"/>
    <col min="3" max="3" width="13.19921875" style="917" customWidth="1"/>
    <col min="4" max="4" width="22" style="6" customWidth="1"/>
    <col min="5" max="5" width="9.19921875" style="698" customWidth="1"/>
    <col min="6" max="6" width="6" style="6" customWidth="1"/>
    <col min="7" max="9" width="5.3984375" style="6" customWidth="1"/>
    <col min="10" max="10" width="5.3984375" style="54" customWidth="1"/>
    <col min="11" max="16" width="5.3984375" style="6" customWidth="1"/>
    <col min="17" max="17" width="5.3984375" style="54" customWidth="1"/>
    <col min="18" max="18" width="5.3984375" style="6" customWidth="1"/>
    <col min="19" max="19" width="5.09765625" style="6" customWidth="1"/>
    <col min="20" max="23" width="5.3984375" style="6" customWidth="1"/>
    <col min="24" max="24" width="5.69921875" style="54" customWidth="1"/>
    <col min="25" max="25" width="6.3984375" style="6" customWidth="1"/>
    <col min="26" max="35" width="5.3984375" style="6" customWidth="1"/>
    <col min="36" max="36" width="7.3984375" style="6" customWidth="1"/>
    <col min="37" max="37" width="10.3984375" style="6" customWidth="1"/>
    <col min="38" max="38" width="13.59765625" style="6" bestFit="1" customWidth="1"/>
    <col min="39" max="39" width="14.59765625" style="6" customWidth="1"/>
    <col min="40" max="40" width="16.59765625" style="6" customWidth="1"/>
    <col min="41" max="41" width="12.19921875" style="6" customWidth="1"/>
    <col min="42" max="16384" width="9" style="6"/>
  </cols>
  <sheetData>
    <row r="1" spans="1:41" ht="13.8" thickBot="1">
      <c r="C1" s="917">
        <v>1</v>
      </c>
      <c r="D1" s="917">
        <v>2</v>
      </c>
      <c r="E1" s="917">
        <v>3</v>
      </c>
      <c r="F1" s="917">
        <v>4</v>
      </c>
      <c r="G1" s="917">
        <v>5</v>
      </c>
      <c r="H1" s="917">
        <v>6</v>
      </c>
      <c r="I1" s="917">
        <v>7</v>
      </c>
      <c r="J1" s="917">
        <v>8</v>
      </c>
      <c r="K1" s="917">
        <v>9</v>
      </c>
      <c r="L1" s="917">
        <v>10</v>
      </c>
      <c r="M1" s="917">
        <v>11</v>
      </c>
      <c r="N1" s="917">
        <v>12</v>
      </c>
      <c r="O1" s="917">
        <v>13</v>
      </c>
      <c r="P1" s="917">
        <v>14</v>
      </c>
      <c r="Q1" s="917">
        <v>15</v>
      </c>
      <c r="R1" s="917">
        <v>16</v>
      </c>
      <c r="S1" s="917">
        <v>17</v>
      </c>
      <c r="T1" s="917">
        <v>18</v>
      </c>
      <c r="U1" s="917">
        <v>19</v>
      </c>
      <c r="V1" s="917">
        <v>20</v>
      </c>
      <c r="W1" s="917">
        <v>21</v>
      </c>
      <c r="X1" s="917">
        <v>22</v>
      </c>
      <c r="Y1" s="917">
        <v>23</v>
      </c>
      <c r="Z1" s="917">
        <v>24</v>
      </c>
      <c r="AA1" s="917">
        <v>25</v>
      </c>
      <c r="AB1" s="917">
        <v>26</v>
      </c>
      <c r="AC1" s="917">
        <v>27</v>
      </c>
      <c r="AD1" s="917">
        <v>28</v>
      </c>
      <c r="AE1" s="917">
        <v>29</v>
      </c>
      <c r="AF1" s="917">
        <v>30</v>
      </c>
      <c r="AG1" s="917">
        <v>31</v>
      </c>
      <c r="AH1" s="917">
        <v>32</v>
      </c>
      <c r="AI1" s="917">
        <v>33</v>
      </c>
      <c r="AJ1" s="917">
        <v>34</v>
      </c>
      <c r="AK1" s="917">
        <v>35</v>
      </c>
      <c r="AL1" s="917">
        <v>36</v>
      </c>
    </row>
    <row r="2" spans="1:41" ht="15" customHeight="1">
      <c r="A2" s="2476" t="s">
        <v>2171</v>
      </c>
      <c r="B2" s="2476"/>
      <c r="C2" s="2476"/>
      <c r="D2" s="2477"/>
      <c r="E2" s="689"/>
      <c r="J2" s="186"/>
      <c r="K2" s="8"/>
      <c r="L2" s="8"/>
      <c r="M2" s="8"/>
      <c r="N2" s="8"/>
      <c r="O2" s="8"/>
      <c r="P2" s="8"/>
      <c r="Q2" s="186"/>
      <c r="R2" s="8"/>
      <c r="S2" s="8"/>
      <c r="T2" s="8"/>
      <c r="U2" s="8"/>
      <c r="V2" s="5"/>
      <c r="W2" s="5"/>
      <c r="X2" s="18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41" ht="13.8" thickBot="1">
      <c r="A3" s="2478"/>
      <c r="B3" s="2478"/>
      <c r="C3" s="2478"/>
      <c r="D3" s="2479"/>
    </row>
    <row r="4" spans="1:41" ht="18.75" customHeight="1" thickBot="1">
      <c r="A4" s="1158" t="s">
        <v>76</v>
      </c>
      <c r="B4" s="1334" t="s">
        <v>1445</v>
      </c>
      <c r="C4" s="1335" t="s">
        <v>1591</v>
      </c>
      <c r="D4" s="1336"/>
      <c r="E4" s="1159" t="s">
        <v>81</v>
      </c>
      <c r="F4" s="188">
        <v>1</v>
      </c>
      <c r="G4" s="188">
        <v>2</v>
      </c>
      <c r="H4" s="188">
        <v>3</v>
      </c>
      <c r="I4" s="188">
        <v>4</v>
      </c>
      <c r="J4" s="188">
        <v>5</v>
      </c>
      <c r="K4" s="188">
        <v>6</v>
      </c>
      <c r="L4" s="188">
        <v>7</v>
      </c>
      <c r="M4" s="188">
        <v>8</v>
      </c>
      <c r="N4" s="188">
        <v>9</v>
      </c>
      <c r="O4" s="188">
        <v>10</v>
      </c>
      <c r="P4" s="188">
        <v>11</v>
      </c>
      <c r="Q4" s="188">
        <v>12</v>
      </c>
      <c r="R4" s="188">
        <v>13</v>
      </c>
      <c r="S4" s="188">
        <v>14</v>
      </c>
      <c r="T4" s="188">
        <v>15</v>
      </c>
      <c r="U4" s="188">
        <v>16</v>
      </c>
      <c r="V4" s="188">
        <v>17</v>
      </c>
      <c r="W4" s="188">
        <v>18</v>
      </c>
      <c r="X4" s="188">
        <v>19</v>
      </c>
      <c r="Y4" s="188">
        <v>20</v>
      </c>
      <c r="Z4" s="188">
        <v>21</v>
      </c>
      <c r="AA4" s="188">
        <v>22</v>
      </c>
      <c r="AB4" s="188">
        <v>23</v>
      </c>
      <c r="AC4" s="188">
        <v>24</v>
      </c>
      <c r="AD4" s="188">
        <v>25</v>
      </c>
      <c r="AE4" s="188">
        <v>26</v>
      </c>
      <c r="AF4" s="188">
        <v>27</v>
      </c>
      <c r="AG4" s="188">
        <v>28</v>
      </c>
      <c r="AH4" s="188">
        <v>29</v>
      </c>
      <c r="AI4" s="188">
        <v>30</v>
      </c>
      <c r="AJ4" s="188">
        <v>31</v>
      </c>
      <c r="AK4" s="1160" t="s">
        <v>7</v>
      </c>
      <c r="AL4" s="1161" t="s">
        <v>82</v>
      </c>
    </row>
    <row r="5" spans="1:41" ht="13.5" customHeight="1">
      <c r="A5" s="2025" t="s">
        <v>54</v>
      </c>
      <c r="B5" s="2026" t="s">
        <v>245</v>
      </c>
      <c r="C5" s="1337"/>
      <c r="D5" s="189" t="s">
        <v>246</v>
      </c>
      <c r="E5" s="2">
        <v>1117</v>
      </c>
      <c r="F5" s="430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  <c r="Y5" s="431"/>
      <c r="Z5" s="431"/>
      <c r="AA5" s="431"/>
      <c r="AB5" s="431"/>
      <c r="AC5" s="431"/>
      <c r="AD5" s="416"/>
      <c r="AE5" s="416"/>
      <c r="AF5" s="416"/>
      <c r="AG5" s="416"/>
      <c r="AH5" s="431"/>
      <c r="AI5" s="365"/>
      <c r="AJ5" s="431"/>
      <c r="AK5" s="466">
        <f>SUM(F5:AJ5)</f>
        <v>0</v>
      </c>
      <c r="AL5" s="190">
        <f t="shared" ref="AL5:AL36" si="0">E5*AK5</f>
        <v>0</v>
      </c>
      <c r="AN5" s="191" t="s">
        <v>18</v>
      </c>
      <c r="AO5" s="192">
        <f>SUM(AL5:AL175)</f>
        <v>934505308</v>
      </c>
    </row>
    <row r="6" spans="1:41" ht="13.5" customHeight="1">
      <c r="A6" s="1273"/>
      <c r="B6" s="2027"/>
      <c r="C6" s="1338"/>
      <c r="D6" s="189" t="s">
        <v>247</v>
      </c>
      <c r="E6" s="2">
        <v>1307</v>
      </c>
      <c r="F6" s="430"/>
      <c r="G6" s="431"/>
      <c r="H6" s="431"/>
      <c r="I6" s="431"/>
      <c r="J6" s="431"/>
      <c r="K6" s="431"/>
      <c r="L6" s="431"/>
      <c r="M6" s="431"/>
      <c r="N6" s="431"/>
      <c r="O6" s="431"/>
      <c r="P6" s="431"/>
      <c r="Q6" s="431"/>
      <c r="R6" s="431"/>
      <c r="S6" s="431"/>
      <c r="T6" s="431"/>
      <c r="U6" s="431"/>
      <c r="V6" s="431"/>
      <c r="W6" s="431"/>
      <c r="X6" s="431"/>
      <c r="Y6" s="432"/>
      <c r="Z6" s="431"/>
      <c r="AA6" s="431"/>
      <c r="AB6" s="431"/>
      <c r="AC6" s="431"/>
      <c r="AD6" s="416"/>
      <c r="AE6" s="416"/>
      <c r="AF6" s="416"/>
      <c r="AG6" s="416"/>
      <c r="AH6" s="431"/>
      <c r="AI6" s="431"/>
      <c r="AJ6" s="431"/>
      <c r="AK6" s="466">
        <f t="shared" ref="AK6:AK179" si="1">SUM(F6:AJ6)</f>
        <v>0</v>
      </c>
      <c r="AL6" s="190">
        <f t="shared" si="0"/>
        <v>0</v>
      </c>
      <c r="AN6" s="193" t="s">
        <v>19</v>
      </c>
      <c r="AO6" s="194">
        <f>SUM(AL177:AL177)</f>
        <v>0</v>
      </c>
    </row>
    <row r="7" spans="1:41" ht="13.5" customHeight="1" thickBot="1">
      <c r="A7" s="1273"/>
      <c r="B7" s="2027"/>
      <c r="C7" s="1338"/>
      <c r="D7" s="195" t="s">
        <v>248</v>
      </c>
      <c r="E7" s="723">
        <v>747</v>
      </c>
      <c r="F7" s="433"/>
      <c r="G7" s="433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  <c r="AB7" s="434"/>
      <c r="AC7" s="434"/>
      <c r="AD7" s="435"/>
      <c r="AE7" s="435"/>
      <c r="AF7" s="435"/>
      <c r="AG7" s="435"/>
      <c r="AH7" s="435"/>
      <c r="AI7" s="435"/>
      <c r="AJ7" s="434"/>
      <c r="AK7" s="466">
        <f t="shared" si="1"/>
        <v>0</v>
      </c>
      <c r="AL7" s="190">
        <f t="shared" si="0"/>
        <v>0</v>
      </c>
      <c r="AN7" s="196" t="s">
        <v>7</v>
      </c>
      <c r="AO7" s="197">
        <f>SUM(AO5:AO6)</f>
        <v>934505308</v>
      </c>
    </row>
    <row r="8" spans="1:41" ht="11.25" customHeight="1">
      <c r="A8" s="1273"/>
      <c r="B8" s="2027"/>
      <c r="C8" s="1338"/>
      <c r="D8" s="198" t="s">
        <v>249</v>
      </c>
      <c r="E8" s="2">
        <v>276</v>
      </c>
      <c r="F8" s="41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5"/>
      <c r="AC8" s="365"/>
      <c r="AD8" s="436"/>
      <c r="AE8" s="436"/>
      <c r="AF8" s="436"/>
      <c r="AG8" s="436"/>
      <c r="AH8" s="365"/>
      <c r="AI8" s="365"/>
      <c r="AJ8" s="365"/>
      <c r="AK8" s="466">
        <f t="shared" si="1"/>
        <v>0</v>
      </c>
      <c r="AL8" s="190">
        <f t="shared" si="0"/>
        <v>0</v>
      </c>
      <c r="AO8" s="199"/>
    </row>
    <row r="9" spans="1:41" ht="13.5" customHeight="1">
      <c r="A9" s="1273"/>
      <c r="B9" s="2027"/>
      <c r="C9" s="1338"/>
      <c r="D9" s="200" t="s">
        <v>250</v>
      </c>
      <c r="E9" s="2">
        <v>200</v>
      </c>
      <c r="F9" s="49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437"/>
      <c r="AE9" s="437"/>
      <c r="AF9" s="437"/>
      <c r="AG9" s="437"/>
      <c r="AH9" s="50"/>
      <c r="AI9" s="50"/>
      <c r="AJ9" s="50"/>
      <c r="AK9" s="466">
        <f t="shared" si="1"/>
        <v>0</v>
      </c>
      <c r="AL9" s="190">
        <f t="shared" si="0"/>
        <v>0</v>
      </c>
    </row>
    <row r="10" spans="1:41" ht="13.5" customHeight="1">
      <c r="A10" s="1273"/>
      <c r="B10" s="2027"/>
      <c r="C10" s="1338"/>
      <c r="D10" s="201" t="s">
        <v>251</v>
      </c>
      <c r="E10" s="595">
        <v>1951</v>
      </c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437"/>
      <c r="AE10" s="437"/>
      <c r="AF10" s="437"/>
      <c r="AG10" s="437"/>
      <c r="AH10" s="50"/>
      <c r="AI10" s="50"/>
      <c r="AJ10" s="50"/>
      <c r="AK10" s="466">
        <f t="shared" si="1"/>
        <v>0</v>
      </c>
      <c r="AL10" s="190">
        <f t="shared" si="0"/>
        <v>0</v>
      </c>
    </row>
    <row r="11" spans="1:41" ht="13.5" customHeight="1">
      <c r="A11" s="1273"/>
      <c r="B11" s="2027"/>
      <c r="C11" s="1338"/>
      <c r="D11" s="201" t="s">
        <v>252</v>
      </c>
      <c r="E11" s="595">
        <v>2042</v>
      </c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437"/>
      <c r="AE11" s="437"/>
      <c r="AF11" s="437"/>
      <c r="AG11" s="437"/>
      <c r="AH11" s="50"/>
      <c r="AI11" s="50"/>
      <c r="AJ11" s="50"/>
      <c r="AK11" s="466">
        <f t="shared" si="1"/>
        <v>0</v>
      </c>
      <c r="AL11" s="190">
        <f t="shared" si="0"/>
        <v>0</v>
      </c>
    </row>
    <row r="12" spans="1:41" ht="13.5" customHeight="1">
      <c r="A12" s="1273"/>
      <c r="B12" s="2027"/>
      <c r="C12" s="1338"/>
      <c r="D12" s="202" t="s">
        <v>253</v>
      </c>
      <c r="E12" s="724">
        <v>796</v>
      </c>
      <c r="F12" s="438"/>
      <c r="G12" s="438"/>
      <c r="H12" s="439"/>
      <c r="I12" s="439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  <c r="AA12" s="439"/>
      <c r="AB12" s="439"/>
      <c r="AC12" s="440"/>
      <c r="AD12" s="440"/>
      <c r="AE12" s="440"/>
      <c r="AF12" s="440"/>
      <c r="AG12" s="440"/>
      <c r="AH12" s="440"/>
      <c r="AI12" s="439"/>
      <c r="AJ12" s="439"/>
      <c r="AK12" s="466">
        <f t="shared" si="1"/>
        <v>0</v>
      </c>
      <c r="AL12" s="190">
        <f t="shared" si="0"/>
        <v>0</v>
      </c>
    </row>
    <row r="13" spans="1:41" ht="13.5" customHeight="1">
      <c r="A13" s="1273"/>
      <c r="B13" s="2027"/>
      <c r="C13" s="1338"/>
      <c r="D13" s="48" t="s">
        <v>254</v>
      </c>
      <c r="E13" s="595">
        <v>1941</v>
      </c>
      <c r="F13" s="430"/>
      <c r="G13" s="431"/>
      <c r="H13" s="431"/>
      <c r="I13" s="431"/>
      <c r="J13" s="431"/>
      <c r="K13" s="431"/>
      <c r="L13" s="431"/>
      <c r="M13" s="431"/>
      <c r="N13" s="431"/>
      <c r="O13" s="431"/>
      <c r="P13" s="365"/>
      <c r="Q13" s="365"/>
      <c r="R13" s="365"/>
      <c r="S13" s="365"/>
      <c r="T13" s="365"/>
      <c r="U13" s="365"/>
      <c r="V13" s="365"/>
      <c r="W13" s="365"/>
      <c r="X13" s="365"/>
      <c r="Y13" s="365"/>
      <c r="Z13" s="365"/>
      <c r="AA13" s="365"/>
      <c r="AB13" s="365"/>
      <c r="AC13" s="365"/>
      <c r="AD13" s="436"/>
      <c r="AE13" s="436"/>
      <c r="AF13" s="436"/>
      <c r="AG13" s="436"/>
      <c r="AH13" s="365"/>
      <c r="AI13" s="441"/>
      <c r="AJ13" s="365"/>
      <c r="AK13" s="466">
        <f t="shared" si="1"/>
        <v>0</v>
      </c>
      <c r="AL13" s="190">
        <f t="shared" si="0"/>
        <v>0</v>
      </c>
    </row>
    <row r="14" spans="1:41" ht="13.5" customHeight="1">
      <c r="A14" s="1273"/>
      <c r="B14" s="2027"/>
      <c r="C14" s="1338"/>
      <c r="D14" s="17" t="s">
        <v>255</v>
      </c>
      <c r="E14" s="594">
        <v>1927</v>
      </c>
      <c r="F14" s="430"/>
      <c r="G14" s="431"/>
      <c r="H14" s="431"/>
      <c r="I14" s="431"/>
      <c r="J14" s="431"/>
      <c r="K14" s="431"/>
      <c r="L14" s="431"/>
      <c r="M14" s="431"/>
      <c r="N14" s="431"/>
      <c r="O14" s="431"/>
      <c r="P14" s="365"/>
      <c r="Q14" s="365"/>
      <c r="R14" s="365"/>
      <c r="S14" s="365"/>
      <c r="T14" s="365"/>
      <c r="U14" s="365"/>
      <c r="V14" s="365"/>
      <c r="W14" s="365"/>
      <c r="X14" s="365"/>
      <c r="Y14" s="365"/>
      <c r="Z14" s="365"/>
      <c r="AA14" s="365"/>
      <c r="AB14" s="365"/>
      <c r="AC14" s="365"/>
      <c r="AD14" s="436"/>
      <c r="AE14" s="436"/>
      <c r="AF14" s="436"/>
      <c r="AG14" s="436"/>
      <c r="AH14" s="365"/>
      <c r="AI14" s="365"/>
      <c r="AJ14" s="365"/>
      <c r="AK14" s="466">
        <f t="shared" si="1"/>
        <v>0</v>
      </c>
      <c r="AL14" s="190">
        <f t="shared" si="0"/>
        <v>0</v>
      </c>
    </row>
    <row r="15" spans="1:41" ht="13.5" customHeight="1">
      <c r="A15" s="1273"/>
      <c r="B15" s="2027"/>
      <c r="C15" s="1338"/>
      <c r="D15" s="118" t="s">
        <v>256</v>
      </c>
      <c r="E15" s="725">
        <v>450</v>
      </c>
      <c r="F15" s="442"/>
      <c r="G15" s="442"/>
      <c r="H15" s="443"/>
      <c r="I15" s="443"/>
      <c r="J15" s="444"/>
      <c r="K15" s="443"/>
      <c r="L15" s="443"/>
      <c r="M15" s="444"/>
      <c r="N15" s="445"/>
      <c r="O15" s="445"/>
      <c r="P15" s="444"/>
      <c r="Q15" s="443"/>
      <c r="R15" s="443"/>
      <c r="S15" s="444"/>
      <c r="T15" s="443"/>
      <c r="U15" s="444"/>
      <c r="V15" s="444"/>
      <c r="W15" s="443"/>
      <c r="X15" s="443"/>
      <c r="Y15" s="444"/>
      <c r="Z15" s="443"/>
      <c r="AA15" s="443"/>
      <c r="AB15" s="446"/>
      <c r="AC15" s="446"/>
      <c r="AD15" s="446"/>
      <c r="AE15" s="446"/>
      <c r="AF15" s="447"/>
      <c r="AG15" s="447"/>
      <c r="AH15" s="447"/>
      <c r="AI15" s="445"/>
      <c r="AJ15" s="445"/>
      <c r="AK15" s="466">
        <f t="shared" si="1"/>
        <v>0</v>
      </c>
      <c r="AL15" s="190">
        <f t="shared" si="0"/>
        <v>0</v>
      </c>
      <c r="AM15" s="33"/>
    </row>
    <row r="16" spans="1:41" ht="13.5" customHeight="1">
      <c r="A16" s="1273"/>
      <c r="B16" s="2027"/>
      <c r="C16" s="1338"/>
      <c r="D16" s="48" t="s">
        <v>257</v>
      </c>
      <c r="E16" s="594">
        <v>400</v>
      </c>
      <c r="F16" s="430"/>
      <c r="G16" s="431"/>
      <c r="H16" s="431"/>
      <c r="I16" s="431"/>
      <c r="J16" s="431"/>
      <c r="K16" s="431"/>
      <c r="L16" s="431"/>
      <c r="M16" s="431"/>
      <c r="N16" s="427"/>
      <c r="O16" s="427"/>
      <c r="P16" s="365"/>
      <c r="Q16" s="365"/>
      <c r="R16" s="365"/>
      <c r="S16" s="365"/>
      <c r="T16" s="365"/>
      <c r="U16" s="365"/>
      <c r="V16" s="365"/>
      <c r="W16" s="365"/>
      <c r="X16" s="365"/>
      <c r="Y16" s="365"/>
      <c r="Z16" s="365"/>
      <c r="AA16" s="365"/>
      <c r="AB16" s="365"/>
      <c r="AC16" s="365"/>
      <c r="AD16" s="365"/>
      <c r="AE16" s="436"/>
      <c r="AF16" s="436"/>
      <c r="AG16" s="436"/>
      <c r="AH16" s="365"/>
      <c r="AI16" s="365"/>
      <c r="AJ16" s="365"/>
      <c r="AK16" s="466">
        <f t="shared" si="1"/>
        <v>0</v>
      </c>
      <c r="AL16" s="203">
        <f t="shared" si="0"/>
        <v>0</v>
      </c>
      <c r="AM16" s="33"/>
    </row>
    <row r="17" spans="1:40" ht="13.5" customHeight="1" thickBot="1">
      <c r="A17" s="1273"/>
      <c r="B17" s="2027"/>
      <c r="C17" s="1338"/>
      <c r="D17" s="48" t="s">
        <v>258</v>
      </c>
      <c r="E17" s="594">
        <v>1140</v>
      </c>
      <c r="F17" s="430"/>
      <c r="G17" s="431"/>
      <c r="H17" s="431"/>
      <c r="I17" s="431"/>
      <c r="J17" s="431"/>
      <c r="K17" s="431"/>
      <c r="L17" s="431"/>
      <c r="M17" s="431"/>
      <c r="N17" s="431"/>
      <c r="O17" s="431"/>
      <c r="P17" s="365"/>
      <c r="Q17" s="365"/>
      <c r="R17" s="365"/>
      <c r="S17" s="365"/>
      <c r="T17" s="365"/>
      <c r="U17" s="365"/>
      <c r="V17" s="365"/>
      <c r="W17" s="365"/>
      <c r="X17" s="365"/>
      <c r="Y17" s="365"/>
      <c r="Z17" s="365"/>
      <c r="AA17" s="365"/>
      <c r="AB17" s="365"/>
      <c r="AC17" s="365"/>
      <c r="AD17" s="365"/>
      <c r="AE17" s="436"/>
      <c r="AF17" s="436"/>
      <c r="AG17" s="436"/>
      <c r="AH17" s="365"/>
      <c r="AI17" s="365"/>
      <c r="AJ17" s="365"/>
      <c r="AK17" s="466">
        <f t="shared" si="1"/>
        <v>0</v>
      </c>
      <c r="AL17" s="203">
        <f t="shared" si="0"/>
        <v>0</v>
      </c>
      <c r="AM17" s="33"/>
    </row>
    <row r="18" spans="1:40" ht="13.5" customHeight="1" thickBot="1">
      <c r="A18" s="1273"/>
      <c r="B18" s="2027"/>
      <c r="C18" s="1338"/>
      <c r="D18" s="48" t="s">
        <v>259</v>
      </c>
      <c r="E18" s="594">
        <v>1152</v>
      </c>
      <c r="F18" s="430"/>
      <c r="G18" s="431"/>
      <c r="H18" s="431"/>
      <c r="I18" s="431"/>
      <c r="J18" s="431"/>
      <c r="K18" s="431"/>
      <c r="L18" s="431"/>
      <c r="M18" s="431"/>
      <c r="N18" s="431"/>
      <c r="O18" s="431"/>
      <c r="P18" s="427"/>
      <c r="Q18" s="427"/>
      <c r="R18" s="427"/>
      <c r="S18" s="427"/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48"/>
      <c r="AF18" s="448"/>
      <c r="AG18" s="448"/>
      <c r="AH18" s="427"/>
      <c r="AI18" s="427"/>
      <c r="AJ18" s="427"/>
      <c r="AK18" s="466">
        <f t="shared" si="1"/>
        <v>0</v>
      </c>
      <c r="AL18" s="203">
        <f t="shared" si="0"/>
        <v>0</v>
      </c>
      <c r="AM18" s="2480" t="s">
        <v>260</v>
      </c>
      <c r="AN18" s="2491" t="s">
        <v>261</v>
      </c>
    </row>
    <row r="19" spans="1:40" ht="13.5" customHeight="1">
      <c r="A19" s="1273"/>
      <c r="B19" s="2027"/>
      <c r="C19" s="1338"/>
      <c r="D19" s="48" t="s">
        <v>262</v>
      </c>
      <c r="E19" s="594">
        <v>533</v>
      </c>
      <c r="F19" s="415"/>
      <c r="G19" s="365"/>
      <c r="H19" s="365"/>
      <c r="I19" s="365"/>
      <c r="J19" s="365"/>
      <c r="K19" s="365"/>
      <c r="L19" s="365"/>
      <c r="M19" s="365"/>
      <c r="N19" s="365"/>
      <c r="O19" s="365"/>
      <c r="P19" s="365"/>
      <c r="Q19" s="365"/>
      <c r="R19" s="365"/>
      <c r="S19" s="365"/>
      <c r="T19" s="365"/>
      <c r="U19" s="365"/>
      <c r="V19" s="365"/>
      <c r="W19" s="365"/>
      <c r="X19" s="365"/>
      <c r="Y19" s="365"/>
      <c r="Z19" s="365"/>
      <c r="AA19" s="365"/>
      <c r="AB19" s="365"/>
      <c r="AC19" s="365"/>
      <c r="AD19" s="365"/>
      <c r="AE19" s="436"/>
      <c r="AF19" s="436"/>
      <c r="AG19" s="436"/>
      <c r="AH19" s="365"/>
      <c r="AI19" s="365"/>
      <c r="AJ19" s="365"/>
      <c r="AK19" s="466">
        <f t="shared" si="1"/>
        <v>0</v>
      </c>
      <c r="AL19" s="203">
        <f t="shared" si="0"/>
        <v>0</v>
      </c>
      <c r="AM19" s="2481"/>
      <c r="AN19" s="2492"/>
    </row>
    <row r="20" spans="1:40" ht="13.2" customHeight="1" thickBot="1">
      <c r="A20" s="1273"/>
      <c r="B20" s="2027"/>
      <c r="C20" s="1338"/>
      <c r="D20" s="204" t="s">
        <v>263</v>
      </c>
      <c r="E20" s="726">
        <v>414</v>
      </c>
      <c r="F20" s="449"/>
      <c r="G20" s="449"/>
      <c r="H20" s="450"/>
      <c r="I20" s="450"/>
      <c r="J20" s="450"/>
      <c r="K20" s="450"/>
      <c r="L20" s="450"/>
      <c r="M20" s="450"/>
      <c r="N20" s="450"/>
      <c r="O20" s="450"/>
      <c r="P20" s="450"/>
      <c r="Q20" s="450"/>
      <c r="R20" s="450"/>
      <c r="S20" s="450"/>
      <c r="T20" s="450"/>
      <c r="U20" s="450"/>
      <c r="V20" s="450"/>
      <c r="W20" s="450"/>
      <c r="X20" s="450"/>
      <c r="Y20" s="450"/>
      <c r="Z20" s="450"/>
      <c r="AA20" s="450"/>
      <c r="AB20" s="450"/>
      <c r="AC20" s="451"/>
      <c r="AD20" s="451"/>
      <c r="AE20" s="451"/>
      <c r="AF20" s="451"/>
      <c r="AG20" s="451"/>
      <c r="AH20" s="451"/>
      <c r="AI20" s="451"/>
      <c r="AJ20" s="450"/>
      <c r="AK20" s="466">
        <f t="shared" si="1"/>
        <v>0</v>
      </c>
      <c r="AL20" s="190">
        <f t="shared" si="0"/>
        <v>0</v>
      </c>
      <c r="AM20" s="1271">
        <f>SUM(AK5:AK21)</f>
        <v>0</v>
      </c>
      <c r="AN20" s="205">
        <f>SUM(AL5:AL21)</f>
        <v>0</v>
      </c>
    </row>
    <row r="21" spans="1:40" ht="13.2" customHeight="1" thickBot="1">
      <c r="A21" s="1273"/>
      <c r="B21" s="2027"/>
      <c r="C21" s="1338"/>
      <c r="D21" s="1033" t="s">
        <v>264</v>
      </c>
      <c r="E21" s="1034">
        <v>394</v>
      </c>
      <c r="F21" s="1339"/>
      <c r="G21" s="1339"/>
      <c r="H21" s="1340"/>
      <c r="I21" s="1340"/>
      <c r="J21" s="1340"/>
      <c r="K21" s="1340"/>
      <c r="L21" s="1340"/>
      <c r="M21" s="1340"/>
      <c r="N21" s="1340"/>
      <c r="O21" s="1340"/>
      <c r="P21" s="1340"/>
      <c r="Q21" s="1340"/>
      <c r="R21" s="1340"/>
      <c r="S21" s="1340"/>
      <c r="T21" s="1340"/>
      <c r="U21" s="1340"/>
      <c r="V21" s="1340"/>
      <c r="W21" s="1340"/>
      <c r="X21" s="1340"/>
      <c r="Y21" s="1340"/>
      <c r="Z21" s="1340"/>
      <c r="AA21" s="1340"/>
      <c r="AB21" s="452"/>
      <c r="AC21" s="452"/>
      <c r="AD21" s="452"/>
      <c r="AE21" s="452"/>
      <c r="AF21" s="452"/>
      <c r="AG21" s="452"/>
      <c r="AH21" s="452"/>
      <c r="AI21" s="452"/>
      <c r="AJ21" s="452"/>
      <c r="AK21" s="549">
        <f t="shared" si="1"/>
        <v>0</v>
      </c>
      <c r="AL21" s="203">
        <f t="shared" si="0"/>
        <v>0</v>
      </c>
      <c r="AM21" s="206"/>
      <c r="AN21" s="206"/>
    </row>
    <row r="22" spans="1:40" ht="13.5" customHeight="1">
      <c r="A22" s="1273"/>
      <c r="B22" s="1275" t="s">
        <v>1181</v>
      </c>
      <c r="C22" s="35" t="s">
        <v>1011</v>
      </c>
      <c r="D22" s="1341" t="s">
        <v>265</v>
      </c>
      <c r="E22" s="1342">
        <v>1249</v>
      </c>
      <c r="F22" s="1343"/>
      <c r="G22" s="1343"/>
      <c r="H22" s="453"/>
      <c r="I22" s="453"/>
      <c r="J22" s="453"/>
      <c r="K22" s="453"/>
      <c r="L22" s="453"/>
      <c r="M22" s="453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3"/>
      <c r="AD22" s="453"/>
      <c r="AE22" s="453"/>
      <c r="AF22" s="453"/>
      <c r="AG22" s="453"/>
      <c r="AH22" s="453"/>
      <c r="AI22" s="453"/>
      <c r="AJ22" s="453"/>
      <c r="AK22" s="678">
        <f>SUM(F22:AJ22)</f>
        <v>0</v>
      </c>
      <c r="AL22" s="675">
        <f t="shared" si="0"/>
        <v>0</v>
      </c>
      <c r="AM22"/>
      <c r="AN22" s="33"/>
    </row>
    <row r="23" spans="1:40" ht="13.5" customHeight="1">
      <c r="A23" s="1273"/>
      <c r="B23" s="1278" t="s">
        <v>1181</v>
      </c>
      <c r="C23" s="17"/>
      <c r="D23" s="972" t="s">
        <v>774</v>
      </c>
      <c r="E23" s="1030">
        <v>964</v>
      </c>
      <c r="F23" s="429"/>
      <c r="G23" s="429"/>
      <c r="H23" s="437"/>
      <c r="I23" s="437"/>
      <c r="J23" s="437"/>
      <c r="K23" s="437"/>
      <c r="L23" s="437"/>
      <c r="M23" s="437"/>
      <c r="N23" s="437"/>
      <c r="O23" s="437"/>
      <c r="P23" s="437"/>
      <c r="Q23" s="437"/>
      <c r="R23" s="437"/>
      <c r="S23" s="437"/>
      <c r="T23" s="437"/>
      <c r="U23" s="437"/>
      <c r="V23" s="437"/>
      <c r="W23" s="437"/>
      <c r="X23" s="437"/>
      <c r="Y23" s="437"/>
      <c r="Z23" s="437"/>
      <c r="AA23" s="437"/>
      <c r="AB23" s="437"/>
      <c r="AC23" s="437"/>
      <c r="AD23" s="437"/>
      <c r="AE23" s="437"/>
      <c r="AF23" s="437"/>
      <c r="AG23" s="437"/>
      <c r="AH23" s="437"/>
      <c r="AI23" s="437"/>
      <c r="AJ23" s="437"/>
      <c r="AK23" s="679">
        <f t="shared" ref="AK23:AK28" si="2">SUM(F23:AJ23)</f>
        <v>0</v>
      </c>
      <c r="AL23" s="676">
        <f t="shared" si="0"/>
        <v>0</v>
      </c>
      <c r="AM23"/>
      <c r="AN23" s="33"/>
    </row>
    <row r="24" spans="1:40" ht="15" customHeight="1">
      <c r="A24" s="1273"/>
      <c r="B24" s="1278" t="s">
        <v>1181</v>
      </c>
      <c r="C24" s="17" t="s">
        <v>1012</v>
      </c>
      <c r="D24" s="972" t="s">
        <v>1144</v>
      </c>
      <c r="E24" s="1030">
        <v>953</v>
      </c>
      <c r="F24" s="429"/>
      <c r="G24" s="429"/>
      <c r="H24" s="437"/>
      <c r="I24" s="437"/>
      <c r="J24" s="437"/>
      <c r="K24" s="437"/>
      <c r="L24" s="437"/>
      <c r="M24" s="437"/>
      <c r="N24" s="437"/>
      <c r="O24" s="437"/>
      <c r="P24" s="437"/>
      <c r="Q24" s="437"/>
      <c r="R24" s="437"/>
      <c r="S24" s="437"/>
      <c r="T24" s="437"/>
      <c r="U24" s="437"/>
      <c r="V24" s="437"/>
      <c r="W24" s="437"/>
      <c r="X24" s="437"/>
      <c r="Y24" s="437"/>
      <c r="Z24" s="437"/>
      <c r="AA24" s="437"/>
      <c r="AB24" s="437"/>
      <c r="AC24" s="437"/>
      <c r="AD24" s="437"/>
      <c r="AE24" s="437"/>
      <c r="AF24" s="437"/>
      <c r="AG24" s="437"/>
      <c r="AH24" s="437"/>
      <c r="AI24" s="437"/>
      <c r="AJ24" s="437"/>
      <c r="AK24" s="680">
        <f t="shared" si="2"/>
        <v>0</v>
      </c>
      <c r="AL24" s="677">
        <f t="shared" si="0"/>
        <v>0</v>
      </c>
      <c r="AM24"/>
      <c r="AN24" s="33"/>
    </row>
    <row r="25" spans="1:40" ht="13.2" customHeight="1">
      <c r="A25" s="1273"/>
      <c r="B25" s="1278" t="s">
        <v>1307</v>
      </c>
      <c r="C25" s="1031" t="s">
        <v>1175</v>
      </c>
      <c r="D25" s="1194" t="s">
        <v>1180</v>
      </c>
      <c r="E25" s="1195">
        <v>1662</v>
      </c>
      <c r="F25" s="431"/>
      <c r="G25" s="431"/>
      <c r="H25" s="431"/>
      <c r="I25" s="431"/>
      <c r="J25" s="431"/>
      <c r="K25" s="431"/>
      <c r="L25" s="431"/>
      <c r="M25" s="431"/>
      <c r="N25" s="431"/>
      <c r="O25" s="431"/>
      <c r="P25" s="431"/>
      <c r="Q25" s="416"/>
      <c r="R25" s="431"/>
      <c r="S25" s="431"/>
      <c r="T25" s="431"/>
      <c r="U25" s="431"/>
      <c r="V25" s="431"/>
      <c r="W25" s="431"/>
      <c r="X25" s="431"/>
      <c r="Y25" s="431"/>
      <c r="Z25" s="431"/>
      <c r="AA25" s="431"/>
      <c r="AB25" s="431"/>
      <c r="AC25" s="431"/>
      <c r="AD25" s="416"/>
      <c r="AE25" s="416"/>
      <c r="AF25" s="416"/>
      <c r="AG25" s="416"/>
      <c r="AH25" s="416"/>
      <c r="AI25" s="416"/>
      <c r="AJ25" s="416"/>
      <c r="AK25" s="970">
        <f>SUM(F25:AJ25)</f>
        <v>0</v>
      </c>
      <c r="AL25" s="676">
        <f t="shared" si="0"/>
        <v>0</v>
      </c>
      <c r="AM25"/>
      <c r="AN25"/>
    </row>
    <row r="26" spans="1:40" ht="13.2" customHeight="1">
      <c r="A26" s="1273"/>
      <c r="B26" s="1347" t="s">
        <v>1181</v>
      </c>
      <c r="C26" s="1031" t="s">
        <v>1306</v>
      </c>
      <c r="D26" s="973" t="s">
        <v>1305</v>
      </c>
      <c r="E26" s="1030">
        <v>1804</v>
      </c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5"/>
      <c r="Q26" s="365"/>
      <c r="R26" s="365"/>
      <c r="S26" s="365"/>
      <c r="T26" s="365"/>
      <c r="U26" s="365"/>
      <c r="V26" s="365"/>
      <c r="W26" s="365"/>
      <c r="X26" s="365"/>
      <c r="Y26" s="365"/>
      <c r="Z26" s="365"/>
      <c r="AA26" s="365"/>
      <c r="AB26" s="365"/>
      <c r="AC26" s="365"/>
      <c r="AD26" s="436"/>
      <c r="AE26" s="436"/>
      <c r="AF26" s="436"/>
      <c r="AG26" s="436"/>
      <c r="AH26" s="436"/>
      <c r="AI26" s="436"/>
      <c r="AJ26" s="436"/>
      <c r="AK26" s="970">
        <f>SUM(F26:AJ26)</f>
        <v>0</v>
      </c>
      <c r="AL26" s="676">
        <f t="shared" si="0"/>
        <v>0</v>
      </c>
      <c r="AM26"/>
      <c r="AN26"/>
    </row>
    <row r="27" spans="1:40" ht="15" customHeight="1">
      <c r="A27" s="1273"/>
      <c r="B27" s="1278" t="s">
        <v>1181</v>
      </c>
      <c r="C27" s="17" t="s">
        <v>1208</v>
      </c>
      <c r="D27" s="972" t="s">
        <v>1210</v>
      </c>
      <c r="E27" s="2260">
        <v>1120</v>
      </c>
      <c r="F27" s="436"/>
      <c r="G27" s="436"/>
      <c r="H27" s="436"/>
      <c r="I27" s="436"/>
      <c r="J27" s="436"/>
      <c r="K27" s="436">
        <v>1680</v>
      </c>
      <c r="L27" s="436"/>
      <c r="M27" s="436"/>
      <c r="N27" s="436"/>
      <c r="O27" s="436"/>
      <c r="P27" s="436"/>
      <c r="Q27" s="436"/>
      <c r="R27" s="436">
        <v>1680</v>
      </c>
      <c r="S27" s="436"/>
      <c r="T27" s="436"/>
      <c r="U27" s="436"/>
      <c r="V27" s="436"/>
      <c r="W27" s="436"/>
      <c r="X27" s="436"/>
      <c r="Y27" s="436">
        <v>1680</v>
      </c>
      <c r="Z27" s="436"/>
      <c r="AA27" s="436"/>
      <c r="AB27" s="436"/>
      <c r="AC27" s="436"/>
      <c r="AD27" s="436"/>
      <c r="AE27" s="436"/>
      <c r="AF27" s="436">
        <v>1680</v>
      </c>
      <c r="AG27" s="436"/>
      <c r="AH27" s="436"/>
      <c r="AI27" s="436">
        <v>3360</v>
      </c>
      <c r="AJ27" s="2071"/>
      <c r="AK27" s="679">
        <f t="shared" si="2"/>
        <v>10080</v>
      </c>
      <c r="AL27" s="676">
        <f t="shared" si="0"/>
        <v>11289600</v>
      </c>
      <c r="AM27"/>
      <c r="AN27" s="33"/>
    </row>
    <row r="28" spans="1:40" ht="15" customHeight="1">
      <c r="A28" s="1273"/>
      <c r="B28" s="1278" t="s">
        <v>1181</v>
      </c>
      <c r="C28" s="17" t="s">
        <v>1209</v>
      </c>
      <c r="D28" s="972" t="s">
        <v>1211</v>
      </c>
      <c r="E28" s="2260">
        <v>1200</v>
      </c>
      <c r="F28" s="429"/>
      <c r="G28" s="429"/>
      <c r="H28" s="437"/>
      <c r="I28" s="437"/>
      <c r="J28" s="437"/>
      <c r="K28" s="437">
        <v>1680</v>
      </c>
      <c r="L28" s="437"/>
      <c r="M28" s="437"/>
      <c r="N28" s="437"/>
      <c r="O28" s="437"/>
      <c r="P28" s="437"/>
      <c r="Q28" s="437"/>
      <c r="R28" s="437">
        <v>1680</v>
      </c>
      <c r="S28" s="437"/>
      <c r="T28" s="437"/>
      <c r="U28" s="437"/>
      <c r="V28" s="437"/>
      <c r="W28" s="437"/>
      <c r="X28" s="437"/>
      <c r="Y28" s="437">
        <v>1680</v>
      </c>
      <c r="Z28" s="437"/>
      <c r="AA28" s="437"/>
      <c r="AB28" s="437"/>
      <c r="AC28" s="437"/>
      <c r="AD28" s="437"/>
      <c r="AE28" s="437"/>
      <c r="AF28" s="437">
        <v>1680</v>
      </c>
      <c r="AG28" s="437"/>
      <c r="AH28" s="437"/>
      <c r="AI28" s="437">
        <v>3360</v>
      </c>
      <c r="AJ28" s="2162"/>
      <c r="AK28" s="680">
        <f t="shared" si="2"/>
        <v>10080</v>
      </c>
      <c r="AL28" s="677">
        <f t="shared" si="0"/>
        <v>12096000</v>
      </c>
      <c r="AM28"/>
      <c r="AN28" s="33"/>
    </row>
    <row r="29" spans="1:40" ht="15" customHeight="1">
      <c r="A29" s="1273"/>
      <c r="B29" s="1278" t="s">
        <v>1181</v>
      </c>
      <c r="C29" s="17" t="s">
        <v>1095</v>
      </c>
      <c r="D29" s="972" t="s">
        <v>967</v>
      </c>
      <c r="E29" s="2260">
        <v>1089</v>
      </c>
      <c r="F29" s="429"/>
      <c r="G29" s="429"/>
      <c r="H29" s="437"/>
      <c r="I29" s="437"/>
      <c r="J29" s="437"/>
      <c r="K29" s="437">
        <v>1680</v>
      </c>
      <c r="L29" s="437"/>
      <c r="M29" s="437"/>
      <c r="N29" s="437"/>
      <c r="O29" s="437"/>
      <c r="P29" s="437"/>
      <c r="Q29" s="437"/>
      <c r="R29" s="437">
        <v>1680</v>
      </c>
      <c r="S29" s="437"/>
      <c r="T29" s="437"/>
      <c r="U29" s="437"/>
      <c r="V29" s="437"/>
      <c r="W29" s="437"/>
      <c r="X29" s="437"/>
      <c r="Y29" s="437">
        <v>1680</v>
      </c>
      <c r="Z29" s="437"/>
      <c r="AA29" s="437"/>
      <c r="AB29" s="437"/>
      <c r="AC29" s="437"/>
      <c r="AD29" s="437"/>
      <c r="AE29" s="437"/>
      <c r="AF29" s="437">
        <v>1680</v>
      </c>
      <c r="AG29" s="437"/>
      <c r="AH29" s="437"/>
      <c r="AI29" s="437">
        <v>1680</v>
      </c>
      <c r="AJ29" s="2162"/>
      <c r="AK29" s="680">
        <f>SUM(F29:AJ29)</f>
        <v>8400</v>
      </c>
      <c r="AL29" s="677">
        <f t="shared" si="0"/>
        <v>9147600</v>
      </c>
      <c r="AM29"/>
      <c r="AN29" s="33"/>
    </row>
    <row r="30" spans="1:40" ht="15" customHeight="1">
      <c r="A30" s="1273"/>
      <c r="B30" s="1278" t="s">
        <v>1181</v>
      </c>
      <c r="C30" s="17" t="s">
        <v>1124</v>
      </c>
      <c r="D30" s="972" t="s">
        <v>968</v>
      </c>
      <c r="E30" s="2260">
        <v>1158</v>
      </c>
      <c r="F30" s="429"/>
      <c r="G30" s="429"/>
      <c r="H30" s="437"/>
      <c r="I30" s="437"/>
      <c r="J30" s="437"/>
      <c r="K30" s="437">
        <v>1680</v>
      </c>
      <c r="L30" s="437"/>
      <c r="M30" s="437"/>
      <c r="N30" s="437"/>
      <c r="O30" s="437"/>
      <c r="P30" s="437"/>
      <c r="Q30" s="437"/>
      <c r="R30" s="437">
        <v>1680</v>
      </c>
      <c r="S30" s="437"/>
      <c r="T30" s="437"/>
      <c r="U30" s="437"/>
      <c r="V30" s="437"/>
      <c r="W30" s="437"/>
      <c r="X30" s="437"/>
      <c r="Y30" s="437">
        <v>1680</v>
      </c>
      <c r="Z30" s="437"/>
      <c r="AA30" s="437"/>
      <c r="AB30" s="437"/>
      <c r="AC30" s="437"/>
      <c r="AD30" s="437"/>
      <c r="AE30" s="437"/>
      <c r="AF30" s="437">
        <v>1680</v>
      </c>
      <c r="AG30" s="437"/>
      <c r="AH30" s="437"/>
      <c r="AI30" s="437">
        <v>1680</v>
      </c>
      <c r="AJ30" s="2162"/>
      <c r="AK30" s="680">
        <f>SUM(F30:AJ30)</f>
        <v>8400</v>
      </c>
      <c r="AL30" s="677">
        <f t="shared" si="0"/>
        <v>9727200</v>
      </c>
      <c r="AM30"/>
      <c r="AN30" s="33"/>
    </row>
    <row r="31" spans="1:40" ht="13.2" customHeight="1">
      <c r="A31" s="1273"/>
      <c r="B31" s="1278" t="s">
        <v>1181</v>
      </c>
      <c r="C31" s="17" t="s">
        <v>1104</v>
      </c>
      <c r="D31" s="1344" t="s">
        <v>1099</v>
      </c>
      <c r="E31" s="1345">
        <v>2157</v>
      </c>
      <c r="F31" s="365"/>
      <c r="G31" s="365"/>
      <c r="H31" s="365"/>
      <c r="I31" s="365"/>
      <c r="J31" s="365"/>
      <c r="K31" s="365"/>
      <c r="L31" s="365"/>
      <c r="M31" s="365"/>
      <c r="N31" s="365"/>
      <c r="O31" s="365"/>
      <c r="P31" s="365"/>
      <c r="Q31" s="365"/>
      <c r="R31" s="365"/>
      <c r="S31" s="365"/>
      <c r="T31" s="365"/>
      <c r="U31" s="365"/>
      <c r="V31" s="365"/>
      <c r="W31" s="365"/>
      <c r="X31" s="365"/>
      <c r="Y31" s="365"/>
      <c r="Z31" s="365"/>
      <c r="AA31" s="365"/>
      <c r="AB31" s="365"/>
      <c r="AC31" s="365"/>
      <c r="AD31" s="436"/>
      <c r="AE31" s="436"/>
      <c r="AF31" s="436"/>
      <c r="AG31" s="436"/>
      <c r="AH31" s="436"/>
      <c r="AI31" s="436"/>
      <c r="AJ31" s="436"/>
      <c r="AK31" s="680">
        <f>SUM(F31:AJ31)</f>
        <v>0</v>
      </c>
      <c r="AL31" s="677">
        <f t="shared" si="0"/>
        <v>0</v>
      </c>
      <c r="AM31" s="33"/>
      <c r="AN31" s="33"/>
    </row>
    <row r="32" spans="1:40" ht="13.2" customHeight="1">
      <c r="A32" s="1273"/>
      <c r="B32" s="1278" t="s">
        <v>1181</v>
      </c>
      <c r="C32" s="578" t="s">
        <v>1182</v>
      </c>
      <c r="D32" s="972" t="s">
        <v>1097</v>
      </c>
      <c r="E32" s="1030">
        <v>1023</v>
      </c>
      <c r="F32" s="49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437"/>
      <c r="AE32" s="437"/>
      <c r="AF32" s="437"/>
      <c r="AG32" s="437"/>
      <c r="AH32" s="437"/>
      <c r="AI32" s="437"/>
      <c r="AJ32" s="437"/>
      <c r="AK32" s="680">
        <f>SUM(F32:AJ32)</f>
        <v>0</v>
      </c>
      <c r="AL32" s="677">
        <f t="shared" si="0"/>
        <v>0</v>
      </c>
      <c r="AM32" s="33"/>
      <c r="AN32" s="33"/>
    </row>
    <row r="33" spans="1:40" ht="13.5" customHeight="1">
      <c r="A33" s="1273"/>
      <c r="B33" s="1278" t="s">
        <v>1181</v>
      </c>
      <c r="C33" s="17" t="s">
        <v>1103</v>
      </c>
      <c r="D33" s="1344" t="s">
        <v>1098</v>
      </c>
      <c r="E33" s="1030">
        <v>4526</v>
      </c>
      <c r="F33" s="49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437"/>
      <c r="AF33" s="437"/>
      <c r="AG33" s="437"/>
      <c r="AH33" s="437"/>
      <c r="AI33" s="437"/>
      <c r="AJ33" s="437"/>
      <c r="AK33" s="680">
        <f t="shared" si="1"/>
        <v>0</v>
      </c>
      <c r="AL33" s="677">
        <f t="shared" si="0"/>
        <v>0</v>
      </c>
      <c r="AM33" s="33"/>
      <c r="AN33" s="33"/>
    </row>
    <row r="34" spans="1:40" ht="13.2" customHeight="1">
      <c r="A34" s="1273"/>
      <c r="B34" s="1278" t="s">
        <v>1181</v>
      </c>
      <c r="C34" s="1031" t="s">
        <v>1104</v>
      </c>
      <c r="D34" s="1346" t="s">
        <v>1100</v>
      </c>
      <c r="E34" s="1030">
        <v>2157</v>
      </c>
      <c r="F34" s="365"/>
      <c r="G34" s="365"/>
      <c r="H34" s="365"/>
      <c r="I34" s="365"/>
      <c r="J34" s="365"/>
      <c r="K34" s="365"/>
      <c r="L34" s="365"/>
      <c r="M34" s="365"/>
      <c r="N34" s="365"/>
      <c r="O34" s="365"/>
      <c r="P34" s="365"/>
      <c r="Q34" s="365"/>
      <c r="R34" s="365"/>
      <c r="S34" s="365"/>
      <c r="T34" s="365"/>
      <c r="U34" s="365"/>
      <c r="V34" s="365"/>
      <c r="W34" s="365"/>
      <c r="X34" s="365"/>
      <c r="Y34" s="365"/>
      <c r="Z34" s="365"/>
      <c r="AA34" s="365"/>
      <c r="AB34" s="365"/>
      <c r="AC34" s="365"/>
      <c r="AD34" s="436"/>
      <c r="AE34" s="436"/>
      <c r="AF34" s="436"/>
      <c r="AG34" s="436"/>
      <c r="AH34" s="436"/>
      <c r="AI34" s="436"/>
      <c r="AJ34" s="436"/>
      <c r="AK34" s="680">
        <f t="shared" si="1"/>
        <v>0</v>
      </c>
      <c r="AL34" s="677">
        <f t="shared" si="0"/>
        <v>0</v>
      </c>
      <c r="AM34" s="33"/>
      <c r="AN34" s="33"/>
    </row>
    <row r="35" spans="1:40" ht="13.2" customHeight="1">
      <c r="A35" s="1273"/>
      <c r="B35" s="1278" t="s">
        <v>1181</v>
      </c>
      <c r="C35" s="1031" t="s">
        <v>1022</v>
      </c>
      <c r="D35" s="973" t="s">
        <v>1106</v>
      </c>
      <c r="E35" s="1030">
        <v>850</v>
      </c>
      <c r="F35" s="431"/>
      <c r="G35" s="431"/>
      <c r="H35" s="431"/>
      <c r="I35" s="431"/>
      <c r="J35" s="431"/>
      <c r="K35" s="431"/>
      <c r="L35" s="431"/>
      <c r="M35" s="431"/>
      <c r="N35" s="431"/>
      <c r="O35" s="431"/>
      <c r="P35" s="431"/>
      <c r="Q35" s="431"/>
      <c r="R35" s="431"/>
      <c r="S35" s="431"/>
      <c r="T35" s="431"/>
      <c r="U35" s="431"/>
      <c r="V35" s="431"/>
      <c r="W35" s="431"/>
      <c r="X35" s="431"/>
      <c r="Y35" s="431"/>
      <c r="Z35" s="431"/>
      <c r="AA35" s="431"/>
      <c r="AB35" s="431"/>
      <c r="AC35" s="431"/>
      <c r="AD35" s="416"/>
      <c r="AE35" s="416"/>
      <c r="AF35" s="416"/>
      <c r="AG35" s="416"/>
      <c r="AH35" s="416"/>
      <c r="AI35" s="416"/>
      <c r="AJ35" s="416"/>
      <c r="AK35" s="970">
        <f>SUM(F35:AJ35)</f>
        <v>0</v>
      </c>
      <c r="AL35" s="676">
        <f t="shared" si="0"/>
        <v>0</v>
      </c>
      <c r="AM35"/>
      <c r="AN35"/>
    </row>
    <row r="36" spans="1:40" ht="13.2" customHeight="1">
      <c r="A36" s="1273"/>
      <c r="B36" s="1278" t="s">
        <v>1181</v>
      </c>
      <c r="C36" s="1031" t="s">
        <v>1023</v>
      </c>
      <c r="D36" s="973" t="s">
        <v>1107</v>
      </c>
      <c r="E36" s="1030">
        <v>936</v>
      </c>
      <c r="F36" s="365"/>
      <c r="G36" s="365"/>
      <c r="H36" s="365"/>
      <c r="I36" s="365"/>
      <c r="J36" s="365"/>
      <c r="K36" s="365"/>
      <c r="L36" s="365"/>
      <c r="M36" s="365"/>
      <c r="N36" s="365"/>
      <c r="O36" s="365"/>
      <c r="P36" s="365"/>
      <c r="Q36" s="365"/>
      <c r="R36" s="365"/>
      <c r="S36" s="365"/>
      <c r="T36" s="365"/>
      <c r="U36" s="365"/>
      <c r="V36" s="365"/>
      <c r="W36" s="365"/>
      <c r="X36" s="365"/>
      <c r="Y36" s="365"/>
      <c r="Z36" s="365"/>
      <c r="AA36" s="365"/>
      <c r="AB36" s="365"/>
      <c r="AC36" s="365"/>
      <c r="AD36" s="436"/>
      <c r="AE36" s="436"/>
      <c r="AF36" s="436"/>
      <c r="AG36" s="436"/>
      <c r="AH36" s="436"/>
      <c r="AI36" s="436"/>
      <c r="AJ36" s="436"/>
      <c r="AK36" s="970">
        <f>SUM(F36:AJ36)</f>
        <v>0</v>
      </c>
      <c r="AL36" s="676">
        <f t="shared" si="0"/>
        <v>0</v>
      </c>
      <c r="AM36"/>
      <c r="AN36"/>
    </row>
    <row r="37" spans="1:40" ht="13.2" customHeight="1">
      <c r="A37" s="1273"/>
      <c r="B37" s="1351" t="s">
        <v>1389</v>
      </c>
      <c r="C37" s="17" t="s">
        <v>1105</v>
      </c>
      <c r="D37" s="601" t="s">
        <v>1101</v>
      </c>
      <c r="E37" s="919">
        <v>684</v>
      </c>
      <c r="F37" s="365"/>
      <c r="G37" s="365"/>
      <c r="H37" s="365"/>
      <c r="I37" s="365"/>
      <c r="J37" s="365"/>
      <c r="K37" s="365"/>
      <c r="L37" s="365"/>
      <c r="M37" s="365"/>
      <c r="N37" s="365"/>
      <c r="O37" s="365"/>
      <c r="P37" s="365"/>
      <c r="Q37" s="365"/>
      <c r="R37" s="365"/>
      <c r="S37" s="365"/>
      <c r="T37" s="365"/>
      <c r="U37" s="365"/>
      <c r="V37" s="365"/>
      <c r="W37" s="365"/>
      <c r="X37" s="365"/>
      <c r="Y37" s="365"/>
      <c r="Z37" s="365"/>
      <c r="AA37" s="365"/>
      <c r="AB37" s="365"/>
      <c r="AC37" s="365"/>
      <c r="AD37" s="436"/>
      <c r="AE37" s="436"/>
      <c r="AF37" s="436"/>
      <c r="AG37" s="436"/>
      <c r="AH37" s="436"/>
      <c r="AI37" s="436"/>
      <c r="AJ37" s="436"/>
      <c r="AK37" s="736">
        <f t="shared" si="1"/>
        <v>0</v>
      </c>
      <c r="AL37" s="735">
        <f t="shared" ref="AL37:AL68" si="3">E37*AK37</f>
        <v>0</v>
      </c>
      <c r="AM37" s="1352" t="s">
        <v>1129</v>
      </c>
      <c r="AN37"/>
    </row>
    <row r="38" spans="1:40" ht="13.5" customHeight="1">
      <c r="A38" s="1273"/>
      <c r="B38" s="1351" t="s">
        <v>1389</v>
      </c>
      <c r="C38" s="17" t="s">
        <v>1126</v>
      </c>
      <c r="D38" s="602" t="s">
        <v>970</v>
      </c>
      <c r="E38" s="919">
        <v>676</v>
      </c>
      <c r="F38" s="365"/>
      <c r="G38" s="365"/>
      <c r="H38" s="365"/>
      <c r="I38" s="365"/>
      <c r="J38" s="365"/>
      <c r="K38" s="365"/>
      <c r="L38" s="365"/>
      <c r="M38" s="365"/>
      <c r="N38" s="365"/>
      <c r="O38" s="365"/>
      <c r="P38" s="365"/>
      <c r="Q38" s="365"/>
      <c r="R38" s="365"/>
      <c r="S38" s="365"/>
      <c r="T38" s="365"/>
      <c r="U38" s="365"/>
      <c r="V38" s="365"/>
      <c r="W38" s="365"/>
      <c r="X38" s="365"/>
      <c r="Y38" s="365"/>
      <c r="Z38" s="365"/>
      <c r="AA38" s="365"/>
      <c r="AB38" s="365"/>
      <c r="AC38" s="365"/>
      <c r="AD38" s="436"/>
      <c r="AE38" s="436"/>
      <c r="AF38" s="436"/>
      <c r="AG38" s="436"/>
      <c r="AH38" s="436"/>
      <c r="AI38" s="436"/>
      <c r="AJ38" s="436"/>
      <c r="AK38" s="736">
        <f t="shared" si="1"/>
        <v>0</v>
      </c>
      <c r="AL38" s="735">
        <f t="shared" si="3"/>
        <v>0</v>
      </c>
      <c r="AM38" s="2182">
        <f>SUM(AL22:AL87)</f>
        <v>732112080</v>
      </c>
      <c r="AN38" s="104">
        <f>'매입-매출 정리본'!K75</f>
        <v>842038080</v>
      </c>
    </row>
    <row r="39" spans="1:40" ht="13.5" customHeight="1">
      <c r="A39" s="1273"/>
      <c r="B39" s="1351" t="s">
        <v>1389</v>
      </c>
      <c r="C39" s="17" t="s">
        <v>1127</v>
      </c>
      <c r="D39" s="602" t="s">
        <v>971</v>
      </c>
      <c r="E39" s="919">
        <v>676</v>
      </c>
      <c r="F39" s="365"/>
      <c r="G39" s="365"/>
      <c r="H39" s="365"/>
      <c r="I39" s="365"/>
      <c r="J39" s="365"/>
      <c r="K39" s="365"/>
      <c r="L39" s="365"/>
      <c r="M39" s="365"/>
      <c r="N39" s="365"/>
      <c r="O39" s="365"/>
      <c r="P39" s="365"/>
      <c r="Q39" s="365"/>
      <c r="R39" s="365"/>
      <c r="S39" s="365"/>
      <c r="T39" s="365"/>
      <c r="U39" s="365"/>
      <c r="V39" s="365"/>
      <c r="W39" s="365"/>
      <c r="X39" s="365"/>
      <c r="Y39" s="365"/>
      <c r="Z39" s="365"/>
      <c r="AA39" s="365"/>
      <c r="AB39" s="365"/>
      <c r="AC39" s="365"/>
      <c r="AD39" s="436"/>
      <c r="AE39" s="436"/>
      <c r="AF39" s="436"/>
      <c r="AG39" s="436"/>
      <c r="AH39" s="436"/>
      <c r="AI39" s="436"/>
      <c r="AJ39" s="436"/>
      <c r="AK39" s="1360">
        <f t="shared" si="1"/>
        <v>0</v>
      </c>
      <c r="AL39" s="737">
        <f t="shared" si="3"/>
        <v>0</v>
      </c>
      <c r="AM39" s="1024"/>
      <c r="AN39"/>
    </row>
    <row r="40" spans="1:40" ht="13.95" customHeight="1">
      <c r="A40" s="1273"/>
      <c r="B40" s="1351" t="s">
        <v>1389</v>
      </c>
      <c r="C40" s="578" t="s">
        <v>1018</v>
      </c>
      <c r="D40" s="602" t="s">
        <v>972</v>
      </c>
      <c r="E40" s="2064">
        <v>849</v>
      </c>
      <c r="F40" s="365"/>
      <c r="G40" s="365"/>
      <c r="H40" s="365"/>
      <c r="I40" s="365"/>
      <c r="J40" s="365"/>
      <c r="K40" s="431"/>
      <c r="L40" s="431"/>
      <c r="M40" s="431"/>
      <c r="N40" s="431"/>
      <c r="O40" s="431"/>
      <c r="P40" s="431"/>
      <c r="Q40" s="431"/>
      <c r="R40" s="431"/>
      <c r="S40" s="365"/>
      <c r="T40" s="365"/>
      <c r="U40" s="365"/>
      <c r="V40" s="365"/>
      <c r="W40" s="365"/>
      <c r="X40" s="365"/>
      <c r="Y40" s="365"/>
      <c r="Z40" s="365"/>
      <c r="AA40" s="365"/>
      <c r="AB40" s="365"/>
      <c r="AC40" s="365"/>
      <c r="AD40" s="436"/>
      <c r="AE40" s="436"/>
      <c r="AF40" s="436"/>
      <c r="AG40" s="436"/>
      <c r="AH40" s="436"/>
      <c r="AI40" s="436"/>
      <c r="AJ40" s="436"/>
      <c r="AK40" s="1360">
        <f t="shared" si="1"/>
        <v>0</v>
      </c>
      <c r="AL40" s="737">
        <f t="shared" si="3"/>
        <v>0</v>
      </c>
      <c r="AM40" s="1539">
        <f>AN38+AM38</f>
        <v>1574150160</v>
      </c>
      <c r="AN40"/>
    </row>
    <row r="41" spans="1:40" ht="13.5" customHeight="1">
      <c r="A41" s="1273"/>
      <c r="B41" s="1351" t="s">
        <v>1389</v>
      </c>
      <c r="C41" s="578" t="s">
        <v>1019</v>
      </c>
      <c r="D41" s="602" t="s">
        <v>973</v>
      </c>
      <c r="E41" s="2261">
        <v>892</v>
      </c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1"/>
      <c r="U41" s="431"/>
      <c r="V41" s="431"/>
      <c r="W41" s="431"/>
      <c r="X41" s="431"/>
      <c r="Y41" s="431"/>
      <c r="Z41" s="431"/>
      <c r="AA41" s="431"/>
      <c r="AB41" s="431"/>
      <c r="AC41" s="431"/>
      <c r="AD41" s="416"/>
      <c r="AE41" s="416"/>
      <c r="AF41" s="416"/>
      <c r="AG41" s="416"/>
      <c r="AH41" s="416"/>
      <c r="AI41" s="416"/>
      <c r="AJ41" s="416"/>
      <c r="AK41" s="1360">
        <f t="shared" si="1"/>
        <v>0</v>
      </c>
      <c r="AL41" s="737">
        <f t="shared" si="3"/>
        <v>0</v>
      </c>
      <c r="AM41"/>
      <c r="AN41"/>
    </row>
    <row r="42" spans="1:40" ht="13.2" customHeight="1">
      <c r="A42" s="1273"/>
      <c r="B42" s="1351" t="s">
        <v>1389</v>
      </c>
      <c r="C42" s="578" t="s">
        <v>1042</v>
      </c>
      <c r="D42" s="109" t="s">
        <v>605</v>
      </c>
      <c r="E42" s="2064">
        <v>652</v>
      </c>
      <c r="F42" s="431"/>
      <c r="G42" s="431"/>
      <c r="H42" s="431"/>
      <c r="I42" s="431"/>
      <c r="J42" s="431"/>
      <c r="K42" s="431"/>
      <c r="L42" s="431"/>
      <c r="M42" s="431"/>
      <c r="N42" s="431"/>
      <c r="O42" s="431"/>
      <c r="P42" s="431"/>
      <c r="Q42" s="431"/>
      <c r="R42" s="431"/>
      <c r="S42" s="431"/>
      <c r="T42" s="431"/>
      <c r="U42" s="431"/>
      <c r="V42" s="431"/>
      <c r="W42" s="431"/>
      <c r="X42" s="431"/>
      <c r="Y42" s="431"/>
      <c r="Z42" s="431"/>
      <c r="AA42" s="431"/>
      <c r="AB42" s="431"/>
      <c r="AC42" s="431"/>
      <c r="AD42" s="416"/>
      <c r="AE42" s="416"/>
      <c r="AF42" s="416"/>
      <c r="AG42" s="416"/>
      <c r="AH42" s="416"/>
      <c r="AI42" s="416"/>
      <c r="AJ42" s="416"/>
      <c r="AK42" s="1360">
        <f t="shared" si="1"/>
        <v>0</v>
      </c>
      <c r="AL42" s="737">
        <f t="shared" si="3"/>
        <v>0</v>
      </c>
      <c r="AM42" s="33"/>
      <c r="AN42"/>
    </row>
    <row r="43" spans="1:40" ht="13.95" customHeight="1">
      <c r="A43" s="1273" t="s">
        <v>2097</v>
      </c>
      <c r="B43" s="1351" t="s">
        <v>1389</v>
      </c>
      <c r="C43" s="2050" t="s">
        <v>2092</v>
      </c>
      <c r="D43" s="1359" t="s">
        <v>2093</v>
      </c>
      <c r="E43" s="732">
        <v>786</v>
      </c>
      <c r="F43" s="365"/>
      <c r="G43" s="365"/>
      <c r="H43" s="365">
        <v>7200</v>
      </c>
      <c r="I43" s="365"/>
      <c r="J43" s="365"/>
      <c r="K43" s="431"/>
      <c r="L43" s="431"/>
      <c r="M43" s="431"/>
      <c r="N43" s="431">
        <v>12000</v>
      </c>
      <c r="O43" s="431">
        <v>4800</v>
      </c>
      <c r="P43" s="431"/>
      <c r="Q43" s="431"/>
      <c r="R43" s="431"/>
      <c r="S43" s="365"/>
      <c r="T43" s="365"/>
      <c r="U43" s="365"/>
      <c r="V43" s="365"/>
      <c r="W43" s="365"/>
      <c r="X43" s="365"/>
      <c r="Y43" s="365">
        <v>16800</v>
      </c>
      <c r="Z43" s="365"/>
      <c r="AA43" s="365">
        <v>2400</v>
      </c>
      <c r="AB43" s="365">
        <v>4800</v>
      </c>
      <c r="AC43" s="365"/>
      <c r="AD43" s="436"/>
      <c r="AE43" s="436"/>
      <c r="AF43" s="436"/>
      <c r="AG43" s="436"/>
      <c r="AH43" s="436"/>
      <c r="AI43" s="436"/>
      <c r="AJ43" s="436">
        <v>12000</v>
      </c>
      <c r="AK43" s="1360">
        <f t="shared" ref="AK43:AK45" si="4">SUM(F43:AJ43)</f>
        <v>60000</v>
      </c>
      <c r="AL43" s="737">
        <f t="shared" si="3"/>
        <v>47160000</v>
      </c>
      <c r="AM43" s="104"/>
      <c r="AN43"/>
    </row>
    <row r="44" spans="1:40" ht="13.5" customHeight="1">
      <c r="A44" s="1273" t="s">
        <v>2097</v>
      </c>
      <c r="B44" s="1351" t="s">
        <v>1389</v>
      </c>
      <c r="C44" s="2050" t="s">
        <v>2094</v>
      </c>
      <c r="D44" s="1359" t="s">
        <v>2095</v>
      </c>
      <c r="E44" s="1887">
        <v>826</v>
      </c>
      <c r="F44" s="431"/>
      <c r="G44" s="431"/>
      <c r="H44" s="431">
        <v>7200</v>
      </c>
      <c r="I44" s="431"/>
      <c r="J44" s="431"/>
      <c r="K44" s="431"/>
      <c r="L44" s="431"/>
      <c r="M44" s="431"/>
      <c r="N44" s="431">
        <v>7200</v>
      </c>
      <c r="O44" s="431">
        <v>4800</v>
      </c>
      <c r="P44" s="431"/>
      <c r="Q44" s="431"/>
      <c r="R44" s="431"/>
      <c r="S44" s="431"/>
      <c r="T44" s="431"/>
      <c r="U44" s="431"/>
      <c r="V44" s="431"/>
      <c r="W44" s="431"/>
      <c r="X44" s="431"/>
      <c r="Y44" s="431">
        <v>19200</v>
      </c>
      <c r="Z44" s="431"/>
      <c r="AA44" s="431">
        <v>2400</v>
      </c>
      <c r="AB44" s="431">
        <v>4800</v>
      </c>
      <c r="AC44" s="431"/>
      <c r="AD44" s="416"/>
      <c r="AE44" s="416"/>
      <c r="AF44" s="416"/>
      <c r="AG44" s="416"/>
      <c r="AH44" s="416"/>
      <c r="AI44" s="416"/>
      <c r="AJ44" s="416">
        <v>12000</v>
      </c>
      <c r="AK44" s="1360">
        <f t="shared" si="4"/>
        <v>57600</v>
      </c>
      <c r="AL44" s="737">
        <f t="shared" si="3"/>
        <v>47577600</v>
      </c>
      <c r="AM44"/>
      <c r="AN44"/>
    </row>
    <row r="45" spans="1:40" ht="13.5" customHeight="1">
      <c r="A45" s="1273"/>
      <c r="B45" s="1351" t="s">
        <v>1389</v>
      </c>
      <c r="C45" s="2050" t="s">
        <v>2216</v>
      </c>
      <c r="D45" s="1359" t="s">
        <v>2217</v>
      </c>
      <c r="E45" s="2064">
        <v>604</v>
      </c>
      <c r="F45" s="431"/>
      <c r="G45" s="431"/>
      <c r="H45" s="431"/>
      <c r="I45" s="431"/>
      <c r="J45" s="431"/>
      <c r="K45" s="431"/>
      <c r="L45" s="431"/>
      <c r="M45" s="431"/>
      <c r="N45" s="431"/>
      <c r="O45" s="431"/>
      <c r="P45" s="431"/>
      <c r="Q45" s="431"/>
      <c r="R45" s="431"/>
      <c r="S45" s="431"/>
      <c r="T45" s="431"/>
      <c r="U45" s="431"/>
      <c r="V45" s="431"/>
      <c r="W45" s="431"/>
      <c r="X45" s="431"/>
      <c r="Y45" s="431"/>
      <c r="Z45" s="431"/>
      <c r="AA45" s="431">
        <v>2160</v>
      </c>
      <c r="AB45" s="431"/>
      <c r="AC45" s="431"/>
      <c r="AD45" s="416"/>
      <c r="AE45" s="416"/>
      <c r="AF45" s="416"/>
      <c r="AG45" s="416"/>
      <c r="AH45" s="416"/>
      <c r="AI45" s="416"/>
      <c r="AJ45" s="416"/>
      <c r="AK45" s="1360">
        <f t="shared" si="4"/>
        <v>2160</v>
      </c>
      <c r="AL45" s="737">
        <f t="shared" si="3"/>
        <v>1304640</v>
      </c>
      <c r="AM45"/>
      <c r="AN45"/>
    </row>
    <row r="46" spans="1:40" ht="13.5" customHeight="1">
      <c r="A46" s="1273"/>
      <c r="B46" s="1348" t="s">
        <v>1390</v>
      </c>
      <c r="C46" s="1364" t="s">
        <v>2048</v>
      </c>
      <c r="D46" s="1929" t="s">
        <v>1508</v>
      </c>
      <c r="E46" s="2262">
        <v>4914</v>
      </c>
      <c r="F46" s="365"/>
      <c r="G46" s="365"/>
      <c r="H46" s="365"/>
      <c r="I46" s="365"/>
      <c r="J46" s="365"/>
      <c r="K46" s="365"/>
      <c r="L46" s="365"/>
      <c r="M46" s="365"/>
      <c r="N46" s="365"/>
      <c r="O46" s="365"/>
      <c r="P46" s="365"/>
      <c r="Q46" s="365"/>
      <c r="R46" s="365"/>
      <c r="S46" s="365"/>
      <c r="T46" s="365"/>
      <c r="U46" s="365"/>
      <c r="V46" s="365"/>
      <c r="W46" s="365"/>
      <c r="X46" s="365"/>
      <c r="Y46" s="365"/>
      <c r="Z46" s="365"/>
      <c r="AA46" s="365"/>
      <c r="AB46" s="365"/>
      <c r="AC46" s="365"/>
      <c r="AD46" s="436"/>
      <c r="AE46" s="436"/>
      <c r="AF46" s="436"/>
      <c r="AG46" s="436"/>
      <c r="AH46" s="436"/>
      <c r="AI46" s="436"/>
      <c r="AJ46" s="436"/>
      <c r="AK46" s="1349">
        <f>SUM(F46:AJ46)</f>
        <v>0</v>
      </c>
      <c r="AL46" s="1350">
        <f t="shared" si="3"/>
        <v>0</v>
      </c>
      <c r="AM46"/>
      <c r="AN46"/>
    </row>
    <row r="47" spans="1:40" ht="13.5" customHeight="1">
      <c r="A47" s="1273"/>
      <c r="B47" s="1348" t="s">
        <v>1390</v>
      </c>
      <c r="C47" s="1364" t="s">
        <v>2068</v>
      </c>
      <c r="D47" s="1929" t="s">
        <v>1508</v>
      </c>
      <c r="E47" s="2262">
        <v>5221</v>
      </c>
      <c r="F47" s="365"/>
      <c r="G47" s="365"/>
      <c r="H47" s="365"/>
      <c r="I47" s="365"/>
      <c r="J47" s="365"/>
      <c r="K47" s="365"/>
      <c r="L47" s="365"/>
      <c r="M47" s="365"/>
      <c r="N47" s="365"/>
      <c r="O47" s="365">
        <v>6720</v>
      </c>
      <c r="P47" s="365"/>
      <c r="Q47" s="365"/>
      <c r="R47" s="365"/>
      <c r="S47" s="365"/>
      <c r="T47" s="365"/>
      <c r="U47" s="365"/>
      <c r="V47" s="365"/>
      <c r="W47" s="365"/>
      <c r="X47" s="365"/>
      <c r="Y47" s="365">
        <v>6720</v>
      </c>
      <c r="Z47" s="365"/>
      <c r="AA47" s="365"/>
      <c r="AB47" s="365"/>
      <c r="AC47" s="365"/>
      <c r="AD47" s="436"/>
      <c r="AE47" s="436"/>
      <c r="AF47" s="436"/>
      <c r="AG47" s="436">
        <v>6720</v>
      </c>
      <c r="AH47" s="436"/>
      <c r="AI47" s="436">
        <v>6720</v>
      </c>
      <c r="AJ47" s="436"/>
      <c r="AK47" s="1349">
        <f>SUM(F47:AJ47)</f>
        <v>26880</v>
      </c>
      <c r="AL47" s="1350">
        <f t="shared" si="3"/>
        <v>140340480</v>
      </c>
      <c r="AM47"/>
      <c r="AN47"/>
    </row>
    <row r="48" spans="1:40" s="698" customFormat="1" ht="13.2" customHeight="1">
      <c r="A48" s="2153"/>
      <c r="B48" s="2154" t="s">
        <v>1283</v>
      </c>
      <c r="C48" s="1031" t="s">
        <v>1125</v>
      </c>
      <c r="D48" s="1355" t="s">
        <v>1013</v>
      </c>
      <c r="E48" s="2263">
        <v>1802</v>
      </c>
      <c r="F48" s="1133">
        <v>1600</v>
      </c>
      <c r="G48" s="1322"/>
      <c r="H48" s="1322"/>
      <c r="I48" s="1322"/>
      <c r="J48" s="1322"/>
      <c r="K48" s="1322">
        <v>1600</v>
      </c>
      <c r="L48" s="1322"/>
      <c r="M48" s="1322"/>
      <c r="N48" s="1322"/>
      <c r="O48" s="1322"/>
      <c r="P48" s="1322">
        <v>1600</v>
      </c>
      <c r="Q48" s="1322"/>
      <c r="R48" s="1322">
        <v>800</v>
      </c>
      <c r="S48" s="1322"/>
      <c r="T48" s="1322"/>
      <c r="U48" s="1322"/>
      <c r="V48" s="1322"/>
      <c r="W48" s="1322"/>
      <c r="X48" s="1322"/>
      <c r="Y48" s="1322">
        <v>2000</v>
      </c>
      <c r="Z48" s="1322"/>
      <c r="AA48" s="1322"/>
      <c r="AB48" s="1322"/>
      <c r="AC48" s="1322">
        <v>800</v>
      </c>
      <c r="AD48" s="922"/>
      <c r="AE48" s="922"/>
      <c r="AF48" s="922"/>
      <c r="AG48" s="922"/>
      <c r="AH48" s="922"/>
      <c r="AI48" s="922"/>
      <c r="AJ48" s="922">
        <v>2400</v>
      </c>
      <c r="AK48" s="1353">
        <f>SUM(F48:AJ48)</f>
        <v>10800</v>
      </c>
      <c r="AL48" s="2155">
        <f t="shared" si="3"/>
        <v>19461600</v>
      </c>
      <c r="AM48" s="1078"/>
      <c r="AN48" s="1078"/>
    </row>
    <row r="49" spans="1:41" ht="13.2" customHeight="1">
      <c r="A49" s="1273"/>
      <c r="B49" s="1281" t="s">
        <v>1283</v>
      </c>
      <c r="C49" s="1031" t="s">
        <v>1014</v>
      </c>
      <c r="D49" s="1355" t="s">
        <v>1015</v>
      </c>
      <c r="E49" s="2263">
        <v>1093</v>
      </c>
      <c r="F49" s="365"/>
      <c r="G49" s="365"/>
      <c r="H49" s="365">
        <v>1600</v>
      </c>
      <c r="I49" s="365"/>
      <c r="J49" s="365"/>
      <c r="K49" s="365"/>
      <c r="L49" s="365"/>
      <c r="M49" s="365"/>
      <c r="N49" s="365"/>
      <c r="O49" s="365"/>
      <c r="P49" s="365"/>
      <c r="Q49" s="365"/>
      <c r="R49" s="365">
        <v>3200</v>
      </c>
      <c r="S49" s="365"/>
      <c r="T49" s="365"/>
      <c r="U49" s="365"/>
      <c r="V49" s="365"/>
      <c r="W49" s="365"/>
      <c r="X49" s="365"/>
      <c r="Y49" s="365">
        <v>4000</v>
      </c>
      <c r="Z49" s="365"/>
      <c r="AA49" s="365"/>
      <c r="AB49" s="365"/>
      <c r="AC49" s="365"/>
      <c r="AD49" s="436"/>
      <c r="AE49" s="436"/>
      <c r="AF49" s="436"/>
      <c r="AG49" s="436"/>
      <c r="AH49" s="436"/>
      <c r="AI49" s="436"/>
      <c r="AJ49" s="436">
        <v>4800</v>
      </c>
      <c r="AK49" s="1353">
        <f>SUM(F49:AJ49)</f>
        <v>13600</v>
      </c>
      <c r="AL49" s="1354">
        <f t="shared" si="3"/>
        <v>14864800</v>
      </c>
      <c r="AM49" s="971"/>
      <c r="AN49" s="33"/>
    </row>
    <row r="50" spans="1:41" ht="13.2" customHeight="1">
      <c r="A50" s="1273"/>
      <c r="B50" s="1281" t="s">
        <v>1283</v>
      </c>
      <c r="C50" s="1031" t="s">
        <v>1614</v>
      </c>
      <c r="D50" s="1355" t="s">
        <v>1016</v>
      </c>
      <c r="E50" s="1356">
        <v>1173</v>
      </c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  <c r="X50" s="365"/>
      <c r="Y50" s="365"/>
      <c r="Z50" s="365"/>
      <c r="AA50" s="365"/>
      <c r="AB50" s="365"/>
      <c r="AC50" s="365"/>
      <c r="AD50" s="436"/>
      <c r="AE50" s="436"/>
      <c r="AF50" s="436"/>
      <c r="AG50" s="436"/>
      <c r="AH50" s="436"/>
      <c r="AI50" s="436"/>
      <c r="AJ50" s="436"/>
      <c r="AK50" s="1353">
        <f>SUM(F50:AJ50)</f>
        <v>0</v>
      </c>
      <c r="AL50" s="1354">
        <f t="shared" si="3"/>
        <v>0</v>
      </c>
      <c r="AM50" s="971"/>
      <c r="AN50" s="33"/>
    </row>
    <row r="51" spans="1:41" ht="13.2" customHeight="1">
      <c r="A51" s="1273"/>
      <c r="B51" s="1281" t="s">
        <v>1283</v>
      </c>
      <c r="C51" s="1364" t="s">
        <v>1067</v>
      </c>
      <c r="D51" s="1357" t="s">
        <v>1276</v>
      </c>
      <c r="E51" s="2263">
        <v>2390</v>
      </c>
      <c r="F51" s="431"/>
      <c r="G51" s="431"/>
      <c r="H51" s="431"/>
      <c r="I51" s="431"/>
      <c r="J51" s="431"/>
      <c r="K51" s="431"/>
      <c r="L51" s="431"/>
      <c r="M51" s="431"/>
      <c r="N51" s="431"/>
      <c r="O51" s="431"/>
      <c r="P51" s="431"/>
      <c r="Q51" s="431"/>
      <c r="R51" s="431"/>
      <c r="S51" s="431"/>
      <c r="T51" s="431"/>
      <c r="U51" s="431"/>
      <c r="V51" s="431"/>
      <c r="W51" s="431"/>
      <c r="X51" s="431"/>
      <c r="Y51" s="431"/>
      <c r="Z51" s="431"/>
      <c r="AA51" s="431"/>
      <c r="AB51" s="431"/>
      <c r="AC51" s="416"/>
      <c r="AD51" s="416"/>
      <c r="AE51" s="416"/>
      <c r="AF51" s="416"/>
      <c r="AG51" s="416"/>
      <c r="AH51" s="416"/>
      <c r="AI51" s="416"/>
      <c r="AJ51" s="416"/>
      <c r="AK51" s="1353">
        <f t="shared" si="1"/>
        <v>0</v>
      </c>
      <c r="AL51" s="1354">
        <f t="shared" si="3"/>
        <v>0</v>
      </c>
      <c r="AM51" s="33"/>
      <c r="AN51" s="33"/>
    </row>
    <row r="52" spans="1:41" ht="13.2" customHeight="1">
      <c r="A52" s="1273"/>
      <c r="B52" s="1281" t="s">
        <v>1283</v>
      </c>
      <c r="C52" s="1364" t="s">
        <v>1142</v>
      </c>
      <c r="D52" s="1357" t="s">
        <v>1277</v>
      </c>
      <c r="E52" s="2263">
        <v>1264</v>
      </c>
      <c r="F52" s="431"/>
      <c r="G52" s="431"/>
      <c r="H52" s="431"/>
      <c r="I52" s="431"/>
      <c r="J52" s="431"/>
      <c r="K52" s="431"/>
      <c r="L52" s="431"/>
      <c r="M52" s="431"/>
      <c r="N52" s="431"/>
      <c r="O52" s="431"/>
      <c r="P52" s="431"/>
      <c r="Q52" s="431"/>
      <c r="R52" s="431"/>
      <c r="S52" s="431"/>
      <c r="T52" s="431"/>
      <c r="U52" s="431"/>
      <c r="V52" s="431"/>
      <c r="W52" s="431"/>
      <c r="X52" s="431"/>
      <c r="Y52" s="431"/>
      <c r="Z52" s="431"/>
      <c r="AA52" s="431"/>
      <c r="AB52" s="431"/>
      <c r="AC52" s="416"/>
      <c r="AD52" s="416"/>
      <c r="AE52" s="416"/>
      <c r="AF52" s="416"/>
      <c r="AG52" s="416"/>
      <c r="AH52" s="416"/>
      <c r="AI52" s="416"/>
      <c r="AJ52" s="416"/>
      <c r="AK52" s="1353">
        <f t="shared" si="1"/>
        <v>0</v>
      </c>
      <c r="AL52" s="1354">
        <f t="shared" si="3"/>
        <v>0</v>
      </c>
      <c r="AM52" s="33"/>
      <c r="AN52" s="33"/>
    </row>
    <row r="53" spans="1:41" ht="13.2" customHeight="1">
      <c r="A53" s="1273"/>
      <c r="B53" s="1281" t="s">
        <v>1283</v>
      </c>
      <c r="C53" s="1364" t="s">
        <v>1141</v>
      </c>
      <c r="D53" s="1355" t="s">
        <v>1278</v>
      </c>
      <c r="E53" s="2263">
        <v>1264</v>
      </c>
      <c r="F53" s="365"/>
      <c r="G53" s="365"/>
      <c r="H53" s="365"/>
      <c r="I53" s="365"/>
      <c r="J53" s="365"/>
      <c r="K53" s="365"/>
      <c r="L53" s="365"/>
      <c r="M53" s="365"/>
      <c r="N53" s="365"/>
      <c r="O53" s="365"/>
      <c r="P53" s="365"/>
      <c r="Q53" s="365"/>
      <c r="R53" s="365"/>
      <c r="S53" s="365"/>
      <c r="T53" s="365"/>
      <c r="U53" s="365"/>
      <c r="V53" s="365"/>
      <c r="W53" s="365"/>
      <c r="X53" s="365"/>
      <c r="Y53" s="365"/>
      <c r="Z53" s="365"/>
      <c r="AA53" s="365"/>
      <c r="AB53" s="365"/>
      <c r="AC53" s="436"/>
      <c r="AD53" s="436"/>
      <c r="AE53" s="436"/>
      <c r="AF53" s="436"/>
      <c r="AG53" s="436"/>
      <c r="AH53" s="436"/>
      <c r="AI53" s="436"/>
      <c r="AJ53" s="436"/>
      <c r="AK53" s="1353">
        <f t="shared" si="1"/>
        <v>0</v>
      </c>
      <c r="AL53" s="1354">
        <f t="shared" si="3"/>
        <v>0</v>
      </c>
      <c r="AM53" s="33"/>
      <c r="AN53" s="33"/>
    </row>
    <row r="54" spans="1:41" ht="13.2" customHeight="1">
      <c r="A54" s="1273" t="s">
        <v>2096</v>
      </c>
      <c r="B54" s="1281" t="s">
        <v>1283</v>
      </c>
      <c r="C54" s="2050" t="s">
        <v>2098</v>
      </c>
      <c r="D54" s="1357" t="s">
        <v>1276</v>
      </c>
      <c r="E54" s="1356">
        <v>2212</v>
      </c>
      <c r="F54" s="431"/>
      <c r="G54" s="431"/>
      <c r="H54" s="431">
        <v>2400</v>
      </c>
      <c r="I54" s="431"/>
      <c r="J54" s="431"/>
      <c r="K54" s="431"/>
      <c r="L54" s="431"/>
      <c r="M54" s="431"/>
      <c r="N54" s="431">
        <v>4800</v>
      </c>
      <c r="O54" s="431"/>
      <c r="P54" s="431"/>
      <c r="Q54" s="431"/>
      <c r="R54" s="431"/>
      <c r="S54" s="431"/>
      <c r="T54" s="431">
        <v>2880</v>
      </c>
      <c r="U54" s="431">
        <v>5760</v>
      </c>
      <c r="V54" s="431"/>
      <c r="W54" s="431"/>
      <c r="X54" s="431"/>
      <c r="Y54" s="431"/>
      <c r="Z54" s="431"/>
      <c r="AA54" s="431">
        <v>3840</v>
      </c>
      <c r="AB54" s="431"/>
      <c r="AC54" s="416">
        <v>1920</v>
      </c>
      <c r="AD54" s="416"/>
      <c r="AE54" s="416"/>
      <c r="AF54" s="416"/>
      <c r="AG54" s="416"/>
      <c r="AH54" s="416"/>
      <c r="AI54" s="416"/>
      <c r="AJ54" s="416">
        <v>3360</v>
      </c>
      <c r="AK54" s="1353">
        <f t="shared" ref="AK54:AK56" si="5">SUM(F54:AJ54)</f>
        <v>24960</v>
      </c>
      <c r="AL54" s="1354">
        <f t="shared" si="3"/>
        <v>55211520</v>
      </c>
      <c r="AM54" s="33"/>
      <c r="AN54" s="33"/>
    </row>
    <row r="55" spans="1:41" ht="13.2" customHeight="1">
      <c r="A55" s="1273" t="s">
        <v>2096</v>
      </c>
      <c r="B55" s="1281" t="s">
        <v>1283</v>
      </c>
      <c r="C55" s="2050" t="s">
        <v>2099</v>
      </c>
      <c r="D55" s="1357" t="s">
        <v>1277</v>
      </c>
      <c r="E55" s="1356">
        <v>1169</v>
      </c>
      <c r="F55" s="431"/>
      <c r="G55" s="431"/>
      <c r="H55" s="431">
        <v>4800</v>
      </c>
      <c r="I55" s="431"/>
      <c r="J55" s="431"/>
      <c r="K55" s="431"/>
      <c r="L55" s="431"/>
      <c r="M55" s="431"/>
      <c r="N55" s="431">
        <v>4800</v>
      </c>
      <c r="O55" s="431"/>
      <c r="P55" s="431"/>
      <c r="Q55" s="431"/>
      <c r="R55" s="431"/>
      <c r="S55" s="431"/>
      <c r="T55" s="431"/>
      <c r="U55" s="431">
        <v>6720</v>
      </c>
      <c r="V55" s="431"/>
      <c r="W55" s="431"/>
      <c r="X55" s="431"/>
      <c r="Y55" s="431"/>
      <c r="Z55" s="431"/>
      <c r="AA55" s="431">
        <v>3840</v>
      </c>
      <c r="AB55" s="431"/>
      <c r="AC55" s="416"/>
      <c r="AD55" s="416"/>
      <c r="AE55" s="416"/>
      <c r="AF55" s="416"/>
      <c r="AG55" s="416"/>
      <c r="AH55" s="416"/>
      <c r="AI55" s="416"/>
      <c r="AJ55" s="416">
        <v>3840</v>
      </c>
      <c r="AK55" s="1353">
        <f t="shared" si="5"/>
        <v>24000</v>
      </c>
      <c r="AL55" s="1354">
        <f t="shared" si="3"/>
        <v>28056000</v>
      </c>
      <c r="AM55" s="33"/>
      <c r="AN55" s="33"/>
    </row>
    <row r="56" spans="1:41" ht="13.2" customHeight="1">
      <c r="A56" s="1273" t="s">
        <v>2096</v>
      </c>
      <c r="B56" s="1281" t="s">
        <v>1283</v>
      </c>
      <c r="C56" s="2050" t="s">
        <v>2100</v>
      </c>
      <c r="D56" s="1355" t="s">
        <v>1278</v>
      </c>
      <c r="E56" s="1356">
        <v>1169</v>
      </c>
      <c r="F56" s="365"/>
      <c r="G56" s="365"/>
      <c r="H56" s="365">
        <v>4800</v>
      </c>
      <c r="I56" s="365"/>
      <c r="J56" s="365"/>
      <c r="K56" s="365"/>
      <c r="L56" s="365"/>
      <c r="M56" s="365"/>
      <c r="N56" s="365">
        <v>4800</v>
      </c>
      <c r="O56" s="365"/>
      <c r="P56" s="365"/>
      <c r="Q56" s="365"/>
      <c r="R56" s="365"/>
      <c r="S56" s="365"/>
      <c r="T56" s="365"/>
      <c r="U56" s="365">
        <v>6720</v>
      </c>
      <c r="V56" s="365"/>
      <c r="W56" s="365"/>
      <c r="X56" s="365"/>
      <c r="Y56" s="365"/>
      <c r="Z56" s="365"/>
      <c r="AA56" s="365">
        <v>3840</v>
      </c>
      <c r="AB56" s="365"/>
      <c r="AC56" s="436"/>
      <c r="AD56" s="436"/>
      <c r="AE56" s="436"/>
      <c r="AF56" s="436"/>
      <c r="AG56" s="436"/>
      <c r="AH56" s="436"/>
      <c r="AI56" s="436"/>
      <c r="AJ56" s="436">
        <v>3840</v>
      </c>
      <c r="AK56" s="1353">
        <f t="shared" si="5"/>
        <v>24000</v>
      </c>
      <c r="AL56" s="1354">
        <f t="shared" si="3"/>
        <v>28056000</v>
      </c>
      <c r="AM56" s="33"/>
      <c r="AN56" s="33"/>
    </row>
    <row r="57" spans="1:41" ht="15" customHeight="1">
      <c r="A57" s="1273"/>
      <c r="B57" s="1358" t="s">
        <v>1008</v>
      </c>
      <c r="C57" s="1031" t="s">
        <v>995</v>
      </c>
      <c r="D57" s="1359" t="s">
        <v>969</v>
      </c>
      <c r="E57" s="732">
        <v>1454</v>
      </c>
      <c r="F57" s="436"/>
      <c r="G57" s="436"/>
      <c r="H57" s="436"/>
      <c r="I57" s="436"/>
      <c r="J57" s="436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  <c r="AA57" s="436"/>
      <c r="AB57" s="436"/>
      <c r="AC57" s="436"/>
      <c r="AD57" s="436"/>
      <c r="AE57" s="436"/>
      <c r="AF57" s="436"/>
      <c r="AG57" s="436"/>
      <c r="AH57" s="436"/>
      <c r="AI57" s="436"/>
      <c r="AJ57" s="436"/>
      <c r="AK57" s="734">
        <f t="shared" ref="AK57:AK61" si="6">SUM(F57:AJ57)</f>
        <v>0</v>
      </c>
      <c r="AL57" s="735">
        <f t="shared" si="3"/>
        <v>0</v>
      </c>
      <c r="AM57"/>
      <c r="AN57" s="33"/>
    </row>
    <row r="58" spans="1:41" ht="15" customHeight="1">
      <c r="A58" s="1273"/>
      <c r="B58" s="1358" t="s">
        <v>1008</v>
      </c>
      <c r="C58" s="1031" t="s">
        <v>996</v>
      </c>
      <c r="D58" s="602" t="s">
        <v>1020</v>
      </c>
      <c r="E58" s="732">
        <v>1190</v>
      </c>
      <c r="F58" s="429"/>
      <c r="G58" s="429"/>
      <c r="H58" s="437"/>
      <c r="I58" s="437"/>
      <c r="J58" s="437"/>
      <c r="K58" s="437"/>
      <c r="L58" s="437"/>
      <c r="M58" s="437"/>
      <c r="N58" s="437"/>
      <c r="O58" s="437"/>
      <c r="P58" s="437"/>
      <c r="Q58" s="437"/>
      <c r="R58" s="437"/>
      <c r="S58" s="1122"/>
      <c r="T58" s="1122"/>
      <c r="U58" s="1122"/>
      <c r="V58" s="437"/>
      <c r="W58" s="437"/>
      <c r="X58" s="437"/>
      <c r="Y58" s="437"/>
      <c r="Z58" s="437"/>
      <c r="AA58" s="437"/>
      <c r="AB58" s="437"/>
      <c r="AC58" s="437"/>
      <c r="AD58" s="437"/>
      <c r="AE58" s="437"/>
      <c r="AF58" s="437">
        <v>1200</v>
      </c>
      <c r="AG58" s="437"/>
      <c r="AH58" s="437"/>
      <c r="AI58" s="437"/>
      <c r="AJ58" s="437"/>
      <c r="AK58" s="734">
        <f t="shared" si="6"/>
        <v>1200</v>
      </c>
      <c r="AL58" s="735">
        <f t="shared" si="3"/>
        <v>1428000</v>
      </c>
      <c r="AM58"/>
      <c r="AN58" s="33"/>
    </row>
    <row r="59" spans="1:41" ht="15" customHeight="1">
      <c r="A59" s="1273"/>
      <c r="B59" s="1358" t="s">
        <v>1008</v>
      </c>
      <c r="C59" s="1031" t="s">
        <v>997</v>
      </c>
      <c r="D59" s="1359" t="s">
        <v>1021</v>
      </c>
      <c r="E59" s="732">
        <v>1177</v>
      </c>
      <c r="F59" s="429"/>
      <c r="G59" s="429"/>
      <c r="H59" s="437"/>
      <c r="I59" s="437"/>
      <c r="J59" s="437"/>
      <c r="K59" s="437"/>
      <c r="L59" s="437"/>
      <c r="M59" s="437"/>
      <c r="N59" s="437"/>
      <c r="O59" s="437"/>
      <c r="P59" s="437"/>
      <c r="Q59" s="437"/>
      <c r="R59" s="437"/>
      <c r="S59" s="1122"/>
      <c r="T59" s="1122"/>
      <c r="U59" s="1122"/>
      <c r="V59" s="437"/>
      <c r="W59" s="437"/>
      <c r="X59" s="437"/>
      <c r="Y59" s="437"/>
      <c r="Z59" s="437"/>
      <c r="AA59" s="437"/>
      <c r="AB59" s="437"/>
      <c r="AC59" s="437"/>
      <c r="AD59" s="437"/>
      <c r="AE59" s="437"/>
      <c r="AF59" s="437"/>
      <c r="AG59" s="437"/>
      <c r="AH59" s="437"/>
      <c r="AI59" s="437"/>
      <c r="AJ59" s="437"/>
      <c r="AK59" s="734">
        <f t="shared" si="6"/>
        <v>0</v>
      </c>
      <c r="AL59" s="735">
        <f t="shared" si="3"/>
        <v>0</v>
      </c>
      <c r="AM59"/>
      <c r="AN59" s="33"/>
    </row>
    <row r="60" spans="1:41" ht="15" customHeight="1">
      <c r="A60" s="1273"/>
      <c r="B60" s="1358" t="s">
        <v>1008</v>
      </c>
      <c r="C60" s="1506" t="s">
        <v>1285</v>
      </c>
      <c r="D60" s="1032" t="s">
        <v>1286</v>
      </c>
      <c r="E60" s="731">
        <v>1</v>
      </c>
      <c r="F60" s="429"/>
      <c r="G60" s="429"/>
      <c r="H60" s="437"/>
      <c r="I60" s="437"/>
      <c r="J60" s="437"/>
      <c r="K60" s="437"/>
      <c r="L60" s="437"/>
      <c r="M60" s="437"/>
      <c r="N60" s="437"/>
      <c r="O60" s="437"/>
      <c r="P60" s="437"/>
      <c r="Q60" s="437"/>
      <c r="R60" s="437"/>
      <c r="S60" s="1122"/>
      <c r="T60" s="1122"/>
      <c r="U60" s="1122"/>
      <c r="V60" s="437"/>
      <c r="W60" s="437"/>
      <c r="X60" s="437"/>
      <c r="Y60" s="437"/>
      <c r="Z60" s="437"/>
      <c r="AA60" s="437"/>
      <c r="AB60" s="437"/>
      <c r="AC60" s="437"/>
      <c r="AD60" s="437"/>
      <c r="AE60" s="437"/>
      <c r="AF60" s="437"/>
      <c r="AG60" s="437"/>
      <c r="AH60" s="437"/>
      <c r="AI60" s="437"/>
      <c r="AJ60" s="437"/>
      <c r="AK60" s="734">
        <f t="shared" si="6"/>
        <v>0</v>
      </c>
      <c r="AL60" s="735">
        <f t="shared" si="3"/>
        <v>0</v>
      </c>
      <c r="AN60" s="33"/>
    </row>
    <row r="61" spans="1:41" ht="13.2" customHeight="1">
      <c r="A61" s="1273"/>
      <c r="B61" s="1358" t="s">
        <v>1008</v>
      </c>
      <c r="C61" s="1507" t="s">
        <v>1102</v>
      </c>
      <c r="D61" s="1032" t="s">
        <v>1183</v>
      </c>
      <c r="E61" s="731">
        <v>3070</v>
      </c>
      <c r="F61" s="429"/>
      <c r="G61" s="429"/>
      <c r="H61" s="437"/>
      <c r="I61" s="437"/>
      <c r="J61" s="437"/>
      <c r="K61" s="437"/>
      <c r="L61" s="437"/>
      <c r="M61" s="437"/>
      <c r="N61" s="437"/>
      <c r="O61" s="437"/>
      <c r="P61" s="437"/>
      <c r="Q61" s="437"/>
      <c r="R61" s="437"/>
      <c r="S61" s="1122"/>
      <c r="T61" s="1122"/>
      <c r="U61" s="1122"/>
      <c r="V61" s="437"/>
      <c r="W61" s="437"/>
      <c r="X61" s="437"/>
      <c r="Y61" s="437"/>
      <c r="Z61" s="437"/>
      <c r="AA61" s="437"/>
      <c r="AB61" s="437"/>
      <c r="AC61" s="437"/>
      <c r="AD61" s="437"/>
      <c r="AE61" s="437"/>
      <c r="AF61" s="437"/>
      <c r="AG61" s="437"/>
      <c r="AH61" s="437"/>
      <c r="AI61" s="437"/>
      <c r="AJ61" s="437"/>
      <c r="AK61" s="734">
        <f t="shared" si="6"/>
        <v>0</v>
      </c>
      <c r="AL61" s="735">
        <f t="shared" si="3"/>
        <v>0</v>
      </c>
      <c r="AM61"/>
      <c r="AN61" s="33"/>
    </row>
    <row r="62" spans="1:41" ht="13.5" customHeight="1">
      <c r="A62" s="1273"/>
      <c r="B62" s="1358" t="s">
        <v>1008</v>
      </c>
      <c r="C62" s="1031" t="s">
        <v>991</v>
      </c>
      <c r="D62" s="1359" t="s">
        <v>974</v>
      </c>
      <c r="E62" s="732">
        <v>1134</v>
      </c>
      <c r="F62" s="431"/>
      <c r="G62" s="431"/>
      <c r="H62" s="431"/>
      <c r="I62" s="431"/>
      <c r="J62" s="431"/>
      <c r="K62" s="431"/>
      <c r="L62" s="431"/>
      <c r="M62" s="431"/>
      <c r="N62" s="431"/>
      <c r="O62" s="431"/>
      <c r="P62" s="431"/>
      <c r="Q62" s="431"/>
      <c r="R62" s="365"/>
      <c r="S62" s="365"/>
      <c r="T62" s="365"/>
      <c r="U62" s="365"/>
      <c r="V62" s="365"/>
      <c r="W62" s="431"/>
      <c r="X62" s="431"/>
      <c r="Y62" s="431"/>
      <c r="Z62" s="431"/>
      <c r="AA62" s="431"/>
      <c r="AB62" s="431"/>
      <c r="AC62" s="431"/>
      <c r="AD62" s="416"/>
      <c r="AE62" s="416"/>
      <c r="AF62" s="416"/>
      <c r="AG62" s="416"/>
      <c r="AH62" s="416"/>
      <c r="AI62" s="416"/>
      <c r="AJ62" s="416"/>
      <c r="AK62" s="736">
        <f t="shared" si="1"/>
        <v>0</v>
      </c>
      <c r="AL62" s="737">
        <f t="shared" si="3"/>
        <v>0</v>
      </c>
      <c r="AN62" s="1566" t="s">
        <v>1832</v>
      </c>
      <c r="AO62" s="1540"/>
    </row>
    <row r="63" spans="1:41" ht="13.5" customHeight="1">
      <c r="A63" s="1273"/>
      <c r="B63" s="1358" t="s">
        <v>1008</v>
      </c>
      <c r="C63" s="1031" t="s">
        <v>988</v>
      </c>
      <c r="D63" s="1359" t="s">
        <v>987</v>
      </c>
      <c r="E63" s="732">
        <v>1107</v>
      </c>
      <c r="F63" s="431"/>
      <c r="G63" s="431"/>
      <c r="H63" s="431"/>
      <c r="I63" s="431"/>
      <c r="J63" s="431"/>
      <c r="K63" s="431"/>
      <c r="L63" s="431"/>
      <c r="M63" s="431"/>
      <c r="N63" s="431"/>
      <c r="O63" s="431"/>
      <c r="P63" s="431"/>
      <c r="Q63" s="431"/>
      <c r="R63" s="365"/>
      <c r="S63" s="365"/>
      <c r="T63" s="365"/>
      <c r="U63" s="365"/>
      <c r="V63" s="365"/>
      <c r="W63" s="431"/>
      <c r="X63" s="990"/>
      <c r="Y63" s="416"/>
      <c r="Z63" s="431"/>
      <c r="AA63" s="431"/>
      <c r="AB63" s="431"/>
      <c r="AC63" s="431"/>
      <c r="AD63" s="416"/>
      <c r="AE63" s="416"/>
      <c r="AF63" s="416"/>
      <c r="AG63" s="416"/>
      <c r="AH63" s="416"/>
      <c r="AI63" s="416"/>
      <c r="AJ63" s="416"/>
      <c r="AK63" s="1360">
        <f>SUM(F63:AJ63)</f>
        <v>0</v>
      </c>
      <c r="AL63" s="1361">
        <f t="shared" si="3"/>
        <v>0</v>
      </c>
      <c r="AM63"/>
      <c r="AN63" s="33"/>
    </row>
    <row r="64" spans="1:41" ht="13.2" customHeight="1">
      <c r="A64" s="1273"/>
      <c r="B64" s="1358" t="s">
        <v>1008</v>
      </c>
      <c r="C64" s="1031" t="s">
        <v>986</v>
      </c>
      <c r="D64" s="1359" t="s">
        <v>977</v>
      </c>
      <c r="E64" s="732">
        <v>1272</v>
      </c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1"/>
      <c r="Q64" s="431"/>
      <c r="R64" s="365"/>
      <c r="S64" s="365"/>
      <c r="T64" s="365"/>
      <c r="U64" s="365"/>
      <c r="V64" s="365"/>
      <c r="W64" s="431"/>
      <c r="X64" s="431"/>
      <c r="Y64" s="416"/>
      <c r="Z64" s="431"/>
      <c r="AA64" s="431"/>
      <c r="AB64" s="431"/>
      <c r="AC64" s="431"/>
      <c r="AD64" s="416"/>
      <c r="AE64" s="416"/>
      <c r="AF64" s="416"/>
      <c r="AG64" s="416"/>
      <c r="AH64" s="416"/>
      <c r="AI64" s="416"/>
      <c r="AJ64" s="416"/>
      <c r="AK64" s="1360">
        <f>SUM(F64:AJ64)</f>
        <v>0</v>
      </c>
      <c r="AL64" s="1361">
        <f t="shared" si="3"/>
        <v>0</v>
      </c>
      <c r="AM64" s="1"/>
      <c r="AN64" s="1540" t="s">
        <v>1806</v>
      </c>
      <c r="AO64" s="1" t="s">
        <v>1807</v>
      </c>
    </row>
    <row r="65" spans="1:41" ht="13.2" customHeight="1">
      <c r="A65" s="1465"/>
      <c r="B65" s="1358" t="s">
        <v>1008</v>
      </c>
      <c r="C65" s="1031" t="s">
        <v>990</v>
      </c>
      <c r="D65" s="1359" t="s">
        <v>976</v>
      </c>
      <c r="E65" s="732">
        <v>1566</v>
      </c>
      <c r="F65" s="431"/>
      <c r="G65" s="431"/>
      <c r="H65" s="431"/>
      <c r="I65" s="431"/>
      <c r="J65" s="431"/>
      <c r="K65" s="431"/>
      <c r="L65" s="431"/>
      <c r="M65" s="431"/>
      <c r="N65" s="431"/>
      <c r="O65" s="431"/>
      <c r="P65" s="431"/>
      <c r="Q65" s="431"/>
      <c r="R65" s="365"/>
      <c r="S65" s="365"/>
      <c r="T65" s="365"/>
      <c r="U65" s="365"/>
      <c r="V65" s="365"/>
      <c r="W65" s="431"/>
      <c r="X65" s="431"/>
      <c r="Y65" s="416"/>
      <c r="Z65" s="431"/>
      <c r="AA65" s="431"/>
      <c r="AB65" s="431"/>
      <c r="AC65" s="431"/>
      <c r="AD65" s="416"/>
      <c r="AE65" s="416"/>
      <c r="AF65" s="416"/>
      <c r="AG65" s="416"/>
      <c r="AH65" s="416"/>
      <c r="AI65" s="416"/>
      <c r="AJ65" s="416"/>
      <c r="AK65" s="1360">
        <f>SUM(F65:AJ65)</f>
        <v>0</v>
      </c>
      <c r="AL65" s="1361">
        <f t="shared" si="3"/>
        <v>0</v>
      </c>
      <c r="AM65" s="1538">
        <f t="shared" ref="AM65:AM77" si="7">AK65</f>
        <v>0</v>
      </c>
      <c r="AN65" s="1538">
        <v>180</v>
      </c>
      <c r="AO65" s="104">
        <f>AK65*AN65</f>
        <v>0</v>
      </c>
    </row>
    <row r="66" spans="1:41" ht="13.5" customHeight="1">
      <c r="A66" s="1465"/>
      <c r="B66" s="1358" t="s">
        <v>1008</v>
      </c>
      <c r="C66" s="1031" t="s">
        <v>989</v>
      </c>
      <c r="D66" s="1359" t="s">
        <v>1446</v>
      </c>
      <c r="E66" s="732">
        <v>1338</v>
      </c>
      <c r="F66" s="431"/>
      <c r="G66" s="431"/>
      <c r="H66" s="431"/>
      <c r="I66" s="431"/>
      <c r="J66" s="431"/>
      <c r="K66" s="431"/>
      <c r="L66" s="431"/>
      <c r="M66" s="431"/>
      <c r="N66" s="431"/>
      <c r="O66" s="431"/>
      <c r="P66" s="431"/>
      <c r="Q66" s="431"/>
      <c r="R66" s="365"/>
      <c r="S66" s="365"/>
      <c r="T66" s="1123"/>
      <c r="U66" s="365"/>
      <c r="V66" s="365"/>
      <c r="W66" s="431"/>
      <c r="X66" s="431"/>
      <c r="Y66" s="416"/>
      <c r="Z66" s="431"/>
      <c r="AA66" s="431"/>
      <c r="AB66" s="431"/>
      <c r="AC66" s="431"/>
      <c r="AD66" s="416"/>
      <c r="AE66" s="416"/>
      <c r="AF66" s="416"/>
      <c r="AG66" s="416"/>
      <c r="AH66" s="416"/>
      <c r="AI66" s="416"/>
      <c r="AJ66" s="416"/>
      <c r="AK66" s="1360">
        <f t="shared" si="1"/>
        <v>0</v>
      </c>
      <c r="AL66" s="1361">
        <f t="shared" si="3"/>
        <v>0</v>
      </c>
      <c r="AM66" s="1538">
        <f t="shared" si="7"/>
        <v>0</v>
      </c>
      <c r="AN66" s="1538">
        <v>154</v>
      </c>
      <c r="AO66" s="104">
        <f t="shared" ref="AO66:AO77" si="8">AK66*AN66</f>
        <v>0</v>
      </c>
    </row>
    <row r="67" spans="1:41" ht="13.2" customHeight="1">
      <c r="A67" s="1465"/>
      <c r="B67" s="1358" t="s">
        <v>1008</v>
      </c>
      <c r="C67" s="1031" t="s">
        <v>993</v>
      </c>
      <c r="D67" s="1359" t="s">
        <v>2069</v>
      </c>
      <c r="E67" s="2064">
        <v>1313</v>
      </c>
      <c r="F67" s="431"/>
      <c r="G67" s="431"/>
      <c r="H67" s="431"/>
      <c r="I67" s="431"/>
      <c r="J67" s="431"/>
      <c r="K67" s="431"/>
      <c r="L67" s="431"/>
      <c r="M67" s="431"/>
      <c r="N67" s="431"/>
      <c r="O67" s="431"/>
      <c r="P67" s="431"/>
      <c r="Q67" s="431"/>
      <c r="R67" s="365"/>
      <c r="S67" s="365"/>
      <c r="T67" s="365"/>
      <c r="U67" s="365"/>
      <c r="V67" s="365"/>
      <c r="W67" s="431"/>
      <c r="X67" s="431"/>
      <c r="Y67" s="416">
        <v>3200</v>
      </c>
      <c r="Z67" s="431"/>
      <c r="AA67" s="431"/>
      <c r="AB67" s="431"/>
      <c r="AC67" s="431"/>
      <c r="AD67" s="416">
        <v>1600</v>
      </c>
      <c r="AE67" s="416"/>
      <c r="AF67" s="416"/>
      <c r="AG67" s="416"/>
      <c r="AH67" s="416"/>
      <c r="AI67" s="416"/>
      <c r="AJ67" s="416">
        <v>3200</v>
      </c>
      <c r="AK67" s="1360">
        <f t="shared" ref="AK67:AK72" si="9">SUM(F67:AJ67)</f>
        <v>8000</v>
      </c>
      <c r="AL67" s="1361">
        <f t="shared" si="3"/>
        <v>10504000</v>
      </c>
      <c r="AM67" s="1538">
        <f t="shared" si="7"/>
        <v>8000</v>
      </c>
      <c r="AN67" s="1538">
        <v>140</v>
      </c>
      <c r="AO67" s="104">
        <f>AK67*AN67</f>
        <v>1120000</v>
      </c>
    </row>
    <row r="68" spans="1:41" ht="13.2" customHeight="1">
      <c r="A68" s="1465"/>
      <c r="B68" s="1358" t="s">
        <v>1008</v>
      </c>
      <c r="C68" s="1031" t="s">
        <v>2070</v>
      </c>
      <c r="D68" s="1359" t="s">
        <v>2071</v>
      </c>
      <c r="E68" s="732">
        <v>1215</v>
      </c>
      <c r="F68" s="431"/>
      <c r="G68" s="431"/>
      <c r="H68" s="431"/>
      <c r="I68" s="431"/>
      <c r="J68" s="431"/>
      <c r="K68" s="431"/>
      <c r="L68" s="431"/>
      <c r="M68" s="431">
        <v>3200</v>
      </c>
      <c r="N68" s="431"/>
      <c r="O68" s="431">
        <v>1600</v>
      </c>
      <c r="P68" s="431"/>
      <c r="Q68" s="431"/>
      <c r="R68" s="365"/>
      <c r="S68" s="365"/>
      <c r="T68" s="365"/>
      <c r="U68" s="365"/>
      <c r="V68" s="365"/>
      <c r="W68" s="431"/>
      <c r="X68" s="431"/>
      <c r="Y68" s="416"/>
      <c r="Z68" s="431"/>
      <c r="AA68" s="431"/>
      <c r="AB68" s="431"/>
      <c r="AC68" s="431"/>
      <c r="AD68" s="416"/>
      <c r="AE68" s="416"/>
      <c r="AF68" s="416"/>
      <c r="AG68" s="416"/>
      <c r="AH68" s="416"/>
      <c r="AI68" s="416"/>
      <c r="AJ68" s="416"/>
      <c r="AK68" s="1360">
        <f t="shared" si="9"/>
        <v>4800</v>
      </c>
      <c r="AL68" s="1361">
        <f t="shared" si="3"/>
        <v>5832000</v>
      </c>
      <c r="AM68" s="1538">
        <f t="shared" si="7"/>
        <v>4800</v>
      </c>
      <c r="AN68" s="1538">
        <v>140</v>
      </c>
      <c r="AO68" s="104">
        <f>AK68*AN68</f>
        <v>672000</v>
      </c>
    </row>
    <row r="69" spans="1:41" ht="13.2" customHeight="1">
      <c r="A69" s="1465"/>
      <c r="B69" s="1358" t="s">
        <v>1008</v>
      </c>
      <c r="C69" s="1031" t="s">
        <v>994</v>
      </c>
      <c r="D69" s="1359" t="s">
        <v>1017</v>
      </c>
      <c r="E69" s="2064">
        <v>1590</v>
      </c>
      <c r="F69" s="365"/>
      <c r="G69" s="365"/>
      <c r="H69" s="365"/>
      <c r="I69" s="365"/>
      <c r="J69" s="365"/>
      <c r="K69" s="365"/>
      <c r="L69" s="365"/>
      <c r="M69" s="365"/>
      <c r="N69" s="365"/>
      <c r="O69" s="365"/>
      <c r="P69" s="365"/>
      <c r="Q69" s="365"/>
      <c r="R69" s="365"/>
      <c r="S69" s="365"/>
      <c r="T69" s="365"/>
      <c r="U69" s="365">
        <v>1920</v>
      </c>
      <c r="V69" s="365"/>
      <c r="W69" s="365"/>
      <c r="X69" s="365"/>
      <c r="Y69" s="365"/>
      <c r="Z69" s="365"/>
      <c r="AA69" s="365"/>
      <c r="AB69" s="365"/>
      <c r="AC69" s="365"/>
      <c r="AD69" s="436">
        <v>960</v>
      </c>
      <c r="AE69" s="436"/>
      <c r="AF69" s="436"/>
      <c r="AG69" s="436"/>
      <c r="AH69" s="436"/>
      <c r="AI69" s="436"/>
      <c r="AJ69" s="436">
        <v>3840</v>
      </c>
      <c r="AK69" s="1360">
        <f t="shared" si="9"/>
        <v>6720</v>
      </c>
      <c r="AL69" s="1361">
        <f t="shared" ref="AL69:AL100" si="10">E69*AK69</f>
        <v>10684800</v>
      </c>
      <c r="AM69" s="1538">
        <f t="shared" si="7"/>
        <v>6720</v>
      </c>
      <c r="AN69" s="1538">
        <v>169</v>
      </c>
      <c r="AO69" s="104">
        <f>AK69*AN69</f>
        <v>1135680</v>
      </c>
    </row>
    <row r="70" spans="1:41" ht="13.2" customHeight="1">
      <c r="A70" s="1885" t="s">
        <v>2073</v>
      </c>
      <c r="B70" s="1358" t="s">
        <v>1008</v>
      </c>
      <c r="C70" s="1031" t="s">
        <v>2072</v>
      </c>
      <c r="D70" s="1359" t="s">
        <v>2110</v>
      </c>
      <c r="E70" s="732">
        <v>1471</v>
      </c>
      <c r="F70" s="365"/>
      <c r="G70" s="365">
        <v>2880</v>
      </c>
      <c r="H70" s="365"/>
      <c r="I70" s="365"/>
      <c r="J70" s="365"/>
      <c r="K70" s="365"/>
      <c r="L70" s="365"/>
      <c r="M70" s="365">
        <v>960</v>
      </c>
      <c r="N70" s="365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436"/>
      <c r="AE70" s="436"/>
      <c r="AF70" s="436"/>
      <c r="AG70" s="436"/>
      <c r="AH70" s="436"/>
      <c r="AI70" s="436"/>
      <c r="AJ70" s="436"/>
      <c r="AK70" s="1360">
        <f t="shared" si="9"/>
        <v>3840</v>
      </c>
      <c r="AL70" s="1361">
        <f t="shared" si="10"/>
        <v>5648640</v>
      </c>
      <c r="AM70" s="1538">
        <f t="shared" si="7"/>
        <v>3840</v>
      </c>
      <c r="AN70" s="1538">
        <v>169</v>
      </c>
      <c r="AO70" s="104">
        <f>AK70*AN70</f>
        <v>648960</v>
      </c>
    </row>
    <row r="71" spans="1:41" ht="13.5" customHeight="1">
      <c r="A71" s="1273"/>
      <c r="B71" s="1358" t="s">
        <v>1008</v>
      </c>
      <c r="C71" s="1031" t="s">
        <v>1391</v>
      </c>
      <c r="D71" s="1359" t="s">
        <v>975</v>
      </c>
      <c r="E71" s="732">
        <v>1104</v>
      </c>
      <c r="F71" s="431"/>
      <c r="G71" s="431"/>
      <c r="H71" s="431"/>
      <c r="I71" s="431"/>
      <c r="J71" s="431"/>
      <c r="K71" s="431"/>
      <c r="L71" s="431"/>
      <c r="M71" s="431"/>
      <c r="N71" s="431"/>
      <c r="O71" s="431"/>
      <c r="P71" s="431"/>
      <c r="Q71" s="431"/>
      <c r="R71" s="365"/>
      <c r="S71" s="365"/>
      <c r="T71" s="365"/>
      <c r="U71" s="365"/>
      <c r="V71" s="365"/>
      <c r="W71" s="431"/>
      <c r="X71" s="431"/>
      <c r="Y71" s="431"/>
      <c r="Z71" s="431"/>
      <c r="AA71" s="431"/>
      <c r="AB71" s="431"/>
      <c r="AC71" s="431"/>
      <c r="AD71" s="416"/>
      <c r="AE71" s="416"/>
      <c r="AF71" s="416"/>
      <c r="AG71" s="416"/>
      <c r="AH71" s="416"/>
      <c r="AI71" s="416"/>
      <c r="AJ71" s="416"/>
      <c r="AK71" s="736">
        <f t="shared" si="9"/>
        <v>0</v>
      </c>
      <c r="AL71" s="737">
        <f t="shared" si="10"/>
        <v>0</v>
      </c>
      <c r="AM71" s="1538">
        <f t="shared" si="7"/>
        <v>0</v>
      </c>
      <c r="AN71" s="1538"/>
      <c r="AO71" s="104"/>
    </row>
    <row r="72" spans="1:41" ht="13.2" customHeight="1">
      <c r="A72" s="1273"/>
      <c r="B72" s="1358" t="s">
        <v>1008</v>
      </c>
      <c r="C72" s="1031" t="s">
        <v>1130</v>
      </c>
      <c r="D72" s="1359" t="s">
        <v>1096</v>
      </c>
      <c r="E72" s="2064">
        <v>1347</v>
      </c>
      <c r="F72" s="365"/>
      <c r="G72" s="365"/>
      <c r="H72" s="365"/>
      <c r="I72" s="365"/>
      <c r="J72" s="365"/>
      <c r="K72" s="365"/>
      <c r="L72" s="365"/>
      <c r="M72" s="365">
        <v>1920</v>
      </c>
      <c r="N72" s="365"/>
      <c r="O72" s="365"/>
      <c r="P72" s="365"/>
      <c r="Q72" s="365"/>
      <c r="R72" s="365"/>
      <c r="S72" s="365"/>
      <c r="T72" s="365">
        <v>2880</v>
      </c>
      <c r="U72" s="365"/>
      <c r="V72" s="365"/>
      <c r="W72" s="365"/>
      <c r="X72" s="365"/>
      <c r="Y72" s="365"/>
      <c r="Z72" s="365"/>
      <c r="AA72" s="365"/>
      <c r="AB72" s="365"/>
      <c r="AC72" s="365"/>
      <c r="AD72" s="436">
        <v>1920</v>
      </c>
      <c r="AE72" s="436"/>
      <c r="AF72" s="436">
        <v>2880</v>
      </c>
      <c r="AG72" s="436"/>
      <c r="AH72" s="436"/>
      <c r="AI72" s="436"/>
      <c r="AJ72" s="436"/>
      <c r="AK72" s="1360">
        <f t="shared" si="9"/>
        <v>9600</v>
      </c>
      <c r="AL72" s="1361">
        <f t="shared" si="10"/>
        <v>12931200</v>
      </c>
      <c r="AM72" s="1538">
        <f t="shared" si="7"/>
        <v>9600</v>
      </c>
      <c r="AN72" s="1538"/>
      <c r="AO72" s="104"/>
    </row>
    <row r="73" spans="1:41" ht="13.2" customHeight="1">
      <c r="A73" s="1465"/>
      <c r="B73" s="1358" t="s">
        <v>1008</v>
      </c>
      <c r="C73" s="1031" t="s">
        <v>992</v>
      </c>
      <c r="D73" s="1359" t="s">
        <v>978</v>
      </c>
      <c r="E73" s="2064">
        <v>1460</v>
      </c>
      <c r="F73" s="431"/>
      <c r="G73" s="431">
        <v>960</v>
      </c>
      <c r="H73" s="431"/>
      <c r="I73" s="431"/>
      <c r="J73" s="431"/>
      <c r="K73" s="431"/>
      <c r="L73" s="431"/>
      <c r="M73" s="431">
        <v>960</v>
      </c>
      <c r="N73" s="431"/>
      <c r="O73" s="431"/>
      <c r="P73" s="431"/>
      <c r="Q73" s="431"/>
      <c r="R73" s="365"/>
      <c r="S73" s="365"/>
      <c r="T73" s="365"/>
      <c r="U73" s="365">
        <v>960</v>
      </c>
      <c r="V73" s="365"/>
      <c r="W73" s="431"/>
      <c r="X73" s="431"/>
      <c r="Y73" s="416">
        <v>960</v>
      </c>
      <c r="Z73" s="431"/>
      <c r="AA73" s="431"/>
      <c r="AB73" s="431"/>
      <c r="AC73" s="431"/>
      <c r="AD73" s="416"/>
      <c r="AE73" s="416"/>
      <c r="AF73" s="416"/>
      <c r="AG73" s="416"/>
      <c r="AH73" s="416"/>
      <c r="AI73" s="416"/>
      <c r="AJ73" s="416"/>
      <c r="AK73" s="1360">
        <f t="shared" si="1"/>
        <v>3840</v>
      </c>
      <c r="AL73" s="1361">
        <f t="shared" si="10"/>
        <v>5606400</v>
      </c>
      <c r="AM73" s="1538">
        <f t="shared" si="7"/>
        <v>3840</v>
      </c>
      <c r="AN73" s="1538">
        <v>115</v>
      </c>
      <c r="AO73" s="104">
        <f t="shared" si="8"/>
        <v>441600</v>
      </c>
    </row>
    <row r="74" spans="1:41" ht="13.2" customHeight="1">
      <c r="A74" s="1273"/>
      <c r="B74" s="1358" t="s">
        <v>1008</v>
      </c>
      <c r="C74" s="1274" t="s">
        <v>1308</v>
      </c>
      <c r="D74" s="1193" t="s">
        <v>1309</v>
      </c>
      <c r="E74" s="718">
        <v>1493</v>
      </c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1"/>
      <c r="T74" s="431"/>
      <c r="U74" s="431"/>
      <c r="V74" s="431"/>
      <c r="W74" s="431"/>
      <c r="X74" s="431"/>
      <c r="Y74" s="431"/>
      <c r="Z74" s="431"/>
      <c r="AA74" s="431"/>
      <c r="AB74" s="431"/>
      <c r="AC74" s="431"/>
      <c r="AD74" s="416"/>
      <c r="AE74" s="416"/>
      <c r="AF74" s="416"/>
      <c r="AG74" s="416"/>
      <c r="AH74" s="416"/>
      <c r="AI74" s="416"/>
      <c r="AJ74" s="416"/>
      <c r="AK74" s="1362">
        <f>SUM(F74:AJ74)</f>
        <v>0</v>
      </c>
      <c r="AL74" s="1363">
        <f t="shared" si="10"/>
        <v>0</v>
      </c>
      <c r="AM74" s="1538">
        <f t="shared" si="7"/>
        <v>0</v>
      </c>
      <c r="AN74" s="1538"/>
      <c r="AO74" s="104"/>
    </row>
    <row r="75" spans="1:41" ht="13.2" customHeight="1">
      <c r="A75" s="1465"/>
      <c r="B75" s="1358" t="s">
        <v>1008</v>
      </c>
      <c r="C75" s="1031" t="s">
        <v>2050</v>
      </c>
      <c r="D75" s="1359" t="s">
        <v>1316</v>
      </c>
      <c r="E75" s="2064">
        <v>1084</v>
      </c>
      <c r="F75" s="431"/>
      <c r="G75" s="431"/>
      <c r="H75" s="431">
        <v>3200</v>
      </c>
      <c r="I75" s="431"/>
      <c r="J75" s="431"/>
      <c r="K75" s="431"/>
      <c r="L75" s="431"/>
      <c r="M75" s="431"/>
      <c r="N75" s="431"/>
      <c r="O75" s="431">
        <v>6400</v>
      </c>
      <c r="P75" s="431"/>
      <c r="Q75" s="431"/>
      <c r="R75" s="431"/>
      <c r="S75" s="431"/>
      <c r="T75" s="431"/>
      <c r="U75" s="431">
        <v>3200</v>
      </c>
      <c r="V75" s="431"/>
      <c r="W75" s="431"/>
      <c r="X75" s="431"/>
      <c r="Y75" s="431"/>
      <c r="Z75" s="431"/>
      <c r="AA75" s="431"/>
      <c r="AB75" s="431"/>
      <c r="AC75" s="431">
        <v>3200</v>
      </c>
      <c r="AD75" s="416"/>
      <c r="AE75" s="416"/>
      <c r="AF75" s="416"/>
      <c r="AG75" s="416"/>
      <c r="AH75" s="416"/>
      <c r="AI75" s="416"/>
      <c r="AJ75" s="416">
        <v>6400</v>
      </c>
      <c r="AK75" s="1360">
        <f t="shared" ref="AK75:AK76" si="11">SUM(F75:AJ75)</f>
        <v>22400</v>
      </c>
      <c r="AL75" s="1361">
        <f t="shared" si="10"/>
        <v>24281600</v>
      </c>
      <c r="AM75" s="1538">
        <f t="shared" si="7"/>
        <v>22400</v>
      </c>
      <c r="AN75" s="1538">
        <v>115</v>
      </c>
      <c r="AO75" s="104">
        <f t="shared" si="8"/>
        <v>2576000</v>
      </c>
    </row>
    <row r="76" spans="1:41" ht="13.2" customHeight="1">
      <c r="A76" s="1465"/>
      <c r="B76" s="1358" t="s">
        <v>1008</v>
      </c>
      <c r="C76" s="1031" t="s">
        <v>1315</v>
      </c>
      <c r="D76" s="1359" t="s">
        <v>1318</v>
      </c>
      <c r="E76" s="2064">
        <v>1634</v>
      </c>
      <c r="F76" s="431"/>
      <c r="G76" s="431"/>
      <c r="H76" s="431">
        <v>4800</v>
      </c>
      <c r="I76" s="431"/>
      <c r="J76" s="431"/>
      <c r="K76" s="431"/>
      <c r="L76" s="431"/>
      <c r="M76" s="431"/>
      <c r="N76" s="431"/>
      <c r="O76" s="431">
        <v>5760</v>
      </c>
      <c r="P76" s="431"/>
      <c r="Q76" s="431"/>
      <c r="R76" s="431"/>
      <c r="S76" s="431"/>
      <c r="T76" s="431"/>
      <c r="U76" s="431">
        <v>4800</v>
      </c>
      <c r="V76" s="431"/>
      <c r="W76" s="431"/>
      <c r="X76" s="431"/>
      <c r="Y76" s="431"/>
      <c r="Z76" s="431"/>
      <c r="AA76" s="431"/>
      <c r="AB76" s="431"/>
      <c r="AC76" s="431">
        <v>4800</v>
      </c>
      <c r="AD76" s="416"/>
      <c r="AE76" s="416"/>
      <c r="AF76" s="416"/>
      <c r="AG76" s="416"/>
      <c r="AH76" s="416"/>
      <c r="AI76" s="416"/>
      <c r="AJ76" s="416">
        <v>4800</v>
      </c>
      <c r="AK76" s="1360">
        <f t="shared" si="11"/>
        <v>24960</v>
      </c>
      <c r="AL76" s="1361">
        <f t="shared" si="10"/>
        <v>40784640</v>
      </c>
      <c r="AM76" s="1538">
        <f t="shared" si="7"/>
        <v>24960</v>
      </c>
      <c r="AN76" s="1538">
        <v>174</v>
      </c>
      <c r="AO76" s="104">
        <f t="shared" si="8"/>
        <v>4343040</v>
      </c>
    </row>
    <row r="77" spans="1:41" ht="13.2" customHeight="1">
      <c r="A77" s="1465"/>
      <c r="B77" s="1358" t="s">
        <v>1008</v>
      </c>
      <c r="C77" s="1031" t="s">
        <v>1314</v>
      </c>
      <c r="D77" s="1359" t="s">
        <v>1317</v>
      </c>
      <c r="E77" s="2064">
        <v>900</v>
      </c>
      <c r="F77" s="431"/>
      <c r="G77" s="431"/>
      <c r="H77" s="431">
        <v>4800</v>
      </c>
      <c r="I77" s="431"/>
      <c r="J77" s="431"/>
      <c r="K77" s="431"/>
      <c r="L77" s="431"/>
      <c r="M77" s="431"/>
      <c r="N77" s="431"/>
      <c r="O77" s="431">
        <v>9600</v>
      </c>
      <c r="P77" s="431"/>
      <c r="Q77" s="431"/>
      <c r="R77" s="431"/>
      <c r="S77" s="431"/>
      <c r="T77" s="431"/>
      <c r="U77" s="431">
        <v>9600</v>
      </c>
      <c r="V77" s="431"/>
      <c r="W77" s="431"/>
      <c r="X77" s="431"/>
      <c r="Y77" s="431"/>
      <c r="Z77" s="431"/>
      <c r="AA77" s="431"/>
      <c r="AB77" s="431"/>
      <c r="AC77" s="431">
        <v>9600</v>
      </c>
      <c r="AD77" s="416"/>
      <c r="AE77" s="416"/>
      <c r="AF77" s="416"/>
      <c r="AG77" s="416"/>
      <c r="AH77" s="416"/>
      <c r="AI77" s="416"/>
      <c r="AJ77" s="416">
        <v>9600</v>
      </c>
      <c r="AK77" s="1360">
        <f>SUM(F77:AJ77)</f>
        <v>43200</v>
      </c>
      <c r="AL77" s="1361">
        <f t="shared" si="10"/>
        <v>38880000</v>
      </c>
      <c r="AM77" s="1538">
        <f t="shared" si="7"/>
        <v>43200</v>
      </c>
      <c r="AN77" s="1538">
        <v>96</v>
      </c>
      <c r="AO77" s="104">
        <f t="shared" si="8"/>
        <v>4147200</v>
      </c>
    </row>
    <row r="78" spans="1:41" ht="13.2" customHeight="1">
      <c r="A78" s="1273"/>
      <c r="B78" s="1358" t="s">
        <v>1008</v>
      </c>
      <c r="C78" s="1031" t="s">
        <v>1172</v>
      </c>
      <c r="D78" s="1359" t="s">
        <v>1176</v>
      </c>
      <c r="E78" s="2064">
        <v>1246</v>
      </c>
      <c r="F78" s="365"/>
      <c r="G78" s="365">
        <v>1600</v>
      </c>
      <c r="H78" s="365"/>
      <c r="I78" s="365"/>
      <c r="J78" s="365"/>
      <c r="K78" s="365"/>
      <c r="L78" s="365"/>
      <c r="M78" s="365"/>
      <c r="N78" s="365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436"/>
      <c r="AE78" s="436"/>
      <c r="AF78" s="436"/>
      <c r="AG78" s="436"/>
      <c r="AH78" s="436"/>
      <c r="AI78" s="436"/>
      <c r="AJ78" s="436"/>
      <c r="AK78" s="1360">
        <f>SUM(F78:AJ78)</f>
        <v>1600</v>
      </c>
      <c r="AL78" s="737">
        <f t="shared" si="10"/>
        <v>1993600</v>
      </c>
      <c r="AM78" s="33"/>
      <c r="AN78" s="33"/>
      <c r="AO78" s="1539">
        <f>SUM(AO65:AO77)</f>
        <v>15084480</v>
      </c>
    </row>
    <row r="79" spans="1:41" ht="14.25" customHeight="1">
      <c r="A79" s="1273"/>
      <c r="B79" s="1358" t="s">
        <v>1008</v>
      </c>
      <c r="C79" s="1031" t="s">
        <v>1173</v>
      </c>
      <c r="D79" s="1359" t="s">
        <v>1177</v>
      </c>
      <c r="E79" s="732">
        <v>1459</v>
      </c>
      <c r="F79" s="365"/>
      <c r="G79" s="365"/>
      <c r="H79" s="365"/>
      <c r="I79" s="365"/>
      <c r="J79" s="365"/>
      <c r="K79" s="365"/>
      <c r="L79" s="365"/>
      <c r="M79" s="365">
        <v>1920</v>
      </c>
      <c r="N79" s="365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436"/>
      <c r="AE79" s="436"/>
      <c r="AF79" s="436"/>
      <c r="AG79" s="436"/>
      <c r="AH79" s="436"/>
      <c r="AI79" s="436"/>
      <c r="AJ79" s="436"/>
      <c r="AK79" s="1360">
        <f>SUM(F79:AJ79)</f>
        <v>1920</v>
      </c>
      <c r="AL79" s="737">
        <f t="shared" si="10"/>
        <v>2801280</v>
      </c>
      <c r="AM79" s="33"/>
      <c r="AN79" s="33"/>
    </row>
    <row r="80" spans="1:41" ht="14.25" customHeight="1">
      <c r="A80" s="1273"/>
      <c r="B80" s="1358" t="s">
        <v>1008</v>
      </c>
      <c r="C80" s="1364" t="s">
        <v>1537</v>
      </c>
      <c r="D80" s="1359" t="s">
        <v>1536</v>
      </c>
      <c r="E80" s="2064">
        <v>1458</v>
      </c>
      <c r="F80" s="365"/>
      <c r="G80" s="365"/>
      <c r="H80" s="365"/>
      <c r="I80" s="365"/>
      <c r="J80" s="365"/>
      <c r="K80" s="365"/>
      <c r="L80" s="365"/>
      <c r="M80" s="365"/>
      <c r="N80" s="365"/>
      <c r="O80" s="365"/>
      <c r="P80" s="365"/>
      <c r="Q80" s="365"/>
      <c r="R80" s="365"/>
      <c r="S80" s="365"/>
      <c r="T80" s="365">
        <v>3840</v>
      </c>
      <c r="U80" s="365"/>
      <c r="V80" s="365"/>
      <c r="W80" s="365"/>
      <c r="X80" s="365"/>
      <c r="Y80" s="365">
        <v>1920</v>
      </c>
      <c r="Z80" s="365"/>
      <c r="AA80" s="365"/>
      <c r="AB80" s="365">
        <v>1920</v>
      </c>
      <c r="AC80" s="365"/>
      <c r="AD80" s="436"/>
      <c r="AE80" s="436"/>
      <c r="AF80" s="436"/>
      <c r="AG80" s="436"/>
      <c r="AH80" s="436"/>
      <c r="AI80" s="436">
        <v>1920</v>
      </c>
      <c r="AJ80" s="436">
        <v>5760</v>
      </c>
      <c r="AK80" s="1360">
        <f>SUM(F80:AJ80)</f>
        <v>15360</v>
      </c>
      <c r="AL80" s="737">
        <f t="shared" si="10"/>
        <v>22394880</v>
      </c>
      <c r="AM80" s="33"/>
      <c r="AN80" s="33"/>
    </row>
    <row r="81" spans="1:40" ht="14.25" customHeight="1">
      <c r="A81" s="1273"/>
      <c r="B81" s="1358" t="s">
        <v>1008</v>
      </c>
      <c r="C81" s="1364" t="s">
        <v>1538</v>
      </c>
      <c r="D81" s="1359" t="s">
        <v>1535</v>
      </c>
      <c r="E81" s="2064">
        <v>1424</v>
      </c>
      <c r="F81" s="365"/>
      <c r="G81" s="365">
        <v>2880</v>
      </c>
      <c r="H81" s="365"/>
      <c r="I81" s="365"/>
      <c r="J81" s="365"/>
      <c r="K81" s="365"/>
      <c r="L81" s="365"/>
      <c r="M81" s="365"/>
      <c r="N81" s="365"/>
      <c r="O81" s="365">
        <v>2880</v>
      </c>
      <c r="P81" s="365"/>
      <c r="Q81" s="365"/>
      <c r="R81" s="365"/>
      <c r="S81" s="365"/>
      <c r="T81" s="365">
        <v>960</v>
      </c>
      <c r="U81" s="365"/>
      <c r="V81" s="365"/>
      <c r="W81" s="365"/>
      <c r="X81" s="365"/>
      <c r="Y81" s="365"/>
      <c r="Z81" s="365"/>
      <c r="AA81" s="365"/>
      <c r="AB81" s="365">
        <v>1920</v>
      </c>
      <c r="AC81" s="365"/>
      <c r="AD81" s="436">
        <v>2880</v>
      </c>
      <c r="AE81" s="436"/>
      <c r="AF81" s="436"/>
      <c r="AG81" s="436"/>
      <c r="AH81" s="436"/>
      <c r="AI81" s="436">
        <v>960</v>
      </c>
      <c r="AJ81" s="436">
        <v>1920</v>
      </c>
      <c r="AK81" s="1360">
        <f t="shared" ref="AK81" si="12">SUM(F81:AJ81)</f>
        <v>14400</v>
      </c>
      <c r="AL81" s="737">
        <f t="shared" si="10"/>
        <v>20505600</v>
      </c>
      <c r="AM81" s="33"/>
      <c r="AN81" s="33"/>
    </row>
    <row r="82" spans="1:40" ht="14.25" customHeight="1">
      <c r="A82" s="1273"/>
      <c r="B82" s="1489" t="s">
        <v>1527</v>
      </c>
      <c r="C82" s="1490" t="s">
        <v>1526</v>
      </c>
      <c r="D82" s="1490" t="s">
        <v>1525</v>
      </c>
      <c r="E82" s="1886">
        <v>1604</v>
      </c>
      <c r="F82" s="365"/>
      <c r="G82" s="365"/>
      <c r="H82" s="365">
        <v>3840</v>
      </c>
      <c r="I82" s="365"/>
      <c r="J82" s="365"/>
      <c r="K82" s="365"/>
      <c r="L82" s="365"/>
      <c r="M82" s="365"/>
      <c r="N82" s="365"/>
      <c r="O82" s="365">
        <v>3840</v>
      </c>
      <c r="P82" s="365"/>
      <c r="Q82" s="365"/>
      <c r="R82" s="365"/>
      <c r="S82" s="365"/>
      <c r="T82" s="365"/>
      <c r="U82" s="365">
        <v>1920</v>
      </c>
      <c r="V82" s="365"/>
      <c r="W82" s="365"/>
      <c r="X82" s="365"/>
      <c r="Y82" s="365">
        <v>1920</v>
      </c>
      <c r="Z82" s="365"/>
      <c r="AA82" s="365"/>
      <c r="AB82" s="365"/>
      <c r="AC82" s="365"/>
      <c r="AD82" s="436"/>
      <c r="AE82" s="436"/>
      <c r="AF82" s="436"/>
      <c r="AG82" s="436"/>
      <c r="AH82" s="436"/>
      <c r="AI82" s="436">
        <v>1920</v>
      </c>
      <c r="AJ82" s="436">
        <v>3840</v>
      </c>
      <c r="AK82" s="1508">
        <f t="shared" ref="AK82:AK83" si="13">SUM(F82:AJ82)</f>
        <v>17280</v>
      </c>
      <c r="AL82" s="1509">
        <f t="shared" si="10"/>
        <v>27717120</v>
      </c>
      <c r="AM82" s="33"/>
      <c r="AN82" s="33"/>
    </row>
    <row r="83" spans="1:40" ht="14.25" customHeight="1">
      <c r="A83" s="1273"/>
      <c r="B83" s="1489" t="s">
        <v>1527</v>
      </c>
      <c r="C83" s="1490" t="s">
        <v>1528</v>
      </c>
      <c r="D83" s="1490" t="s">
        <v>1759</v>
      </c>
      <c r="E83" s="1886">
        <v>1604</v>
      </c>
      <c r="F83" s="365"/>
      <c r="G83" s="365"/>
      <c r="H83" s="365">
        <v>3840</v>
      </c>
      <c r="I83" s="365"/>
      <c r="J83" s="365"/>
      <c r="K83" s="365"/>
      <c r="L83" s="365"/>
      <c r="M83" s="365"/>
      <c r="N83" s="365"/>
      <c r="O83" s="365">
        <v>3840</v>
      </c>
      <c r="P83" s="365"/>
      <c r="Q83" s="365"/>
      <c r="R83" s="365"/>
      <c r="S83" s="365"/>
      <c r="T83" s="365"/>
      <c r="U83" s="365">
        <v>1920</v>
      </c>
      <c r="V83" s="365"/>
      <c r="W83" s="365"/>
      <c r="X83" s="365"/>
      <c r="Y83" s="365">
        <v>1920</v>
      </c>
      <c r="Z83" s="365"/>
      <c r="AA83" s="365"/>
      <c r="AB83" s="365"/>
      <c r="AC83" s="365"/>
      <c r="AD83" s="436"/>
      <c r="AE83" s="436"/>
      <c r="AF83" s="436"/>
      <c r="AG83" s="436"/>
      <c r="AH83" s="436"/>
      <c r="AI83" s="436">
        <v>1920</v>
      </c>
      <c r="AJ83" s="436">
        <v>3840</v>
      </c>
      <c r="AK83" s="1508">
        <f t="shared" si="13"/>
        <v>17280</v>
      </c>
      <c r="AL83" s="1509">
        <f t="shared" si="10"/>
        <v>27717120</v>
      </c>
      <c r="AM83" s="33"/>
      <c r="AN83" s="33"/>
    </row>
    <row r="84" spans="1:40" ht="13.2" customHeight="1">
      <c r="A84" s="1273"/>
      <c r="B84" s="1491" t="s">
        <v>1194</v>
      </c>
      <c r="C84" s="1364" t="s">
        <v>1196</v>
      </c>
      <c r="D84" s="1364" t="s">
        <v>1195</v>
      </c>
      <c r="E84" s="721">
        <v>4327</v>
      </c>
      <c r="F84" s="365"/>
      <c r="G84" s="365">
        <v>640</v>
      </c>
      <c r="H84" s="365">
        <v>960</v>
      </c>
      <c r="I84" s="365"/>
      <c r="J84" s="365"/>
      <c r="K84" s="365"/>
      <c r="L84" s="365"/>
      <c r="M84" s="365">
        <v>640</v>
      </c>
      <c r="N84" s="365"/>
      <c r="O84" s="365"/>
      <c r="P84" s="365"/>
      <c r="Q84" s="365"/>
      <c r="R84" s="365">
        <v>960</v>
      </c>
      <c r="S84" s="365"/>
      <c r="T84" s="365"/>
      <c r="U84" s="365">
        <v>1960</v>
      </c>
      <c r="V84" s="365"/>
      <c r="W84" s="365"/>
      <c r="X84" s="365"/>
      <c r="Y84" s="365"/>
      <c r="Z84" s="365"/>
      <c r="AA84" s="365">
        <v>640</v>
      </c>
      <c r="AB84" s="365"/>
      <c r="AC84" s="365"/>
      <c r="AD84" s="436">
        <v>1240</v>
      </c>
      <c r="AE84" s="436"/>
      <c r="AF84" s="436"/>
      <c r="AG84" s="436"/>
      <c r="AH84" s="436">
        <v>640</v>
      </c>
      <c r="AI84" s="436">
        <v>960</v>
      </c>
      <c r="AJ84" s="436">
        <v>640</v>
      </c>
      <c r="AK84" s="1365">
        <f t="shared" ref="AK84" si="14">SUM(F84:AJ84)</f>
        <v>9280</v>
      </c>
      <c r="AL84" s="1366">
        <f t="shared" si="10"/>
        <v>40154560</v>
      </c>
      <c r="AM84"/>
      <c r="AN84" s="33"/>
    </row>
    <row r="85" spans="1:40" ht="13.2" customHeight="1">
      <c r="A85" s="1273"/>
      <c r="B85" s="1492" t="s">
        <v>1194</v>
      </c>
      <c r="C85" s="1031" t="s">
        <v>1174</v>
      </c>
      <c r="D85" s="1364" t="s">
        <v>1178</v>
      </c>
      <c r="E85" s="721">
        <v>1657</v>
      </c>
      <c r="F85" s="365"/>
      <c r="G85" s="365"/>
      <c r="H85" s="365"/>
      <c r="I85" s="365"/>
      <c r="J85" s="365"/>
      <c r="K85" s="365"/>
      <c r="L85" s="365"/>
      <c r="M85" s="365"/>
      <c r="N85" s="365"/>
      <c r="O85" s="365"/>
      <c r="P85" s="436"/>
      <c r="Q85" s="436"/>
      <c r="R85" s="436"/>
      <c r="S85" s="436"/>
      <c r="T85" s="365"/>
      <c r="U85" s="365"/>
      <c r="V85" s="365"/>
      <c r="W85" s="365"/>
      <c r="X85" s="365"/>
      <c r="Y85" s="365">
        <v>2400</v>
      </c>
      <c r="Z85" s="365"/>
      <c r="AA85" s="365"/>
      <c r="AB85" s="365"/>
      <c r="AC85" s="365"/>
      <c r="AD85" s="436"/>
      <c r="AE85" s="436"/>
      <c r="AF85" s="436"/>
      <c r="AG85" s="436"/>
      <c r="AH85" s="436"/>
      <c r="AI85" s="436"/>
      <c r="AJ85" s="436"/>
      <c r="AK85" s="1365">
        <f t="shared" si="1"/>
        <v>2400</v>
      </c>
      <c r="AL85" s="1366">
        <f t="shared" si="10"/>
        <v>3976800</v>
      </c>
      <c r="AM85" s="33"/>
      <c r="AN85" s="33"/>
    </row>
    <row r="86" spans="1:40" ht="13.2" customHeight="1">
      <c r="A86" s="1273"/>
      <c r="B86" s="1491" t="s">
        <v>1194</v>
      </c>
      <c r="C86" s="1364" t="s">
        <v>2075</v>
      </c>
      <c r="D86" s="1364" t="s">
        <v>1179</v>
      </c>
      <c r="E86" s="721">
        <v>1657</v>
      </c>
      <c r="F86" s="365"/>
      <c r="G86" s="365"/>
      <c r="H86" s="365"/>
      <c r="I86" s="365"/>
      <c r="J86" s="365"/>
      <c r="K86" s="365"/>
      <c r="L86" s="365"/>
      <c r="M86" s="365"/>
      <c r="N86" s="365"/>
      <c r="O86" s="365"/>
      <c r="P86" s="436"/>
      <c r="Q86" s="436"/>
      <c r="R86" s="436"/>
      <c r="S86" s="436"/>
      <c r="T86" s="365"/>
      <c r="U86" s="365"/>
      <c r="V86" s="365"/>
      <c r="W86" s="365"/>
      <c r="X86" s="365"/>
      <c r="Y86" s="365">
        <v>2400</v>
      </c>
      <c r="Z86" s="365"/>
      <c r="AA86" s="365"/>
      <c r="AB86" s="365"/>
      <c r="AC86" s="365"/>
      <c r="AD86" s="436"/>
      <c r="AE86" s="436"/>
      <c r="AF86" s="436"/>
      <c r="AG86" s="436"/>
      <c r="AH86" s="436"/>
      <c r="AI86" s="365"/>
      <c r="AJ86" s="436"/>
      <c r="AK86" s="1365">
        <f t="shared" si="1"/>
        <v>2400</v>
      </c>
      <c r="AL86" s="1366">
        <f t="shared" si="10"/>
        <v>3976800</v>
      </c>
      <c r="AM86" s="33"/>
      <c r="AN86" s="33"/>
    </row>
    <row r="87" spans="1:40" ht="13.2" customHeight="1" thickBot="1">
      <c r="A87" s="1273"/>
      <c r="B87" s="1888" t="s">
        <v>1194</v>
      </c>
      <c r="C87" s="1889" t="s">
        <v>2074</v>
      </c>
      <c r="D87" s="1889" t="s">
        <v>1179</v>
      </c>
      <c r="E87" s="738">
        <v>1657</v>
      </c>
      <c r="F87" s="373"/>
      <c r="G87" s="373"/>
      <c r="H87" s="373"/>
      <c r="I87" s="373"/>
      <c r="J87" s="373"/>
      <c r="K87" s="373"/>
      <c r="L87" s="373"/>
      <c r="M87" s="373"/>
      <c r="N87" s="373"/>
      <c r="O87" s="373"/>
      <c r="P87" s="455"/>
      <c r="Q87" s="455"/>
      <c r="R87" s="455"/>
      <c r="S87" s="455"/>
      <c r="T87" s="373"/>
      <c r="U87" s="373"/>
      <c r="V87" s="373"/>
      <c r="W87" s="373"/>
      <c r="X87" s="373"/>
      <c r="Y87" s="373"/>
      <c r="Z87" s="373"/>
      <c r="AA87" s="373"/>
      <c r="AB87" s="373"/>
      <c r="AC87" s="373"/>
      <c r="AD87" s="455"/>
      <c r="AE87" s="455"/>
      <c r="AF87" s="455"/>
      <c r="AG87" s="455"/>
      <c r="AH87" s="455"/>
      <c r="AI87" s="373"/>
      <c r="AJ87" s="455"/>
      <c r="AK87" s="1894">
        <f t="shared" ref="AK87" si="15">SUM(F87:AJ87)</f>
        <v>0</v>
      </c>
      <c r="AL87" s="1895">
        <f t="shared" si="10"/>
        <v>0</v>
      </c>
      <c r="AM87" s="33"/>
      <c r="AN87" s="33"/>
    </row>
    <row r="88" spans="1:40" ht="12.6" customHeight="1">
      <c r="A88" s="1447" t="s">
        <v>1546</v>
      </c>
      <c r="B88" s="1890" t="s">
        <v>1194</v>
      </c>
      <c r="C88" s="1506" t="s">
        <v>1026</v>
      </c>
      <c r="D88" s="1891" t="s">
        <v>980</v>
      </c>
      <c r="E88" s="2264">
        <v>891</v>
      </c>
      <c r="F88" s="427"/>
      <c r="G88" s="427"/>
      <c r="H88" s="427"/>
      <c r="I88" s="427"/>
      <c r="J88" s="427"/>
      <c r="K88" s="427"/>
      <c r="L88" s="427"/>
      <c r="M88" s="427"/>
      <c r="N88" s="427"/>
      <c r="O88" s="427"/>
      <c r="P88" s="448"/>
      <c r="Q88" s="448"/>
      <c r="R88" s="448"/>
      <c r="S88" s="448"/>
      <c r="T88" s="427"/>
      <c r="U88" s="427"/>
      <c r="V88" s="427"/>
      <c r="W88" s="427"/>
      <c r="X88" s="427"/>
      <c r="Y88" s="427"/>
      <c r="Z88" s="427"/>
      <c r="AA88" s="427"/>
      <c r="AB88" s="427"/>
      <c r="AC88" s="427"/>
      <c r="AD88" s="448"/>
      <c r="AE88" s="448"/>
      <c r="AF88" s="448"/>
      <c r="AG88" s="448"/>
      <c r="AH88" s="448"/>
      <c r="AI88" s="427"/>
      <c r="AJ88" s="448"/>
      <c r="AK88" s="1892">
        <f t="shared" si="1"/>
        <v>0</v>
      </c>
      <c r="AL88" s="1893">
        <f t="shared" si="10"/>
        <v>0</v>
      </c>
      <c r="AN88" s="33"/>
    </row>
    <row r="89" spans="1:40" ht="12.6" customHeight="1">
      <c r="A89" s="1447" t="s">
        <v>1547</v>
      </c>
      <c r="B89" s="1492" t="s">
        <v>1194</v>
      </c>
      <c r="C89" s="1031" t="s">
        <v>1404</v>
      </c>
      <c r="D89" s="1266" t="s">
        <v>1405</v>
      </c>
      <c r="E89" s="2265">
        <v>279</v>
      </c>
      <c r="F89" s="431"/>
      <c r="G89" s="431"/>
      <c r="H89" s="431"/>
      <c r="I89" s="431"/>
      <c r="J89" s="431"/>
      <c r="K89" s="431"/>
      <c r="L89" s="431"/>
      <c r="M89" s="431"/>
      <c r="N89" s="431"/>
      <c r="O89" s="431"/>
      <c r="P89" s="416"/>
      <c r="Q89" s="416"/>
      <c r="R89" s="416"/>
      <c r="S89" s="416"/>
      <c r="T89" s="431"/>
      <c r="U89" s="431"/>
      <c r="V89" s="431"/>
      <c r="W89" s="431"/>
      <c r="X89" s="431"/>
      <c r="Y89" s="431"/>
      <c r="Z89" s="431"/>
      <c r="AA89" s="431"/>
      <c r="AB89" s="431"/>
      <c r="AC89" s="431"/>
      <c r="AD89" s="416"/>
      <c r="AE89" s="416"/>
      <c r="AF89" s="416"/>
      <c r="AG89" s="416"/>
      <c r="AH89" s="416"/>
      <c r="AI89" s="431"/>
      <c r="AJ89" s="416"/>
      <c r="AK89" s="1608">
        <f t="shared" si="1"/>
        <v>0</v>
      </c>
      <c r="AL89" s="1627">
        <f t="shared" si="10"/>
        <v>0</v>
      </c>
      <c r="AM89" s="1618"/>
      <c r="AN89" s="33"/>
    </row>
    <row r="90" spans="1:40" ht="12.6" customHeight="1">
      <c r="A90" s="1448">
        <v>0.7</v>
      </c>
      <c r="B90" s="1492" t="s">
        <v>1194</v>
      </c>
      <c r="C90" s="1031" t="s">
        <v>1406</v>
      </c>
      <c r="D90" s="1266" t="s">
        <v>1407</v>
      </c>
      <c r="E90" s="2265">
        <v>397</v>
      </c>
      <c r="F90" s="431"/>
      <c r="G90" s="431"/>
      <c r="H90" s="431"/>
      <c r="I90" s="431"/>
      <c r="J90" s="431"/>
      <c r="K90" s="431"/>
      <c r="L90" s="431"/>
      <c r="M90" s="431"/>
      <c r="N90" s="431"/>
      <c r="O90" s="431"/>
      <c r="P90" s="416"/>
      <c r="Q90" s="416"/>
      <c r="R90" s="416"/>
      <c r="S90" s="416"/>
      <c r="T90" s="431"/>
      <c r="U90" s="431"/>
      <c r="V90" s="431"/>
      <c r="W90" s="431"/>
      <c r="X90" s="431"/>
      <c r="Y90" s="431"/>
      <c r="Z90" s="431"/>
      <c r="AA90" s="431"/>
      <c r="AB90" s="431"/>
      <c r="AC90" s="431"/>
      <c r="AD90" s="416"/>
      <c r="AE90" s="416"/>
      <c r="AF90" s="416"/>
      <c r="AG90" s="416"/>
      <c r="AH90" s="416"/>
      <c r="AI90" s="431"/>
      <c r="AJ90" s="416"/>
      <c r="AK90" s="1608">
        <f t="shared" si="1"/>
        <v>0</v>
      </c>
      <c r="AL90" s="1627">
        <f t="shared" si="10"/>
        <v>0</v>
      </c>
      <c r="AM90" s="1618"/>
      <c r="AN90" s="33"/>
    </row>
    <row r="91" spans="1:40" ht="12" customHeight="1">
      <c r="A91" s="1273"/>
      <c r="B91" s="1351" t="s">
        <v>1392</v>
      </c>
      <c r="C91" s="1031" t="s">
        <v>1025</v>
      </c>
      <c r="D91" s="1266" t="s">
        <v>979</v>
      </c>
      <c r="E91" s="2265">
        <v>1354</v>
      </c>
      <c r="F91" s="431"/>
      <c r="G91" s="431"/>
      <c r="H91" s="431"/>
      <c r="I91" s="431"/>
      <c r="J91" s="431"/>
      <c r="K91" s="431"/>
      <c r="L91" s="431"/>
      <c r="M91" s="431"/>
      <c r="N91" s="431"/>
      <c r="O91" s="431"/>
      <c r="P91" s="416"/>
      <c r="Q91" s="416"/>
      <c r="R91" s="416"/>
      <c r="S91" s="416"/>
      <c r="T91" s="431"/>
      <c r="U91" s="431"/>
      <c r="V91" s="431"/>
      <c r="W91" s="431"/>
      <c r="X91" s="431"/>
      <c r="Y91" s="431"/>
      <c r="Z91" s="431"/>
      <c r="AA91" s="431"/>
      <c r="AB91" s="431"/>
      <c r="AC91" s="431"/>
      <c r="AD91" s="416"/>
      <c r="AE91" s="416"/>
      <c r="AF91" s="416"/>
      <c r="AG91" s="416"/>
      <c r="AH91" s="416"/>
      <c r="AI91" s="416"/>
      <c r="AJ91" s="2183">
        <v>3000</v>
      </c>
      <c r="AK91" s="1608">
        <f t="shared" si="1"/>
        <v>3000</v>
      </c>
      <c r="AL91" s="1627">
        <f t="shared" si="10"/>
        <v>4062000</v>
      </c>
      <c r="AM91" s="1618"/>
      <c r="AN91" s="33"/>
    </row>
    <row r="92" spans="1:40" ht="12.6" customHeight="1">
      <c r="A92" s="1273"/>
      <c r="B92" s="1351" t="s">
        <v>1392</v>
      </c>
      <c r="C92" s="1031" t="s">
        <v>1408</v>
      </c>
      <c r="D92" s="1266" t="s">
        <v>1409</v>
      </c>
      <c r="E92" s="733">
        <v>900</v>
      </c>
      <c r="F92" s="431"/>
      <c r="G92" s="431"/>
      <c r="H92" s="431"/>
      <c r="I92" s="431"/>
      <c r="J92" s="431"/>
      <c r="K92" s="431"/>
      <c r="L92" s="431"/>
      <c r="M92" s="431"/>
      <c r="N92" s="431"/>
      <c r="O92" s="431"/>
      <c r="P92" s="416"/>
      <c r="Q92" s="416"/>
      <c r="R92" s="416"/>
      <c r="S92" s="416"/>
      <c r="T92" s="431"/>
      <c r="U92" s="431"/>
      <c r="V92" s="431"/>
      <c r="W92" s="431"/>
      <c r="X92" s="431"/>
      <c r="Y92" s="431"/>
      <c r="Z92" s="431"/>
      <c r="AA92" s="431"/>
      <c r="AB92" s="431"/>
      <c r="AC92" s="431"/>
      <c r="AD92" s="416"/>
      <c r="AE92" s="416"/>
      <c r="AF92" s="416"/>
      <c r="AG92" s="416"/>
      <c r="AH92" s="416"/>
      <c r="AI92" s="431"/>
      <c r="AJ92" s="416"/>
      <c r="AK92" s="1608">
        <f t="shared" si="1"/>
        <v>0</v>
      </c>
      <c r="AL92" s="1627">
        <f t="shared" si="10"/>
        <v>0</v>
      </c>
      <c r="AM92" s="1618"/>
      <c r="AN92" s="33"/>
    </row>
    <row r="93" spans="1:40" ht="12.6" customHeight="1">
      <c r="A93" s="1273"/>
      <c r="B93" s="1351" t="s">
        <v>1392</v>
      </c>
      <c r="C93" s="1031" t="s">
        <v>1410</v>
      </c>
      <c r="D93" s="1266" t="s">
        <v>1411</v>
      </c>
      <c r="E93" s="733">
        <v>1485</v>
      </c>
      <c r="F93" s="431"/>
      <c r="G93" s="431"/>
      <c r="H93" s="431"/>
      <c r="I93" s="431"/>
      <c r="J93" s="431"/>
      <c r="K93" s="431"/>
      <c r="L93" s="431"/>
      <c r="M93" s="431"/>
      <c r="N93" s="431"/>
      <c r="O93" s="431"/>
      <c r="P93" s="416"/>
      <c r="Q93" s="416"/>
      <c r="R93" s="416"/>
      <c r="S93" s="416"/>
      <c r="T93" s="431"/>
      <c r="U93" s="431"/>
      <c r="V93" s="431"/>
      <c r="W93" s="431"/>
      <c r="X93" s="431"/>
      <c r="Y93" s="431"/>
      <c r="Z93" s="431"/>
      <c r="AA93" s="431"/>
      <c r="AB93" s="431"/>
      <c r="AC93" s="431"/>
      <c r="AD93" s="416"/>
      <c r="AE93" s="416"/>
      <c r="AF93" s="416"/>
      <c r="AG93" s="416"/>
      <c r="AH93" s="416"/>
      <c r="AI93" s="431"/>
      <c r="AJ93" s="416"/>
      <c r="AK93" s="1608">
        <f t="shared" si="1"/>
        <v>0</v>
      </c>
      <c r="AL93" s="1627">
        <f t="shared" si="10"/>
        <v>0</v>
      </c>
      <c r="AM93" s="1618"/>
      <c r="AN93" s="33"/>
    </row>
    <row r="94" spans="1:40" ht="12.6" customHeight="1">
      <c r="A94" s="1273"/>
      <c r="B94" s="1351" t="s">
        <v>1392</v>
      </c>
      <c r="C94" s="1031" t="s">
        <v>1027</v>
      </c>
      <c r="D94" s="1266" t="s">
        <v>1028</v>
      </c>
      <c r="E94" s="2265">
        <v>1413</v>
      </c>
      <c r="F94" s="431"/>
      <c r="G94" s="431"/>
      <c r="H94" s="431"/>
      <c r="I94" s="431"/>
      <c r="J94" s="431"/>
      <c r="K94" s="431"/>
      <c r="L94" s="431"/>
      <c r="M94" s="431"/>
      <c r="N94" s="431"/>
      <c r="O94" s="431"/>
      <c r="P94" s="431"/>
      <c r="Q94" s="431"/>
      <c r="R94" s="431"/>
      <c r="S94" s="431"/>
      <c r="T94" s="431"/>
      <c r="U94" s="431"/>
      <c r="V94" s="431"/>
      <c r="W94" s="431"/>
      <c r="X94" s="431"/>
      <c r="Y94" s="431"/>
      <c r="Z94" s="431"/>
      <c r="AA94" s="431"/>
      <c r="AB94" s="431"/>
      <c r="AC94" s="431">
        <v>2025</v>
      </c>
      <c r="AD94" s="416"/>
      <c r="AE94" s="416"/>
      <c r="AF94" s="416"/>
      <c r="AG94" s="416"/>
      <c r="AH94" s="416"/>
      <c r="AI94" s="431"/>
      <c r="AJ94" s="416"/>
      <c r="AK94" s="1608">
        <f t="shared" si="1"/>
        <v>2025</v>
      </c>
      <c r="AL94" s="1627">
        <f t="shared" si="10"/>
        <v>2861325</v>
      </c>
      <c r="AM94" s="1618"/>
      <c r="AN94" s="33"/>
    </row>
    <row r="95" spans="1:40" ht="12.6" customHeight="1">
      <c r="A95" s="1273"/>
      <c r="B95" s="1351" t="s">
        <v>1392</v>
      </c>
      <c r="C95" s="1031" t="s">
        <v>1128</v>
      </c>
      <c r="D95" s="1266" t="s">
        <v>1108</v>
      </c>
      <c r="E95" s="733">
        <v>1221</v>
      </c>
      <c r="F95" s="431"/>
      <c r="G95" s="431"/>
      <c r="H95" s="431"/>
      <c r="I95" s="431"/>
      <c r="J95" s="431"/>
      <c r="K95" s="431"/>
      <c r="L95" s="431"/>
      <c r="M95" s="431"/>
      <c r="N95" s="431"/>
      <c r="O95" s="431"/>
      <c r="P95" s="431"/>
      <c r="Q95" s="431"/>
      <c r="R95" s="431"/>
      <c r="S95" s="431"/>
      <c r="T95" s="431"/>
      <c r="U95" s="431"/>
      <c r="V95" s="431"/>
      <c r="W95" s="431"/>
      <c r="X95" s="431"/>
      <c r="Y95" s="431"/>
      <c r="Z95" s="431"/>
      <c r="AA95" s="431"/>
      <c r="AB95" s="431"/>
      <c r="AC95" s="431"/>
      <c r="AD95" s="416"/>
      <c r="AE95" s="416"/>
      <c r="AF95" s="416"/>
      <c r="AG95" s="416"/>
      <c r="AH95" s="416"/>
      <c r="AI95" s="431"/>
      <c r="AJ95" s="416"/>
      <c r="AK95" s="1608">
        <f t="shared" si="1"/>
        <v>0</v>
      </c>
      <c r="AL95" s="1627">
        <f t="shared" si="10"/>
        <v>0</v>
      </c>
      <c r="AM95" s="1618"/>
      <c r="AN95" s="33"/>
    </row>
    <row r="96" spans="1:40" ht="12.6" customHeight="1">
      <c r="A96" s="1273"/>
      <c r="B96" s="1351" t="s">
        <v>1392</v>
      </c>
      <c r="C96" s="1031" t="s">
        <v>1029</v>
      </c>
      <c r="D96" s="1266" t="s">
        <v>1030</v>
      </c>
      <c r="E96" s="733">
        <v>2260</v>
      </c>
      <c r="F96" s="431"/>
      <c r="G96" s="431"/>
      <c r="H96" s="431"/>
      <c r="I96" s="431"/>
      <c r="J96" s="431"/>
      <c r="K96" s="431"/>
      <c r="L96" s="431"/>
      <c r="M96" s="431"/>
      <c r="N96" s="431"/>
      <c r="O96" s="431"/>
      <c r="P96" s="431"/>
      <c r="Q96" s="431"/>
      <c r="R96" s="431"/>
      <c r="S96" s="431"/>
      <c r="T96" s="431"/>
      <c r="U96" s="431"/>
      <c r="V96" s="431"/>
      <c r="W96" s="431"/>
      <c r="X96" s="431"/>
      <c r="Y96" s="431"/>
      <c r="Z96" s="431"/>
      <c r="AA96" s="431"/>
      <c r="AB96" s="431"/>
      <c r="AC96" s="431">
        <v>2130</v>
      </c>
      <c r="AD96" s="416"/>
      <c r="AE96" s="416"/>
      <c r="AF96" s="416"/>
      <c r="AG96" s="416"/>
      <c r="AH96" s="416"/>
      <c r="AI96" s="431"/>
      <c r="AJ96" s="416"/>
      <c r="AK96" s="1608">
        <f t="shared" si="1"/>
        <v>2130</v>
      </c>
      <c r="AL96" s="1627">
        <f t="shared" si="10"/>
        <v>4813800</v>
      </c>
      <c r="AM96" s="1618"/>
      <c r="AN96" s="33"/>
    </row>
    <row r="97" spans="1:40" ht="12.6" customHeight="1">
      <c r="A97" s="1273"/>
      <c r="B97" s="1351" t="s">
        <v>1392</v>
      </c>
      <c r="C97" s="1031" t="s">
        <v>1031</v>
      </c>
      <c r="D97" s="1266" t="s">
        <v>1032</v>
      </c>
      <c r="E97" s="2265">
        <v>1280</v>
      </c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31"/>
      <c r="Q97" s="431"/>
      <c r="R97" s="431"/>
      <c r="S97" s="431"/>
      <c r="T97" s="431"/>
      <c r="U97" s="431"/>
      <c r="V97" s="431"/>
      <c r="W97" s="431"/>
      <c r="X97" s="431"/>
      <c r="Y97" s="431"/>
      <c r="Z97" s="431"/>
      <c r="AA97" s="431"/>
      <c r="AB97" s="431"/>
      <c r="AC97" s="431"/>
      <c r="AD97" s="416"/>
      <c r="AE97" s="416"/>
      <c r="AF97" s="416"/>
      <c r="AG97" s="416"/>
      <c r="AH97" s="416"/>
      <c r="AI97" s="431"/>
      <c r="AJ97" s="416"/>
      <c r="AK97" s="1608">
        <f t="shared" si="1"/>
        <v>0</v>
      </c>
      <c r="AL97" s="1627">
        <f t="shared" si="10"/>
        <v>0</v>
      </c>
      <c r="AM97" s="1618"/>
      <c r="AN97" s="33"/>
    </row>
    <row r="98" spans="1:40" ht="16.5" customHeight="1">
      <c r="A98" s="1273"/>
      <c r="B98" s="1351" t="s">
        <v>1392</v>
      </c>
      <c r="C98" s="1286" t="s">
        <v>1412</v>
      </c>
      <c r="D98" s="1266" t="s">
        <v>1413</v>
      </c>
      <c r="E98" s="2265">
        <v>1181</v>
      </c>
      <c r="F98" s="431"/>
      <c r="G98" s="431"/>
      <c r="H98" s="431"/>
      <c r="I98" s="431"/>
      <c r="J98" s="431"/>
      <c r="K98" s="431"/>
      <c r="L98" s="431"/>
      <c r="M98" s="431"/>
      <c r="N98" s="431"/>
      <c r="O98" s="431">
        <v>3005</v>
      </c>
      <c r="P98" s="431"/>
      <c r="Q98" s="431"/>
      <c r="R98" s="431"/>
      <c r="S98" s="431"/>
      <c r="T98" s="431"/>
      <c r="U98" s="431"/>
      <c r="V98" s="431"/>
      <c r="W98" s="431"/>
      <c r="X98" s="431"/>
      <c r="Y98" s="431"/>
      <c r="Z98" s="431"/>
      <c r="AA98" s="431"/>
      <c r="AB98" s="431"/>
      <c r="AC98" s="431"/>
      <c r="AD98" s="416"/>
      <c r="AE98" s="416"/>
      <c r="AF98" s="416"/>
      <c r="AG98" s="416"/>
      <c r="AH98" s="416">
        <v>3028</v>
      </c>
      <c r="AI98" s="431"/>
      <c r="AJ98" s="416"/>
      <c r="AK98" s="1608">
        <f t="shared" si="1"/>
        <v>6033</v>
      </c>
      <c r="AL98" s="1627">
        <f t="shared" si="10"/>
        <v>7124973</v>
      </c>
      <c r="AM98" s="1618"/>
      <c r="AN98" s="33"/>
    </row>
    <row r="99" spans="1:40" ht="12.6" customHeight="1">
      <c r="A99" s="1273"/>
      <c r="B99" s="1351" t="s">
        <v>1392</v>
      </c>
      <c r="C99" s="1286" t="s">
        <v>1414</v>
      </c>
      <c r="D99" s="1266" t="s">
        <v>1415</v>
      </c>
      <c r="E99" s="2265">
        <v>7152</v>
      </c>
      <c r="F99" s="431"/>
      <c r="G99" s="431"/>
      <c r="H99" s="431">
        <v>800</v>
      </c>
      <c r="I99" s="431"/>
      <c r="J99" s="431"/>
      <c r="K99" s="431"/>
      <c r="L99" s="431"/>
      <c r="M99" s="431"/>
      <c r="N99" s="431"/>
      <c r="O99" s="431">
        <v>3354</v>
      </c>
      <c r="P99" s="431"/>
      <c r="Q99" s="431"/>
      <c r="R99" s="431"/>
      <c r="S99" s="431"/>
      <c r="T99" s="431"/>
      <c r="U99" s="431"/>
      <c r="V99" s="431"/>
      <c r="W99" s="431"/>
      <c r="X99" s="431"/>
      <c r="Y99" s="431">
        <v>1813</v>
      </c>
      <c r="Z99" s="431"/>
      <c r="AA99" s="431"/>
      <c r="AB99" s="431"/>
      <c r="AC99" s="431">
        <v>2800</v>
      </c>
      <c r="AD99" s="416"/>
      <c r="AE99" s="416"/>
      <c r="AF99" s="416"/>
      <c r="AG99" s="416"/>
      <c r="AH99" s="416">
        <v>2460</v>
      </c>
      <c r="AI99" s="431"/>
      <c r="AJ99" s="416"/>
      <c r="AK99" s="1608">
        <f t="shared" si="1"/>
        <v>11227</v>
      </c>
      <c r="AL99" s="1627">
        <f t="shared" si="10"/>
        <v>80295504</v>
      </c>
      <c r="AM99" s="1618"/>
      <c r="AN99" s="33"/>
    </row>
    <row r="100" spans="1:40" ht="12.6" customHeight="1">
      <c r="A100" s="1273"/>
      <c r="B100" s="1351" t="s">
        <v>1392</v>
      </c>
      <c r="C100" s="1286" t="s">
        <v>1416</v>
      </c>
      <c r="D100" s="1266" t="s">
        <v>1417</v>
      </c>
      <c r="E100" s="733">
        <v>744</v>
      </c>
      <c r="F100" s="431"/>
      <c r="G100" s="431"/>
      <c r="H100" s="431"/>
      <c r="I100" s="431"/>
      <c r="J100" s="431"/>
      <c r="K100" s="431"/>
      <c r="L100" s="431"/>
      <c r="M100" s="431"/>
      <c r="N100" s="431"/>
      <c r="O100" s="431"/>
      <c r="P100" s="431"/>
      <c r="Q100" s="431"/>
      <c r="R100" s="431"/>
      <c r="S100" s="431"/>
      <c r="T100" s="431"/>
      <c r="U100" s="431"/>
      <c r="V100" s="431"/>
      <c r="W100" s="431"/>
      <c r="X100" s="431"/>
      <c r="Y100" s="431"/>
      <c r="Z100" s="431"/>
      <c r="AA100" s="431"/>
      <c r="AB100" s="431"/>
      <c r="AC100" s="431"/>
      <c r="AD100" s="416"/>
      <c r="AE100" s="416"/>
      <c r="AF100" s="416"/>
      <c r="AG100" s="416"/>
      <c r="AH100" s="416"/>
      <c r="AI100" s="431"/>
      <c r="AJ100" s="416"/>
      <c r="AK100" s="1608">
        <f t="shared" si="1"/>
        <v>0</v>
      </c>
      <c r="AL100" s="1627">
        <f t="shared" si="10"/>
        <v>0</v>
      </c>
      <c r="AM100" s="1618"/>
      <c r="AN100" s="33"/>
    </row>
    <row r="101" spans="1:40" ht="12.6" customHeight="1">
      <c r="A101" s="1273"/>
      <c r="B101" s="1351" t="s">
        <v>1392</v>
      </c>
      <c r="C101" s="1286" t="s">
        <v>1418</v>
      </c>
      <c r="D101" s="1324" t="s">
        <v>1419</v>
      </c>
      <c r="E101" s="733">
        <v>6221</v>
      </c>
      <c r="F101" s="431"/>
      <c r="G101" s="431"/>
      <c r="H101" s="431"/>
      <c r="I101" s="431"/>
      <c r="J101" s="431"/>
      <c r="K101" s="431"/>
      <c r="L101" s="431"/>
      <c r="M101" s="431"/>
      <c r="N101" s="431"/>
      <c r="O101" s="431"/>
      <c r="P101" s="431"/>
      <c r="Q101" s="431"/>
      <c r="R101" s="431"/>
      <c r="S101" s="431"/>
      <c r="T101" s="431"/>
      <c r="U101" s="431"/>
      <c r="V101" s="431"/>
      <c r="W101" s="431"/>
      <c r="X101" s="431"/>
      <c r="Y101" s="431"/>
      <c r="Z101" s="431"/>
      <c r="AA101" s="431"/>
      <c r="AB101" s="431"/>
      <c r="AC101" s="431"/>
      <c r="AD101" s="416"/>
      <c r="AE101" s="416"/>
      <c r="AF101" s="416"/>
      <c r="AG101" s="416"/>
      <c r="AH101" s="416"/>
      <c r="AI101" s="365"/>
      <c r="AJ101" s="436"/>
      <c r="AK101" s="1608">
        <f t="shared" si="1"/>
        <v>0</v>
      </c>
      <c r="AL101" s="1627">
        <f t="shared" ref="AL101:AL132" si="16">E101*AK101</f>
        <v>0</v>
      </c>
      <c r="AM101" s="1618"/>
      <c r="AN101" s="33"/>
    </row>
    <row r="102" spans="1:40" ht="12.6" customHeight="1">
      <c r="A102" s="1273"/>
      <c r="B102" s="1351" t="s">
        <v>1392</v>
      </c>
      <c r="C102" s="1286" t="s">
        <v>1420</v>
      </c>
      <c r="D102" s="1324" t="s">
        <v>1421</v>
      </c>
      <c r="E102" s="733">
        <v>6760</v>
      </c>
      <c r="F102" s="431"/>
      <c r="G102" s="431"/>
      <c r="H102" s="431"/>
      <c r="I102" s="431"/>
      <c r="J102" s="431"/>
      <c r="K102" s="431"/>
      <c r="L102" s="431"/>
      <c r="M102" s="431"/>
      <c r="N102" s="431"/>
      <c r="O102" s="431"/>
      <c r="P102" s="431"/>
      <c r="Q102" s="431"/>
      <c r="R102" s="431"/>
      <c r="S102" s="431"/>
      <c r="T102" s="431"/>
      <c r="U102" s="431"/>
      <c r="V102" s="431"/>
      <c r="W102" s="431"/>
      <c r="X102" s="431"/>
      <c r="Y102" s="431"/>
      <c r="Z102" s="431"/>
      <c r="AA102" s="431"/>
      <c r="AB102" s="431"/>
      <c r="AC102" s="431"/>
      <c r="AD102" s="416"/>
      <c r="AE102" s="416"/>
      <c r="AF102" s="416"/>
      <c r="AG102" s="416"/>
      <c r="AH102" s="416"/>
      <c r="AI102" s="365"/>
      <c r="AJ102" s="1616"/>
      <c r="AK102" s="1608">
        <f t="shared" si="1"/>
        <v>0</v>
      </c>
      <c r="AL102" s="1627">
        <f t="shared" si="16"/>
        <v>0</v>
      </c>
      <c r="AM102" s="1618"/>
      <c r="AN102" s="33"/>
    </row>
    <row r="103" spans="1:40" ht="12.6" customHeight="1">
      <c r="A103" s="1273"/>
      <c r="B103" s="1351" t="s">
        <v>1392</v>
      </c>
      <c r="C103" s="1286" t="s">
        <v>1788</v>
      </c>
      <c r="D103" s="1324" t="s">
        <v>2160</v>
      </c>
      <c r="E103" s="2265">
        <v>884</v>
      </c>
      <c r="F103" s="431"/>
      <c r="G103" s="431"/>
      <c r="H103" s="431">
        <v>2920</v>
      </c>
      <c r="I103" s="431"/>
      <c r="J103" s="431"/>
      <c r="K103" s="431"/>
      <c r="L103" s="431"/>
      <c r="M103" s="431"/>
      <c r="N103" s="431"/>
      <c r="O103" s="431"/>
      <c r="P103" s="431"/>
      <c r="Q103" s="431"/>
      <c r="R103" s="431"/>
      <c r="S103" s="431"/>
      <c r="T103" s="431"/>
      <c r="U103" s="431"/>
      <c r="V103" s="431"/>
      <c r="W103" s="431"/>
      <c r="X103" s="431"/>
      <c r="Y103" s="431">
        <v>4350</v>
      </c>
      <c r="Z103" s="431"/>
      <c r="AA103" s="431"/>
      <c r="AB103" s="431"/>
      <c r="AC103" s="431">
        <v>3180</v>
      </c>
      <c r="AD103" s="416"/>
      <c r="AE103" s="416"/>
      <c r="AF103" s="922"/>
      <c r="AG103" s="922"/>
      <c r="AH103" s="922">
        <v>3170</v>
      </c>
      <c r="AI103" s="2106"/>
      <c r="AJ103" s="1616"/>
      <c r="AK103" s="1608">
        <f t="shared" si="1"/>
        <v>13620</v>
      </c>
      <c r="AL103" s="1627">
        <f t="shared" si="16"/>
        <v>12040080</v>
      </c>
      <c r="AM103" s="1618"/>
      <c r="AN103" s="33"/>
    </row>
    <row r="104" spans="1:40" ht="12.6" customHeight="1">
      <c r="A104" s="1273"/>
      <c r="B104" s="1279" t="s">
        <v>1282</v>
      </c>
      <c r="C104" s="1286" t="s">
        <v>1422</v>
      </c>
      <c r="D104" s="1266" t="s">
        <v>1423</v>
      </c>
      <c r="E104" s="2265">
        <v>1298</v>
      </c>
      <c r="F104" s="431"/>
      <c r="G104" s="431"/>
      <c r="H104" s="431"/>
      <c r="I104" s="431"/>
      <c r="J104" s="431"/>
      <c r="K104" s="431"/>
      <c r="L104" s="431"/>
      <c r="M104" s="431"/>
      <c r="N104" s="431"/>
      <c r="O104" s="431"/>
      <c r="P104" s="431"/>
      <c r="Q104" s="431"/>
      <c r="R104" s="431"/>
      <c r="S104" s="431"/>
      <c r="T104" s="431"/>
      <c r="U104" s="431"/>
      <c r="V104" s="431"/>
      <c r="W104" s="431"/>
      <c r="X104" s="431"/>
      <c r="Y104" s="431"/>
      <c r="Z104" s="431"/>
      <c r="AA104" s="431"/>
      <c r="AB104" s="431"/>
      <c r="AC104" s="431"/>
      <c r="AD104" s="416"/>
      <c r="AE104" s="416"/>
      <c r="AF104" s="922"/>
      <c r="AG104" s="922"/>
      <c r="AH104" s="922"/>
      <c r="AI104" s="1322"/>
      <c r="AJ104" s="1616"/>
      <c r="AK104" s="1608">
        <f t="shared" si="1"/>
        <v>0</v>
      </c>
      <c r="AL104" s="1627">
        <f t="shared" si="16"/>
        <v>0</v>
      </c>
      <c r="AM104" s="1618"/>
      <c r="AN104" s="33"/>
    </row>
    <row r="105" spans="1:40" ht="12.6" customHeight="1">
      <c r="A105" s="1273"/>
      <c r="B105" s="1279" t="s">
        <v>1282</v>
      </c>
      <c r="C105" s="1286" t="s">
        <v>1424</v>
      </c>
      <c r="D105" s="1266" t="s">
        <v>1425</v>
      </c>
      <c r="E105" s="733">
        <v>1168</v>
      </c>
      <c r="F105" s="431"/>
      <c r="G105" s="431"/>
      <c r="H105" s="431"/>
      <c r="I105" s="431"/>
      <c r="J105" s="431"/>
      <c r="K105" s="431"/>
      <c r="L105" s="431"/>
      <c r="M105" s="431"/>
      <c r="N105" s="431"/>
      <c r="O105" s="431"/>
      <c r="P105" s="431"/>
      <c r="Q105" s="431"/>
      <c r="R105" s="431"/>
      <c r="S105" s="431"/>
      <c r="T105" s="431"/>
      <c r="U105" s="431"/>
      <c r="V105" s="431"/>
      <c r="W105" s="431"/>
      <c r="X105" s="431"/>
      <c r="Y105" s="431"/>
      <c r="Z105" s="431"/>
      <c r="AA105" s="431"/>
      <c r="AB105" s="431"/>
      <c r="AC105" s="431"/>
      <c r="AD105" s="416"/>
      <c r="AE105" s="416"/>
      <c r="AF105" s="922"/>
      <c r="AG105" s="922"/>
      <c r="AH105" s="922"/>
      <c r="AI105" s="1322"/>
      <c r="AJ105" s="416"/>
      <c r="AK105" s="1608">
        <f>SUM(F105:AJ105)</f>
        <v>0</v>
      </c>
      <c r="AL105" s="1627">
        <f t="shared" si="16"/>
        <v>0</v>
      </c>
      <c r="AM105" s="1618"/>
      <c r="AN105" s="33"/>
    </row>
    <row r="106" spans="1:40" ht="13.2" customHeight="1">
      <c r="A106" s="1273"/>
      <c r="B106" s="1279" t="s">
        <v>1345</v>
      </c>
      <c r="C106" s="1947" t="s">
        <v>1426</v>
      </c>
      <c r="D106" s="1266" t="s">
        <v>1427</v>
      </c>
      <c r="E106" s="2265">
        <v>1201</v>
      </c>
      <c r="F106" s="431"/>
      <c r="G106" s="431"/>
      <c r="H106" s="431">
        <v>2015</v>
      </c>
      <c r="I106" s="431"/>
      <c r="J106" s="431"/>
      <c r="K106" s="431"/>
      <c r="L106" s="431"/>
      <c r="M106" s="431"/>
      <c r="N106" s="431"/>
      <c r="O106" s="431"/>
      <c r="P106" s="431"/>
      <c r="Q106" s="431"/>
      <c r="R106" s="431"/>
      <c r="S106" s="431"/>
      <c r="T106" s="431"/>
      <c r="U106" s="431"/>
      <c r="V106" s="431"/>
      <c r="W106" s="431"/>
      <c r="X106" s="431"/>
      <c r="Y106" s="431">
        <v>4025</v>
      </c>
      <c r="Z106" s="431"/>
      <c r="AA106" s="431"/>
      <c r="AB106" s="431"/>
      <c r="AC106" s="431">
        <v>3005</v>
      </c>
      <c r="AD106" s="416"/>
      <c r="AE106" s="416"/>
      <c r="AF106" s="922"/>
      <c r="AG106" s="922"/>
      <c r="AH106" s="922"/>
      <c r="AI106" s="1322"/>
      <c r="AJ106" s="416"/>
      <c r="AK106" s="1608">
        <f>SUM(F106:AJ106)</f>
        <v>9045</v>
      </c>
      <c r="AL106" s="1627">
        <f t="shared" si="16"/>
        <v>10863045</v>
      </c>
      <c r="AM106" s="1618"/>
      <c r="AN106" s="33"/>
    </row>
    <row r="107" spans="1:40" ht="13.2" customHeight="1">
      <c r="A107" s="1273"/>
      <c r="B107" s="1279" t="s">
        <v>1345</v>
      </c>
      <c r="C107" s="1947" t="s">
        <v>1428</v>
      </c>
      <c r="D107" s="1266" t="s">
        <v>1346</v>
      </c>
      <c r="E107" s="2265">
        <v>1308</v>
      </c>
      <c r="F107" s="431"/>
      <c r="G107" s="431"/>
      <c r="H107" s="431"/>
      <c r="I107" s="431"/>
      <c r="J107" s="431"/>
      <c r="K107" s="431"/>
      <c r="L107" s="431"/>
      <c r="M107" s="431"/>
      <c r="N107" s="431"/>
      <c r="O107" s="431">
        <v>2000</v>
      </c>
      <c r="P107" s="431"/>
      <c r="Q107" s="431"/>
      <c r="R107" s="431"/>
      <c r="S107" s="431"/>
      <c r="T107" s="431"/>
      <c r="U107" s="431"/>
      <c r="V107" s="431"/>
      <c r="W107" s="431"/>
      <c r="X107" s="431"/>
      <c r="Y107" s="431">
        <v>1012</v>
      </c>
      <c r="Z107" s="431"/>
      <c r="AA107" s="431"/>
      <c r="AB107" s="431"/>
      <c r="AC107" s="431">
        <v>2010</v>
      </c>
      <c r="AD107" s="416"/>
      <c r="AE107" s="416"/>
      <c r="AF107" s="922"/>
      <c r="AG107" s="922"/>
      <c r="AH107" s="922">
        <v>2010</v>
      </c>
      <c r="AI107" s="1322"/>
      <c r="AJ107" s="416"/>
      <c r="AK107" s="1608">
        <f>SUM(F107:AJ107)</f>
        <v>7032</v>
      </c>
      <c r="AL107" s="1627">
        <f t="shared" si="16"/>
        <v>9197856</v>
      </c>
      <c r="AM107" s="1620" t="s">
        <v>1871</v>
      </c>
      <c r="AN107" s="33"/>
    </row>
    <row r="108" spans="1:40" ht="13.2" customHeight="1">
      <c r="A108" s="1273"/>
      <c r="B108" s="1279" t="s">
        <v>1345</v>
      </c>
      <c r="C108" s="1947" t="s">
        <v>1429</v>
      </c>
      <c r="D108" s="1266" t="s">
        <v>1430</v>
      </c>
      <c r="E108" s="733">
        <v>1453</v>
      </c>
      <c r="F108" s="431"/>
      <c r="G108" s="431"/>
      <c r="H108" s="431"/>
      <c r="I108" s="431"/>
      <c r="J108" s="431"/>
      <c r="K108" s="431"/>
      <c r="L108" s="431"/>
      <c r="M108" s="431"/>
      <c r="N108" s="431"/>
      <c r="O108" s="431"/>
      <c r="P108" s="431"/>
      <c r="Q108" s="431"/>
      <c r="R108" s="431"/>
      <c r="S108" s="431"/>
      <c r="T108" s="431"/>
      <c r="U108" s="431"/>
      <c r="V108" s="431"/>
      <c r="W108" s="431"/>
      <c r="X108" s="431"/>
      <c r="Y108" s="431"/>
      <c r="Z108" s="431"/>
      <c r="AA108" s="431"/>
      <c r="AB108" s="431"/>
      <c r="AC108" s="431"/>
      <c r="AD108" s="416"/>
      <c r="AE108" s="416"/>
      <c r="AF108" s="922"/>
      <c r="AG108" s="922"/>
      <c r="AH108" s="922"/>
      <c r="AI108" s="1322"/>
      <c r="AJ108" s="416"/>
      <c r="AK108" s="1608">
        <f>SUM(F108:AJ108)</f>
        <v>0</v>
      </c>
      <c r="AL108" s="1627">
        <f t="shared" si="16"/>
        <v>0</v>
      </c>
      <c r="AM108" s="1881">
        <f>SUM(AL88:AL123)</f>
        <v>170423068</v>
      </c>
      <c r="AN108" s="33"/>
    </row>
    <row r="109" spans="1:40" ht="13.2" customHeight="1">
      <c r="A109" s="1273"/>
      <c r="B109" s="1279" t="s">
        <v>1345</v>
      </c>
      <c r="C109" s="1947" t="s">
        <v>1431</v>
      </c>
      <c r="D109" s="1266" t="s">
        <v>1432</v>
      </c>
      <c r="E109" s="733">
        <v>1126</v>
      </c>
      <c r="F109" s="431"/>
      <c r="G109" s="431"/>
      <c r="H109" s="431">
        <v>2000</v>
      </c>
      <c r="I109" s="431"/>
      <c r="J109" s="431"/>
      <c r="K109" s="431"/>
      <c r="L109" s="431"/>
      <c r="M109" s="431"/>
      <c r="N109" s="431"/>
      <c r="O109" s="431"/>
      <c r="P109" s="431"/>
      <c r="Q109" s="431"/>
      <c r="R109" s="431"/>
      <c r="S109" s="431"/>
      <c r="T109" s="431"/>
      <c r="U109" s="431"/>
      <c r="V109" s="431"/>
      <c r="W109" s="431"/>
      <c r="X109" s="431"/>
      <c r="Y109" s="431"/>
      <c r="Z109" s="431"/>
      <c r="AA109" s="431"/>
      <c r="AB109" s="431"/>
      <c r="AC109" s="431"/>
      <c r="AD109" s="416"/>
      <c r="AE109" s="416"/>
      <c r="AF109" s="922"/>
      <c r="AG109" s="922"/>
      <c r="AH109" s="922">
        <v>2015</v>
      </c>
      <c r="AI109" s="1322"/>
      <c r="AJ109" s="416"/>
      <c r="AK109" s="1608">
        <f t="shared" ref="AK109:AK112" si="17">SUM(F109:AJ109)</f>
        <v>4015</v>
      </c>
      <c r="AL109" s="1627">
        <f t="shared" si="16"/>
        <v>4520890</v>
      </c>
      <c r="AM109" s="1618"/>
      <c r="AN109" s="33"/>
    </row>
    <row r="110" spans="1:40" ht="14.25" customHeight="1">
      <c r="A110" s="1273"/>
      <c r="B110" s="1279" t="s">
        <v>1345</v>
      </c>
      <c r="C110" s="1947" t="s">
        <v>1433</v>
      </c>
      <c r="D110" s="1266" t="s">
        <v>1434</v>
      </c>
      <c r="E110" s="2265">
        <v>1330</v>
      </c>
      <c r="F110" s="431"/>
      <c r="G110" s="431"/>
      <c r="H110" s="431"/>
      <c r="I110" s="431"/>
      <c r="J110" s="431"/>
      <c r="K110" s="431"/>
      <c r="L110" s="431"/>
      <c r="M110" s="431"/>
      <c r="N110" s="431"/>
      <c r="O110" s="431">
        <v>2020</v>
      </c>
      <c r="P110" s="431"/>
      <c r="Q110" s="431"/>
      <c r="R110" s="431"/>
      <c r="S110" s="431"/>
      <c r="T110" s="431"/>
      <c r="U110" s="431"/>
      <c r="V110" s="431"/>
      <c r="W110" s="431"/>
      <c r="X110" s="431"/>
      <c r="Y110" s="431"/>
      <c r="Z110" s="431"/>
      <c r="AA110" s="431"/>
      <c r="AB110" s="431"/>
      <c r="AC110" s="431"/>
      <c r="AD110" s="416"/>
      <c r="AE110" s="416"/>
      <c r="AF110" s="922"/>
      <c r="AG110" s="922"/>
      <c r="AH110" s="922"/>
      <c r="AI110" s="1322"/>
      <c r="AJ110" s="416"/>
      <c r="AK110" s="1608">
        <f t="shared" si="17"/>
        <v>2020</v>
      </c>
      <c r="AL110" s="1627">
        <f t="shared" si="16"/>
        <v>2686600</v>
      </c>
      <c r="AM110" s="1618"/>
      <c r="AN110" s="33"/>
    </row>
    <row r="111" spans="1:40" ht="13.2" customHeight="1">
      <c r="A111" s="1273"/>
      <c r="B111" s="1279" t="s">
        <v>1282</v>
      </c>
      <c r="C111" s="1031" t="s">
        <v>1033</v>
      </c>
      <c r="D111" s="1266" t="s">
        <v>982</v>
      </c>
      <c r="E111" s="2265">
        <v>710</v>
      </c>
      <c r="F111" s="431"/>
      <c r="G111" s="431"/>
      <c r="H111" s="431"/>
      <c r="I111" s="431"/>
      <c r="J111" s="431"/>
      <c r="K111" s="431"/>
      <c r="L111" s="431"/>
      <c r="M111" s="431"/>
      <c r="N111" s="431"/>
      <c r="O111" s="431">
        <v>3015</v>
      </c>
      <c r="P111" s="431"/>
      <c r="Q111" s="431"/>
      <c r="R111" s="431"/>
      <c r="S111" s="431"/>
      <c r="T111" s="431"/>
      <c r="U111" s="431"/>
      <c r="V111" s="431"/>
      <c r="W111" s="431"/>
      <c r="X111" s="431"/>
      <c r="Y111" s="431"/>
      <c r="Z111" s="431"/>
      <c r="AA111" s="431"/>
      <c r="AB111" s="431"/>
      <c r="AC111" s="431"/>
      <c r="AD111" s="416"/>
      <c r="AE111" s="416"/>
      <c r="AF111" s="922"/>
      <c r="AG111" s="922"/>
      <c r="AH111" s="922">
        <v>3525</v>
      </c>
      <c r="AI111" s="1322"/>
      <c r="AJ111" s="416"/>
      <c r="AK111" s="1608">
        <f t="shared" si="17"/>
        <v>6540</v>
      </c>
      <c r="AL111" s="1627">
        <f t="shared" si="16"/>
        <v>4643400</v>
      </c>
      <c r="AM111" s="1618"/>
      <c r="AN111" s="33"/>
    </row>
    <row r="112" spans="1:40" ht="13.2" customHeight="1">
      <c r="A112" s="1273"/>
      <c r="B112" s="1279" t="s">
        <v>1282</v>
      </c>
      <c r="C112" s="1031" t="s">
        <v>1034</v>
      </c>
      <c r="D112" s="1266" t="s">
        <v>1035</v>
      </c>
      <c r="E112" s="733">
        <v>1169</v>
      </c>
      <c r="F112" s="431"/>
      <c r="G112" s="431"/>
      <c r="H112" s="431"/>
      <c r="I112" s="431"/>
      <c r="J112" s="431"/>
      <c r="K112" s="431"/>
      <c r="L112" s="431"/>
      <c r="M112" s="431"/>
      <c r="N112" s="431"/>
      <c r="O112" s="431"/>
      <c r="P112" s="431"/>
      <c r="Q112" s="431"/>
      <c r="R112" s="431"/>
      <c r="S112" s="431"/>
      <c r="T112" s="431"/>
      <c r="U112" s="431"/>
      <c r="V112" s="431"/>
      <c r="W112" s="431"/>
      <c r="X112" s="431"/>
      <c r="Y112" s="431"/>
      <c r="Z112" s="431"/>
      <c r="AA112" s="431"/>
      <c r="AB112" s="431"/>
      <c r="AC112" s="431"/>
      <c r="AD112" s="416"/>
      <c r="AE112" s="416"/>
      <c r="AF112" s="922"/>
      <c r="AG112" s="922"/>
      <c r="AH112" s="922"/>
      <c r="AI112" s="1322"/>
      <c r="AJ112" s="416"/>
      <c r="AK112" s="1608">
        <f t="shared" si="17"/>
        <v>0</v>
      </c>
      <c r="AL112" s="1627">
        <f t="shared" si="16"/>
        <v>0</v>
      </c>
      <c r="AM112" s="1618"/>
      <c r="AN112" s="33"/>
    </row>
    <row r="113" spans="1:40" ht="13.2" customHeight="1">
      <c r="A113" s="1273"/>
      <c r="B113" s="1279" t="s">
        <v>1282</v>
      </c>
      <c r="C113" s="1031" t="s">
        <v>1036</v>
      </c>
      <c r="D113" s="1266" t="s">
        <v>1037</v>
      </c>
      <c r="E113" s="733">
        <v>1137</v>
      </c>
      <c r="F113" s="431"/>
      <c r="G113" s="431"/>
      <c r="H113" s="431"/>
      <c r="I113" s="431"/>
      <c r="J113" s="431"/>
      <c r="K113" s="431"/>
      <c r="L113" s="431"/>
      <c r="M113" s="431"/>
      <c r="N113" s="431"/>
      <c r="O113" s="431"/>
      <c r="P113" s="431"/>
      <c r="Q113" s="431"/>
      <c r="R113" s="431"/>
      <c r="S113" s="431"/>
      <c r="T113" s="431"/>
      <c r="U113" s="431"/>
      <c r="V113" s="431"/>
      <c r="W113" s="431"/>
      <c r="X113" s="431"/>
      <c r="Y113" s="431"/>
      <c r="Z113" s="431"/>
      <c r="AA113" s="431"/>
      <c r="AB113" s="431"/>
      <c r="AC113" s="431"/>
      <c r="AD113" s="416"/>
      <c r="AE113" s="416"/>
      <c r="AF113" s="416"/>
      <c r="AG113" s="416"/>
      <c r="AH113" s="416"/>
      <c r="AI113" s="431"/>
      <c r="AJ113" s="416"/>
      <c r="AK113" s="1608">
        <f>SUM(F113:AJ113)</f>
        <v>0</v>
      </c>
      <c r="AL113" s="1627">
        <f t="shared" si="16"/>
        <v>0</v>
      </c>
      <c r="AM113" s="1618"/>
      <c r="AN113" s="33"/>
    </row>
    <row r="114" spans="1:40" ht="12.6" customHeight="1">
      <c r="A114" s="1273"/>
      <c r="B114" s="1279" t="s">
        <v>1282</v>
      </c>
      <c r="C114" s="1286" t="s">
        <v>1435</v>
      </c>
      <c r="D114" s="1266" t="s">
        <v>1344</v>
      </c>
      <c r="E114" s="2265">
        <v>1161</v>
      </c>
      <c r="F114" s="431"/>
      <c r="G114" s="431"/>
      <c r="H114" s="431"/>
      <c r="I114" s="431"/>
      <c r="J114" s="431"/>
      <c r="K114" s="431"/>
      <c r="L114" s="431"/>
      <c r="M114" s="431"/>
      <c r="N114" s="431"/>
      <c r="O114" s="431"/>
      <c r="P114" s="431"/>
      <c r="Q114" s="431"/>
      <c r="R114" s="431"/>
      <c r="S114" s="431"/>
      <c r="T114" s="431"/>
      <c r="U114" s="431"/>
      <c r="V114" s="431"/>
      <c r="W114" s="431"/>
      <c r="X114" s="431"/>
      <c r="Y114" s="431"/>
      <c r="Z114" s="431"/>
      <c r="AA114" s="431"/>
      <c r="AB114" s="431"/>
      <c r="AC114" s="431"/>
      <c r="AD114" s="416"/>
      <c r="AE114" s="416"/>
      <c r="AF114" s="416"/>
      <c r="AG114" s="416"/>
      <c r="AH114" s="416"/>
      <c r="AI114" s="431"/>
      <c r="AJ114" s="416"/>
      <c r="AK114" s="1608">
        <f t="shared" si="1"/>
        <v>0</v>
      </c>
      <c r="AL114" s="1627">
        <f t="shared" si="16"/>
        <v>0</v>
      </c>
      <c r="AM114" s="1618"/>
      <c r="AN114" s="33"/>
    </row>
    <row r="115" spans="1:40" ht="12.6" customHeight="1">
      <c r="A115" s="1273"/>
      <c r="B115" s="1279" t="s">
        <v>1282</v>
      </c>
      <c r="C115" s="1286" t="s">
        <v>1436</v>
      </c>
      <c r="D115" s="1266" t="s">
        <v>1437</v>
      </c>
      <c r="E115" s="2265">
        <v>1244</v>
      </c>
      <c r="F115" s="431"/>
      <c r="G115" s="431"/>
      <c r="H115" s="431"/>
      <c r="I115" s="431"/>
      <c r="J115" s="431"/>
      <c r="K115" s="431"/>
      <c r="L115" s="431"/>
      <c r="M115" s="431"/>
      <c r="N115" s="431"/>
      <c r="O115" s="431"/>
      <c r="P115" s="431"/>
      <c r="Q115" s="431"/>
      <c r="R115" s="431"/>
      <c r="S115" s="431"/>
      <c r="T115" s="431"/>
      <c r="U115" s="431"/>
      <c r="V115" s="431"/>
      <c r="W115" s="431"/>
      <c r="X115" s="431"/>
      <c r="Y115" s="431"/>
      <c r="Z115" s="431"/>
      <c r="AA115" s="431"/>
      <c r="AB115" s="431"/>
      <c r="AC115" s="431"/>
      <c r="AD115" s="416"/>
      <c r="AE115" s="416"/>
      <c r="AF115" s="416"/>
      <c r="AG115" s="416"/>
      <c r="AH115" s="416"/>
      <c r="AI115" s="431"/>
      <c r="AJ115" s="416"/>
      <c r="AK115" s="1608">
        <f t="shared" si="1"/>
        <v>0</v>
      </c>
      <c r="AL115" s="1627">
        <f t="shared" si="16"/>
        <v>0</v>
      </c>
      <c r="AM115" s="1618"/>
      <c r="AN115" s="33"/>
    </row>
    <row r="116" spans="1:40" ht="12.6" customHeight="1">
      <c r="A116" s="1273"/>
      <c r="B116" s="1279" t="s">
        <v>1282</v>
      </c>
      <c r="C116" s="1274" t="s">
        <v>1743</v>
      </c>
      <c r="D116" s="1266" t="s">
        <v>1438</v>
      </c>
      <c r="E116" s="2265">
        <v>919</v>
      </c>
      <c r="F116" s="431"/>
      <c r="G116" s="431"/>
      <c r="H116" s="431"/>
      <c r="I116" s="431"/>
      <c r="J116" s="431"/>
      <c r="K116" s="431"/>
      <c r="L116" s="431"/>
      <c r="M116" s="431"/>
      <c r="N116" s="431"/>
      <c r="O116" s="431">
        <v>2500</v>
      </c>
      <c r="P116" s="431"/>
      <c r="Q116" s="431"/>
      <c r="R116" s="431"/>
      <c r="S116" s="431"/>
      <c r="T116" s="431"/>
      <c r="U116" s="431"/>
      <c r="V116" s="431"/>
      <c r="W116" s="431"/>
      <c r="X116" s="431"/>
      <c r="Y116" s="431"/>
      <c r="Z116" s="431"/>
      <c r="AA116" s="431"/>
      <c r="AB116" s="431"/>
      <c r="AC116" s="431"/>
      <c r="AD116" s="416"/>
      <c r="AE116" s="416"/>
      <c r="AF116" s="416"/>
      <c r="AG116" s="416"/>
      <c r="AH116" s="416">
        <v>2525</v>
      </c>
      <c r="AI116" s="431"/>
      <c r="AJ116" s="416"/>
      <c r="AK116" s="1608">
        <f t="shared" si="1"/>
        <v>5025</v>
      </c>
      <c r="AL116" s="1627">
        <f t="shared" si="16"/>
        <v>4617975</v>
      </c>
      <c r="AM116" s="1618"/>
      <c r="AN116" s="33"/>
    </row>
    <row r="117" spans="1:40" ht="12.6" customHeight="1">
      <c r="A117" s="1273"/>
      <c r="B117" s="1279" t="s">
        <v>1282</v>
      </c>
      <c r="C117" s="1274" t="s">
        <v>1744</v>
      </c>
      <c r="D117" s="1266" t="s">
        <v>1439</v>
      </c>
      <c r="E117" s="2265">
        <v>952</v>
      </c>
      <c r="F117" s="431"/>
      <c r="G117" s="431"/>
      <c r="H117" s="431"/>
      <c r="I117" s="431"/>
      <c r="J117" s="431"/>
      <c r="K117" s="431"/>
      <c r="L117" s="431"/>
      <c r="M117" s="431"/>
      <c r="N117" s="431"/>
      <c r="O117" s="431">
        <v>2540</v>
      </c>
      <c r="P117" s="431"/>
      <c r="Q117" s="431"/>
      <c r="R117" s="431"/>
      <c r="S117" s="431"/>
      <c r="T117" s="431"/>
      <c r="U117" s="431"/>
      <c r="V117" s="431"/>
      <c r="W117" s="431"/>
      <c r="X117" s="431"/>
      <c r="Y117" s="431"/>
      <c r="Z117" s="431"/>
      <c r="AA117" s="431"/>
      <c r="AB117" s="431"/>
      <c r="AC117" s="431">
        <v>2010</v>
      </c>
      <c r="AD117" s="416"/>
      <c r="AE117" s="416"/>
      <c r="AF117" s="416"/>
      <c r="AG117" s="416"/>
      <c r="AH117" s="416">
        <v>1510</v>
      </c>
      <c r="AI117" s="431"/>
      <c r="AJ117" s="416"/>
      <c r="AK117" s="1608">
        <f t="shared" si="1"/>
        <v>6060</v>
      </c>
      <c r="AL117" s="1627">
        <f t="shared" si="16"/>
        <v>5769120</v>
      </c>
      <c r="AM117" s="1618"/>
      <c r="AN117" s="33"/>
    </row>
    <row r="118" spans="1:40" ht="13.2" customHeight="1">
      <c r="A118" s="1273"/>
      <c r="B118" s="1281" t="s">
        <v>1283</v>
      </c>
      <c r="C118" s="1031" t="s">
        <v>1038</v>
      </c>
      <c r="D118" s="1270" t="s">
        <v>981</v>
      </c>
      <c r="E118" s="2266">
        <v>899</v>
      </c>
      <c r="F118" s="365"/>
      <c r="G118" s="365"/>
      <c r="H118" s="365"/>
      <c r="I118" s="365"/>
      <c r="J118" s="365"/>
      <c r="K118" s="365"/>
      <c r="L118" s="365"/>
      <c r="M118" s="365"/>
      <c r="N118" s="365"/>
      <c r="O118" s="365">
        <v>3000</v>
      </c>
      <c r="P118" s="365"/>
      <c r="Q118" s="365"/>
      <c r="R118" s="365"/>
      <c r="S118" s="365"/>
      <c r="T118" s="365"/>
      <c r="U118" s="365"/>
      <c r="V118" s="365"/>
      <c r="W118" s="365"/>
      <c r="X118" s="365"/>
      <c r="Y118" s="365">
        <v>4500</v>
      </c>
      <c r="Z118" s="365"/>
      <c r="AA118" s="365"/>
      <c r="AB118" s="365"/>
      <c r="AC118" s="365">
        <v>4500</v>
      </c>
      <c r="AD118" s="436"/>
      <c r="AE118" s="436"/>
      <c r="AF118" s="436"/>
      <c r="AG118" s="436"/>
      <c r="AH118" s="436">
        <v>1500</v>
      </c>
      <c r="AI118" s="365"/>
      <c r="AJ118" s="436"/>
      <c r="AK118" s="1608">
        <f>SUM(F118:AJ118)</f>
        <v>13500</v>
      </c>
      <c r="AL118" s="1627">
        <f t="shared" si="16"/>
        <v>12136500</v>
      </c>
      <c r="AM118" s="1618"/>
      <c r="AN118" s="33"/>
    </row>
    <row r="119" spans="1:40" ht="12.6" customHeight="1">
      <c r="A119" s="1273"/>
      <c r="B119" s="1281" t="s">
        <v>1283</v>
      </c>
      <c r="C119" s="1031"/>
      <c r="D119" s="1270" t="s">
        <v>1440</v>
      </c>
      <c r="E119" s="1269">
        <v>0</v>
      </c>
      <c r="F119" s="365"/>
      <c r="G119" s="365"/>
      <c r="H119" s="365"/>
      <c r="I119" s="365"/>
      <c r="J119" s="365"/>
      <c r="K119" s="365"/>
      <c r="L119" s="365"/>
      <c r="M119" s="365"/>
      <c r="N119" s="365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436"/>
      <c r="AE119" s="436"/>
      <c r="AF119" s="436"/>
      <c r="AG119" s="436"/>
      <c r="AH119" s="436"/>
      <c r="AI119" s="365"/>
      <c r="AJ119" s="436"/>
      <c r="AK119" s="1608">
        <f t="shared" ref="AK119:AK122" si="18">SUM(F119:AJ119)</f>
        <v>0</v>
      </c>
      <c r="AL119" s="1627">
        <f t="shared" si="16"/>
        <v>0</v>
      </c>
      <c r="AM119" s="1618"/>
      <c r="AN119" s="33"/>
    </row>
    <row r="120" spans="1:40" ht="12.6" customHeight="1">
      <c r="A120" s="1273"/>
      <c r="B120" s="1281" t="s">
        <v>1283</v>
      </c>
      <c r="C120" s="1286" t="s">
        <v>1441</v>
      </c>
      <c r="D120" s="1270" t="s">
        <v>1854</v>
      </c>
      <c r="E120" s="1269">
        <v>479</v>
      </c>
      <c r="F120" s="365"/>
      <c r="G120" s="365"/>
      <c r="H120" s="365">
        <v>5000</v>
      </c>
      <c r="I120" s="365"/>
      <c r="J120" s="365"/>
      <c r="K120" s="365"/>
      <c r="L120" s="365"/>
      <c r="M120" s="365"/>
      <c r="N120" s="365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>
        <v>5000</v>
      </c>
      <c r="AD120" s="436"/>
      <c r="AE120" s="436"/>
      <c r="AF120" s="436"/>
      <c r="AG120" s="436"/>
      <c r="AH120" s="436"/>
      <c r="AI120" s="365"/>
      <c r="AJ120" s="436"/>
      <c r="AK120" s="1608">
        <f t="shared" si="18"/>
        <v>10000</v>
      </c>
      <c r="AL120" s="1627">
        <f t="shared" si="16"/>
        <v>4790000</v>
      </c>
      <c r="AM120" s="1618"/>
      <c r="AN120" s="33"/>
    </row>
    <row r="121" spans="1:40" ht="12.6" customHeight="1">
      <c r="A121" s="1273"/>
      <c r="B121" s="1282" t="s">
        <v>1348</v>
      </c>
      <c r="C121" s="1031">
        <v>0</v>
      </c>
      <c r="D121" s="1270" t="s">
        <v>1442</v>
      </c>
      <c r="E121" s="1269">
        <v>0</v>
      </c>
      <c r="F121" s="365"/>
      <c r="G121" s="365"/>
      <c r="H121" s="365"/>
      <c r="I121" s="365"/>
      <c r="J121" s="365"/>
      <c r="K121" s="365"/>
      <c r="L121" s="365"/>
      <c r="M121" s="365"/>
      <c r="N121" s="365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436"/>
      <c r="AE121" s="436"/>
      <c r="AF121" s="436"/>
      <c r="AG121" s="436"/>
      <c r="AH121" s="436"/>
      <c r="AI121" s="365"/>
      <c r="AJ121" s="436"/>
      <c r="AK121" s="1608">
        <f t="shared" si="18"/>
        <v>0</v>
      </c>
      <c r="AL121" s="1627">
        <f t="shared" si="16"/>
        <v>0</v>
      </c>
      <c r="AM121" s="1618"/>
      <c r="AN121" s="33"/>
    </row>
    <row r="122" spans="1:40" ht="13.2" customHeight="1">
      <c r="A122" s="1273"/>
      <c r="B122" s="1280" t="s">
        <v>1280</v>
      </c>
      <c r="C122" s="1031" t="s">
        <v>1024</v>
      </c>
      <c r="D122" s="1270" t="s">
        <v>983</v>
      </c>
      <c r="E122" s="1269">
        <v>828</v>
      </c>
      <c r="F122" s="365"/>
      <c r="G122" s="365"/>
      <c r="H122" s="365"/>
      <c r="I122" s="365"/>
      <c r="J122" s="365"/>
      <c r="K122" s="365"/>
      <c r="L122" s="365"/>
      <c r="M122" s="365"/>
      <c r="N122" s="365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436"/>
      <c r="AE122" s="436"/>
      <c r="AF122" s="436"/>
      <c r="AG122" s="436"/>
      <c r="AH122" s="436"/>
      <c r="AI122" s="436"/>
      <c r="AJ122" s="436"/>
      <c r="AK122" s="1608">
        <f t="shared" si="18"/>
        <v>0</v>
      </c>
      <c r="AL122" s="1627">
        <f t="shared" si="16"/>
        <v>0</v>
      </c>
      <c r="AN122"/>
    </row>
    <row r="123" spans="1:40" ht="12.6" customHeight="1" thickBot="1">
      <c r="A123" s="1273"/>
      <c r="B123" s="1526" t="s">
        <v>1281</v>
      </c>
      <c r="C123" s="1274" t="s">
        <v>1443</v>
      </c>
      <c r="D123" s="1266" t="s">
        <v>1279</v>
      </c>
      <c r="E123" s="733">
        <v>1112</v>
      </c>
      <c r="F123" s="431"/>
      <c r="G123" s="431"/>
      <c r="H123" s="431"/>
      <c r="I123" s="431"/>
      <c r="J123" s="431"/>
      <c r="K123" s="431"/>
      <c r="L123" s="431"/>
      <c r="M123" s="431"/>
      <c r="N123" s="431"/>
      <c r="O123" s="431"/>
      <c r="P123" s="431"/>
      <c r="Q123" s="431"/>
      <c r="R123" s="431"/>
      <c r="S123" s="431"/>
      <c r="T123" s="431"/>
      <c r="U123" s="431"/>
      <c r="V123" s="431"/>
      <c r="W123" s="431"/>
      <c r="X123" s="431"/>
      <c r="Y123" s="431"/>
      <c r="Z123" s="431"/>
      <c r="AA123" s="431"/>
      <c r="AB123" s="431"/>
      <c r="AC123" s="431"/>
      <c r="AD123" s="416"/>
      <c r="AE123" s="416"/>
      <c r="AF123" s="416"/>
      <c r="AG123" s="416"/>
      <c r="AH123" s="416"/>
      <c r="AI123" s="431"/>
      <c r="AJ123" s="416"/>
      <c r="AK123" s="1628">
        <f t="shared" ref="AK123:AK138" si="19">SUM(F123:AJ123)</f>
        <v>0</v>
      </c>
      <c r="AL123" s="1629">
        <f t="shared" si="16"/>
        <v>0</v>
      </c>
      <c r="AN123"/>
    </row>
    <row r="124" spans="1:40" ht="13.5" customHeight="1">
      <c r="A124" s="5"/>
      <c r="B124" s="2486" t="s">
        <v>964</v>
      </c>
      <c r="C124" s="1499" t="s">
        <v>1632</v>
      </c>
      <c r="D124" s="35" t="s">
        <v>957</v>
      </c>
      <c r="E124" s="334">
        <v>842</v>
      </c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453"/>
      <c r="AE124" s="453"/>
      <c r="AF124" s="453"/>
      <c r="AG124" s="453"/>
      <c r="AH124" s="453"/>
      <c r="AI124" s="38"/>
      <c r="AJ124" s="453"/>
      <c r="AK124" s="1633">
        <f t="shared" si="19"/>
        <v>0</v>
      </c>
      <c r="AL124" s="1632">
        <f t="shared" si="16"/>
        <v>0</v>
      </c>
      <c r="AM124"/>
    </row>
    <row r="125" spans="1:40" ht="13.5" customHeight="1">
      <c r="A125" s="5"/>
      <c r="B125" s="2487"/>
      <c r="C125" s="1496"/>
      <c r="D125" s="17" t="s">
        <v>962</v>
      </c>
      <c r="E125" s="2">
        <v>787</v>
      </c>
      <c r="F125" s="365"/>
      <c r="G125" s="365"/>
      <c r="H125" s="365"/>
      <c r="I125" s="365"/>
      <c r="J125" s="1446"/>
      <c r="K125" s="365"/>
      <c r="L125" s="365"/>
      <c r="M125" s="365"/>
      <c r="N125" s="365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436"/>
      <c r="AE125" s="436"/>
      <c r="AF125" s="436"/>
      <c r="AG125" s="436"/>
      <c r="AH125" s="436"/>
      <c r="AI125" s="365"/>
      <c r="AJ125" s="436"/>
      <c r="AK125" s="1630">
        <f t="shared" si="19"/>
        <v>0</v>
      </c>
      <c r="AL125" s="1631">
        <f t="shared" si="16"/>
        <v>0</v>
      </c>
      <c r="AM125"/>
    </row>
    <row r="126" spans="1:40" ht="13.5" customHeight="1">
      <c r="A126" s="5"/>
      <c r="B126" s="2487"/>
      <c r="C126" s="1496"/>
      <c r="D126" s="17" t="s">
        <v>963</v>
      </c>
      <c r="E126" s="2">
        <v>807</v>
      </c>
      <c r="F126" s="365"/>
      <c r="G126" s="365"/>
      <c r="H126" s="365"/>
      <c r="I126" s="365"/>
      <c r="J126" s="365"/>
      <c r="K126" s="365"/>
      <c r="L126" s="365"/>
      <c r="M126" s="365"/>
      <c r="N126" s="365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436"/>
      <c r="AE126" s="436"/>
      <c r="AF126" s="436"/>
      <c r="AG126" s="436"/>
      <c r="AH126" s="436"/>
      <c r="AI126" s="365"/>
      <c r="AJ126" s="436"/>
      <c r="AK126" s="1630">
        <f t="shared" si="19"/>
        <v>0</v>
      </c>
      <c r="AL126" s="1631">
        <f t="shared" si="16"/>
        <v>0</v>
      </c>
      <c r="AM126"/>
    </row>
    <row r="127" spans="1:40" ht="13.5" customHeight="1">
      <c r="A127" s="5"/>
      <c r="B127" s="2487"/>
      <c r="C127" s="1496" t="s">
        <v>1628</v>
      </c>
      <c r="D127" s="1287" t="s">
        <v>1400</v>
      </c>
      <c r="E127" s="2">
        <v>1036</v>
      </c>
      <c r="F127" s="365"/>
      <c r="G127" s="365"/>
      <c r="H127" s="365">
        <v>2020</v>
      </c>
      <c r="I127" s="365"/>
      <c r="J127" s="365"/>
      <c r="K127" s="365"/>
      <c r="L127" s="365"/>
      <c r="M127" s="365"/>
      <c r="N127" s="365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>
        <v>2025</v>
      </c>
      <c r="AB127" s="365"/>
      <c r="AC127" s="365"/>
      <c r="AD127" s="436"/>
      <c r="AE127" s="436"/>
      <c r="AF127" s="436"/>
      <c r="AG127" s="436"/>
      <c r="AH127" s="436"/>
      <c r="AI127" s="365"/>
      <c r="AJ127" s="436"/>
      <c r="AK127" s="1630">
        <f t="shared" si="19"/>
        <v>4045</v>
      </c>
      <c r="AL127" s="1631">
        <f t="shared" si="16"/>
        <v>4190620</v>
      </c>
      <c r="AM127"/>
      <c r="AN127" s="33"/>
    </row>
    <row r="128" spans="1:40" ht="13.5" customHeight="1">
      <c r="A128" s="5"/>
      <c r="B128" s="2487"/>
      <c r="C128" s="1496"/>
      <c r="D128" s="17" t="s">
        <v>1163</v>
      </c>
      <c r="E128" s="2">
        <v>971</v>
      </c>
      <c r="F128" s="365"/>
      <c r="G128" s="365"/>
      <c r="H128" s="365"/>
      <c r="I128" s="365"/>
      <c r="J128" s="365"/>
      <c r="K128" s="365"/>
      <c r="L128" s="365"/>
      <c r="M128" s="365"/>
      <c r="N128" s="365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436"/>
      <c r="AE128" s="436"/>
      <c r="AF128" s="436"/>
      <c r="AG128" s="436"/>
      <c r="AH128" s="436"/>
      <c r="AI128" s="365"/>
      <c r="AJ128" s="436"/>
      <c r="AK128" s="1630">
        <f t="shared" si="19"/>
        <v>0</v>
      </c>
      <c r="AL128" s="1631">
        <f t="shared" si="16"/>
        <v>0</v>
      </c>
      <c r="AM128"/>
    </row>
    <row r="129" spans="1:40" ht="13.5" customHeight="1">
      <c r="A129" s="5"/>
      <c r="B129" s="2487"/>
      <c r="C129" s="1496" t="s">
        <v>1625</v>
      </c>
      <c r="D129" s="17" t="s">
        <v>958</v>
      </c>
      <c r="E129" s="2">
        <v>1252</v>
      </c>
      <c r="F129" s="365"/>
      <c r="G129" s="365"/>
      <c r="H129" s="365">
        <v>2515</v>
      </c>
      <c r="I129" s="365"/>
      <c r="J129" s="365"/>
      <c r="K129" s="365"/>
      <c r="L129" s="365"/>
      <c r="M129" s="365"/>
      <c r="N129" s="365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436"/>
      <c r="AE129" s="436"/>
      <c r="AF129" s="436"/>
      <c r="AG129" s="436"/>
      <c r="AH129" s="436"/>
      <c r="AI129" s="365"/>
      <c r="AJ129" s="436"/>
      <c r="AK129" s="1630">
        <f t="shared" si="19"/>
        <v>2515</v>
      </c>
      <c r="AL129" s="1631">
        <f t="shared" si="16"/>
        <v>3148780</v>
      </c>
      <c r="AM129"/>
    </row>
    <row r="130" spans="1:40" ht="13.5" customHeight="1">
      <c r="A130" s="5"/>
      <c r="B130" s="2487"/>
      <c r="C130" s="1496" t="s">
        <v>1626</v>
      </c>
      <c r="D130" s="17" t="s">
        <v>959</v>
      </c>
      <c r="E130" s="2">
        <v>1229</v>
      </c>
      <c r="F130" s="365"/>
      <c r="G130" s="365"/>
      <c r="H130" s="365">
        <v>2505</v>
      </c>
      <c r="I130" s="365"/>
      <c r="J130" s="365"/>
      <c r="K130" s="365"/>
      <c r="L130" s="365"/>
      <c r="M130" s="365"/>
      <c r="N130" s="365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436"/>
      <c r="AE130" s="436"/>
      <c r="AF130" s="436"/>
      <c r="AG130" s="436"/>
      <c r="AH130" s="436"/>
      <c r="AI130" s="365"/>
      <c r="AJ130" s="436"/>
      <c r="AK130" s="1630">
        <f t="shared" si="19"/>
        <v>2505</v>
      </c>
      <c r="AL130" s="1631">
        <f t="shared" si="16"/>
        <v>3078645</v>
      </c>
      <c r="AM130"/>
    </row>
    <row r="131" spans="1:40" ht="13.2" customHeight="1">
      <c r="A131" s="5"/>
      <c r="B131" s="2487"/>
      <c r="C131" s="1496" t="s">
        <v>1627</v>
      </c>
      <c r="D131" s="17" t="s">
        <v>984</v>
      </c>
      <c r="E131" s="2">
        <v>783</v>
      </c>
      <c r="F131" s="365"/>
      <c r="G131" s="365"/>
      <c r="H131" s="365">
        <v>4530</v>
      </c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436"/>
      <c r="AE131" s="436"/>
      <c r="AF131" s="436"/>
      <c r="AG131" s="436"/>
      <c r="AH131" s="436"/>
      <c r="AI131" s="365"/>
      <c r="AJ131" s="436"/>
      <c r="AK131" s="1630">
        <f t="shared" si="19"/>
        <v>4530</v>
      </c>
      <c r="AL131" s="1631">
        <f t="shared" si="16"/>
        <v>3546990</v>
      </c>
      <c r="AM131" s="1352"/>
    </row>
    <row r="132" spans="1:40" ht="13.5" customHeight="1">
      <c r="A132" s="5"/>
      <c r="B132" s="2487"/>
      <c r="C132" s="1496" t="s">
        <v>1623</v>
      </c>
      <c r="D132" s="17" t="s">
        <v>960</v>
      </c>
      <c r="E132" s="2">
        <v>1119</v>
      </c>
      <c r="F132" s="365"/>
      <c r="G132" s="365"/>
      <c r="H132" s="365">
        <v>2595</v>
      </c>
      <c r="I132" s="365"/>
      <c r="J132" s="1133"/>
      <c r="K132" s="365"/>
      <c r="L132" s="365"/>
      <c r="M132" s="365"/>
      <c r="N132" s="365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>
        <v>2520</v>
      </c>
      <c r="AB132" s="365"/>
      <c r="AC132" s="365"/>
      <c r="AD132" s="436"/>
      <c r="AE132" s="436"/>
      <c r="AF132" s="436"/>
      <c r="AG132" s="436"/>
      <c r="AH132" s="436"/>
      <c r="AI132" s="365"/>
      <c r="AJ132" s="436"/>
      <c r="AK132" s="1630">
        <f t="shared" si="19"/>
        <v>5115</v>
      </c>
      <c r="AL132" s="1631">
        <f t="shared" si="16"/>
        <v>5723685</v>
      </c>
      <c r="AM132" s="1352" t="s">
        <v>2235</v>
      </c>
    </row>
    <row r="133" spans="1:40" ht="13.2" customHeight="1">
      <c r="A133" s="5"/>
      <c r="B133" s="2487"/>
      <c r="C133" s="1496" t="s">
        <v>1624</v>
      </c>
      <c r="D133" s="212" t="s">
        <v>961</v>
      </c>
      <c r="E133" s="594">
        <v>1253</v>
      </c>
      <c r="F133" s="431"/>
      <c r="G133" s="431"/>
      <c r="H133" s="431">
        <v>2500</v>
      </c>
      <c r="I133" s="431"/>
      <c r="J133" s="1134"/>
      <c r="K133" s="431"/>
      <c r="L133" s="431"/>
      <c r="M133" s="431"/>
      <c r="N133" s="431"/>
      <c r="O133" s="431"/>
      <c r="P133" s="431"/>
      <c r="Q133" s="431"/>
      <c r="R133" s="431"/>
      <c r="S133" s="431"/>
      <c r="T133" s="431"/>
      <c r="U133" s="431"/>
      <c r="V133" s="431"/>
      <c r="W133" s="431"/>
      <c r="X133" s="431"/>
      <c r="Y133" s="431"/>
      <c r="Z133" s="431"/>
      <c r="AA133" s="431">
        <v>2000</v>
      </c>
      <c r="AB133" s="431"/>
      <c r="AC133" s="431"/>
      <c r="AD133" s="416"/>
      <c r="AE133" s="416"/>
      <c r="AF133" s="416"/>
      <c r="AG133" s="1441"/>
      <c r="AH133" s="1441"/>
      <c r="AI133" s="431"/>
      <c r="AJ133" s="416"/>
      <c r="AK133" s="1634">
        <f t="shared" si="19"/>
        <v>4500</v>
      </c>
      <c r="AL133" s="1635">
        <f t="shared" ref="AL133:AL164" si="20">E133*AK133</f>
        <v>5638500</v>
      </c>
      <c r="AM133" s="1002">
        <f>SUM(AL124:AL138)</f>
        <v>31970160</v>
      </c>
    </row>
    <row r="134" spans="1:40" ht="13.2" customHeight="1">
      <c r="A134" s="5"/>
      <c r="B134" s="2487"/>
      <c r="C134" s="1496" t="s">
        <v>1629</v>
      </c>
      <c r="D134" s="212" t="s">
        <v>998</v>
      </c>
      <c r="E134" s="594">
        <v>469</v>
      </c>
      <c r="F134" s="431"/>
      <c r="G134" s="431"/>
      <c r="H134" s="431"/>
      <c r="I134" s="431"/>
      <c r="J134" s="431"/>
      <c r="K134" s="431"/>
      <c r="L134" s="431"/>
      <c r="M134" s="431"/>
      <c r="N134" s="431"/>
      <c r="O134" s="431"/>
      <c r="P134" s="431"/>
      <c r="Q134" s="431"/>
      <c r="R134" s="431"/>
      <c r="S134" s="431"/>
      <c r="T134" s="431"/>
      <c r="U134" s="431"/>
      <c r="V134" s="431"/>
      <c r="W134" s="431"/>
      <c r="X134" s="431"/>
      <c r="Y134" s="431"/>
      <c r="Z134" s="431"/>
      <c r="AA134" s="431"/>
      <c r="AB134" s="431"/>
      <c r="AC134" s="431"/>
      <c r="AD134" s="416"/>
      <c r="AE134" s="416"/>
      <c r="AF134" s="416"/>
      <c r="AG134" s="436"/>
      <c r="AH134" s="416"/>
      <c r="AI134" s="431"/>
      <c r="AJ134" s="416"/>
      <c r="AK134" s="1634">
        <f t="shared" si="19"/>
        <v>0</v>
      </c>
      <c r="AL134" s="1635">
        <f t="shared" si="20"/>
        <v>0</v>
      </c>
      <c r="AM134"/>
    </row>
    <row r="135" spans="1:40" ht="13.2" customHeight="1">
      <c r="A135" s="5"/>
      <c r="B135" s="2487"/>
      <c r="C135" s="1496" t="s">
        <v>1630</v>
      </c>
      <c r="D135" s="212" t="s">
        <v>1139</v>
      </c>
      <c r="E135" s="594">
        <v>779</v>
      </c>
      <c r="F135" s="431"/>
      <c r="G135" s="431"/>
      <c r="H135" s="431"/>
      <c r="I135" s="431"/>
      <c r="J135" s="431"/>
      <c r="K135" s="431"/>
      <c r="L135" s="431"/>
      <c r="M135" s="431"/>
      <c r="N135" s="431"/>
      <c r="O135" s="431"/>
      <c r="P135" s="431"/>
      <c r="Q135" s="431"/>
      <c r="R135" s="431"/>
      <c r="S135" s="431"/>
      <c r="T135" s="431"/>
      <c r="U135" s="431"/>
      <c r="V135" s="431"/>
      <c r="W135" s="431"/>
      <c r="X135" s="431"/>
      <c r="Y135" s="431"/>
      <c r="Z135" s="431"/>
      <c r="AA135" s="431"/>
      <c r="AB135" s="431"/>
      <c r="AC135" s="431"/>
      <c r="AD135" s="416"/>
      <c r="AE135" s="416"/>
      <c r="AF135" s="416"/>
      <c r="AG135" s="416"/>
      <c r="AH135" s="416"/>
      <c r="AI135" s="431"/>
      <c r="AJ135" s="416"/>
      <c r="AK135" s="549">
        <f t="shared" si="19"/>
        <v>0</v>
      </c>
      <c r="AL135" s="203">
        <f t="shared" si="20"/>
        <v>0</v>
      </c>
      <c r="AM135"/>
    </row>
    <row r="136" spans="1:40" ht="13.2" customHeight="1">
      <c r="A136" s="5"/>
      <c r="B136" s="2487"/>
      <c r="C136" s="1496" t="s">
        <v>1621</v>
      </c>
      <c r="D136" s="212" t="s">
        <v>1267</v>
      </c>
      <c r="E136" s="594">
        <v>120</v>
      </c>
      <c r="F136" s="431"/>
      <c r="G136" s="431"/>
      <c r="H136" s="431"/>
      <c r="I136" s="431"/>
      <c r="J136" s="431"/>
      <c r="K136" s="431"/>
      <c r="L136" s="431"/>
      <c r="M136" s="431"/>
      <c r="N136" s="431"/>
      <c r="O136" s="431"/>
      <c r="P136" s="431"/>
      <c r="Q136" s="431"/>
      <c r="R136" s="431"/>
      <c r="S136" s="431"/>
      <c r="T136" s="431"/>
      <c r="U136" s="431"/>
      <c r="V136" s="431"/>
      <c r="W136" s="431"/>
      <c r="X136" s="431"/>
      <c r="Y136" s="431"/>
      <c r="Z136" s="431"/>
      <c r="AA136" s="431"/>
      <c r="AB136" s="431"/>
      <c r="AC136" s="431"/>
      <c r="AD136" s="416"/>
      <c r="AE136" s="416"/>
      <c r="AF136" s="416"/>
      <c r="AG136" s="416"/>
      <c r="AH136" s="416"/>
      <c r="AI136" s="431"/>
      <c r="AJ136" s="416"/>
      <c r="AK136" s="549">
        <f t="shared" si="19"/>
        <v>0</v>
      </c>
      <c r="AL136" s="203">
        <f t="shared" si="20"/>
        <v>0</v>
      </c>
      <c r="AM136"/>
    </row>
    <row r="137" spans="1:40" ht="13.2" customHeight="1">
      <c r="A137" s="5"/>
      <c r="B137" s="2487"/>
      <c r="C137" s="1496" t="s">
        <v>1631</v>
      </c>
      <c r="D137" s="212" t="s">
        <v>1467</v>
      </c>
      <c r="E137" s="594">
        <v>1490</v>
      </c>
      <c r="F137" s="431"/>
      <c r="G137" s="431"/>
      <c r="H137" s="431"/>
      <c r="I137" s="431"/>
      <c r="J137" s="431"/>
      <c r="K137" s="431"/>
      <c r="L137" s="431"/>
      <c r="M137" s="431"/>
      <c r="N137" s="431"/>
      <c r="O137" s="431"/>
      <c r="P137" s="431"/>
      <c r="Q137" s="431"/>
      <c r="R137" s="431"/>
      <c r="S137" s="431"/>
      <c r="T137" s="431"/>
      <c r="U137" s="431"/>
      <c r="V137" s="431"/>
      <c r="W137" s="431"/>
      <c r="X137" s="431"/>
      <c r="Y137" s="431"/>
      <c r="Z137" s="431"/>
      <c r="AA137" s="431">
        <v>1865</v>
      </c>
      <c r="AB137" s="431"/>
      <c r="AC137" s="431"/>
      <c r="AD137" s="416"/>
      <c r="AE137" s="416"/>
      <c r="AF137" s="416"/>
      <c r="AG137" s="416"/>
      <c r="AH137" s="416"/>
      <c r="AI137" s="431"/>
      <c r="AJ137" s="416"/>
      <c r="AK137" s="549">
        <f t="shared" si="19"/>
        <v>1865</v>
      </c>
      <c r="AL137" s="203">
        <f t="shared" si="20"/>
        <v>2778850</v>
      </c>
      <c r="AM137"/>
    </row>
    <row r="138" spans="1:40" ht="12.75" customHeight="1" thickBot="1">
      <c r="A138" s="5"/>
      <c r="B138" s="2488"/>
      <c r="C138" s="1500" t="s">
        <v>1622</v>
      </c>
      <c r="D138" s="51" t="s">
        <v>985</v>
      </c>
      <c r="E138" s="336">
        <v>853</v>
      </c>
      <c r="F138" s="373"/>
      <c r="G138" s="373"/>
      <c r="H138" s="373">
        <v>2050</v>
      </c>
      <c r="I138" s="373"/>
      <c r="J138" s="373"/>
      <c r="K138" s="373"/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373"/>
      <c r="Y138" s="373"/>
      <c r="Z138" s="373"/>
      <c r="AA138" s="373">
        <v>2480</v>
      </c>
      <c r="AB138" s="373"/>
      <c r="AC138" s="373"/>
      <c r="AD138" s="455"/>
      <c r="AE138" s="455"/>
      <c r="AF138" s="455"/>
      <c r="AG138" s="455"/>
      <c r="AH138" s="455"/>
      <c r="AI138" s="373"/>
      <c r="AJ138" s="455"/>
      <c r="AK138" s="467">
        <f t="shared" si="19"/>
        <v>4530</v>
      </c>
      <c r="AL138" s="207">
        <f t="shared" si="20"/>
        <v>3864090</v>
      </c>
      <c r="AM138"/>
    </row>
    <row r="139" spans="1:40" ht="12.6" customHeight="1">
      <c r="A139" s="2494" t="s">
        <v>1760</v>
      </c>
      <c r="B139" s="2497" t="s">
        <v>1761</v>
      </c>
      <c r="C139" s="1493" t="s">
        <v>1762</v>
      </c>
      <c r="D139" s="1528" t="s">
        <v>1763</v>
      </c>
      <c r="E139" s="1529">
        <v>1100</v>
      </c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453"/>
      <c r="AE139" s="453"/>
      <c r="AF139" s="453"/>
      <c r="AG139" s="453"/>
      <c r="AH139" s="453"/>
      <c r="AI139" s="38"/>
      <c r="AJ139" s="453"/>
      <c r="AK139" s="2216">
        <f t="shared" ref="AK139:AK157" si="21">SUM(F139:AJ139)</f>
        <v>0</v>
      </c>
      <c r="AL139" s="2217">
        <f t="shared" si="20"/>
        <v>0</v>
      </c>
      <c r="AM139"/>
      <c r="AN139"/>
    </row>
    <row r="140" spans="1:40" ht="12.6" customHeight="1">
      <c r="A140" s="2495"/>
      <c r="B140" s="2498"/>
      <c r="C140" s="1031" t="s">
        <v>1764</v>
      </c>
      <c r="D140" s="1270" t="s">
        <v>1765</v>
      </c>
      <c r="E140" s="1269">
        <v>1986</v>
      </c>
      <c r="F140" s="365"/>
      <c r="G140" s="365"/>
      <c r="H140" s="365"/>
      <c r="I140" s="365"/>
      <c r="J140" s="365"/>
      <c r="K140" s="365"/>
      <c r="L140" s="365"/>
      <c r="M140" s="365"/>
      <c r="N140" s="365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436"/>
      <c r="AE140" s="436"/>
      <c r="AF140" s="436"/>
      <c r="AG140" s="436"/>
      <c r="AH140" s="436"/>
      <c r="AI140" s="365"/>
      <c r="AJ140" s="436"/>
      <c r="AK140" s="2218">
        <f t="shared" si="21"/>
        <v>0</v>
      </c>
      <c r="AL140" s="2219">
        <f t="shared" si="20"/>
        <v>0</v>
      </c>
      <c r="AM140"/>
      <c r="AN140"/>
    </row>
    <row r="141" spans="1:40" ht="12.6" customHeight="1">
      <c r="A141" s="2495"/>
      <c r="B141" s="2498"/>
      <c r="C141" s="1031" t="s">
        <v>1766</v>
      </c>
      <c r="D141" s="1270" t="s">
        <v>1767</v>
      </c>
      <c r="E141" s="1269">
        <v>1100</v>
      </c>
      <c r="F141" s="365"/>
      <c r="G141" s="365"/>
      <c r="H141" s="365"/>
      <c r="I141" s="365"/>
      <c r="J141" s="365"/>
      <c r="K141" s="365"/>
      <c r="L141" s="365"/>
      <c r="M141" s="365"/>
      <c r="N141" s="365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436"/>
      <c r="AE141" s="436"/>
      <c r="AF141" s="436"/>
      <c r="AG141" s="436"/>
      <c r="AH141" s="436"/>
      <c r="AI141" s="365"/>
      <c r="AJ141" s="436"/>
      <c r="AK141" s="2218">
        <f t="shared" si="21"/>
        <v>0</v>
      </c>
      <c r="AL141" s="2219">
        <f t="shared" si="20"/>
        <v>0</v>
      </c>
      <c r="AM141" s="1618"/>
      <c r="AN141"/>
    </row>
    <row r="142" spans="1:40" ht="12.6" customHeight="1">
      <c r="A142" s="2495"/>
      <c r="B142" s="2498"/>
      <c r="C142" s="1031" t="s">
        <v>1863</v>
      </c>
      <c r="D142" s="1270" t="s">
        <v>1864</v>
      </c>
      <c r="E142" s="1269">
        <v>1344</v>
      </c>
      <c r="F142" s="365"/>
      <c r="G142" s="365"/>
      <c r="H142" s="365"/>
      <c r="I142" s="365"/>
      <c r="J142" s="365"/>
      <c r="K142" s="365"/>
      <c r="L142" s="365"/>
      <c r="M142" s="365"/>
      <c r="N142" s="365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436"/>
      <c r="AE142" s="436"/>
      <c r="AF142" s="436"/>
      <c r="AG142" s="436"/>
      <c r="AH142" s="436"/>
      <c r="AI142" s="365"/>
      <c r="AJ142" s="436"/>
      <c r="AK142" s="2218">
        <f t="shared" si="21"/>
        <v>0</v>
      </c>
      <c r="AL142" s="2219">
        <f t="shared" si="20"/>
        <v>0</v>
      </c>
      <c r="AM142" s="1618"/>
      <c r="AN142"/>
    </row>
    <row r="143" spans="1:40" ht="10.5" customHeight="1">
      <c r="A143" s="2495"/>
      <c r="B143" s="2498"/>
      <c r="C143" s="1031" t="s">
        <v>1869</v>
      </c>
      <c r="D143" s="1270" t="s">
        <v>1870</v>
      </c>
      <c r="E143" s="1269">
        <v>1276</v>
      </c>
      <c r="F143" s="365"/>
      <c r="G143" s="365"/>
      <c r="H143" s="365"/>
      <c r="I143" s="365"/>
      <c r="J143" s="365"/>
      <c r="K143" s="365"/>
      <c r="L143" s="365"/>
      <c r="M143" s="365"/>
      <c r="N143" s="365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436"/>
      <c r="AE143" s="436"/>
      <c r="AF143" s="436"/>
      <c r="AG143" s="436"/>
      <c r="AH143" s="436"/>
      <c r="AI143" s="365"/>
      <c r="AJ143" s="436"/>
      <c r="AK143" s="2218">
        <f t="shared" si="21"/>
        <v>0</v>
      </c>
      <c r="AL143" s="2219">
        <f t="shared" si="20"/>
        <v>0</v>
      </c>
      <c r="AM143" s="1618"/>
      <c r="AN143"/>
    </row>
    <row r="144" spans="1:40" ht="12.6" customHeight="1">
      <c r="A144" s="2495"/>
      <c r="B144" s="2498"/>
      <c r="C144" s="1031" t="s">
        <v>1768</v>
      </c>
      <c r="D144" s="1270" t="s">
        <v>1769</v>
      </c>
      <c r="E144" s="1269"/>
      <c r="F144" s="365"/>
      <c r="G144" s="365"/>
      <c r="H144" s="365"/>
      <c r="I144" s="365"/>
      <c r="J144" s="365"/>
      <c r="K144" s="365"/>
      <c r="L144" s="365"/>
      <c r="M144" s="365"/>
      <c r="N144" s="365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436"/>
      <c r="AE144" s="436"/>
      <c r="AF144" s="436"/>
      <c r="AG144" s="436"/>
      <c r="AH144" s="436"/>
      <c r="AI144" s="365"/>
      <c r="AJ144" s="436"/>
      <c r="AK144" s="2218">
        <f t="shared" si="21"/>
        <v>0</v>
      </c>
      <c r="AL144" s="2219">
        <f t="shared" si="20"/>
        <v>0</v>
      </c>
      <c r="AM144" s="1618"/>
      <c r="AN144"/>
    </row>
    <row r="145" spans="1:43" ht="12.6" customHeight="1">
      <c r="A145" s="2495"/>
      <c r="B145" s="2498"/>
      <c r="C145" s="1031" t="s">
        <v>1770</v>
      </c>
      <c r="D145" s="1270" t="s">
        <v>1771</v>
      </c>
      <c r="E145" s="1269">
        <v>1660</v>
      </c>
      <c r="F145" s="365"/>
      <c r="G145" s="365"/>
      <c r="H145" s="365"/>
      <c r="I145" s="365"/>
      <c r="J145" s="365"/>
      <c r="K145" s="365"/>
      <c r="L145" s="365"/>
      <c r="M145" s="365"/>
      <c r="N145" s="365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436"/>
      <c r="AE145" s="436"/>
      <c r="AF145" s="436"/>
      <c r="AG145" s="436"/>
      <c r="AH145" s="436"/>
      <c r="AI145" s="365"/>
      <c r="AJ145" s="436"/>
      <c r="AK145" s="2218">
        <f t="shared" si="21"/>
        <v>0</v>
      </c>
      <c r="AL145" s="2219">
        <f t="shared" si="20"/>
        <v>0</v>
      </c>
      <c r="AM145" s="1618"/>
      <c r="AN145"/>
    </row>
    <row r="146" spans="1:43" ht="12.6" customHeight="1">
      <c r="A146" s="2495"/>
      <c r="B146" s="2498"/>
      <c r="C146" s="1770" t="s">
        <v>1997</v>
      </c>
      <c r="D146" s="1270" t="s">
        <v>1998</v>
      </c>
      <c r="E146" s="1269">
        <v>1329</v>
      </c>
      <c r="F146" s="365"/>
      <c r="G146" s="365"/>
      <c r="H146" s="365"/>
      <c r="I146" s="365"/>
      <c r="J146" s="365"/>
      <c r="K146" s="365"/>
      <c r="L146" s="365"/>
      <c r="M146" s="365"/>
      <c r="N146" s="365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436"/>
      <c r="AE146" s="436"/>
      <c r="AF146" s="436"/>
      <c r="AG146" s="436"/>
      <c r="AH146" s="436"/>
      <c r="AI146" s="365"/>
      <c r="AJ146" s="436"/>
      <c r="AK146" s="2218">
        <f t="shared" si="21"/>
        <v>0</v>
      </c>
      <c r="AL146" s="2219">
        <f t="shared" si="20"/>
        <v>0</v>
      </c>
      <c r="AM146" s="1618"/>
      <c r="AN146"/>
    </row>
    <row r="147" spans="1:43" ht="12.6" customHeight="1">
      <c r="A147" s="2495"/>
      <c r="B147" s="2498"/>
      <c r="C147" s="1031" t="s">
        <v>1867</v>
      </c>
      <c r="D147" s="1270" t="s">
        <v>1868</v>
      </c>
      <c r="E147" s="1269">
        <v>1583</v>
      </c>
      <c r="F147" s="365"/>
      <c r="G147" s="365"/>
      <c r="H147" s="365"/>
      <c r="I147" s="365"/>
      <c r="J147" s="365"/>
      <c r="K147" s="365"/>
      <c r="L147" s="365"/>
      <c r="M147" s="365"/>
      <c r="N147" s="365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436"/>
      <c r="AE147" s="436"/>
      <c r="AF147" s="436"/>
      <c r="AG147" s="436"/>
      <c r="AH147" s="436"/>
      <c r="AI147" s="365"/>
      <c r="AJ147" s="436"/>
      <c r="AK147" s="2218">
        <f t="shared" si="21"/>
        <v>0</v>
      </c>
      <c r="AL147" s="2219">
        <f t="shared" si="20"/>
        <v>0</v>
      </c>
      <c r="AM147" s="1618"/>
      <c r="AN147"/>
    </row>
    <row r="148" spans="1:43" ht="12.6" customHeight="1">
      <c r="A148" s="2495"/>
      <c r="B148" s="2499"/>
      <c r="C148" s="1031" t="s">
        <v>1772</v>
      </c>
      <c r="D148" s="1270" t="s">
        <v>1773</v>
      </c>
      <c r="E148" s="1269">
        <v>1329</v>
      </c>
      <c r="F148" s="365"/>
      <c r="G148" s="365"/>
      <c r="H148" s="365"/>
      <c r="I148" s="365"/>
      <c r="J148" s="365"/>
      <c r="K148" s="365"/>
      <c r="L148" s="365"/>
      <c r="M148" s="365"/>
      <c r="N148" s="365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436"/>
      <c r="AE148" s="436"/>
      <c r="AF148" s="436"/>
      <c r="AG148" s="436"/>
      <c r="AH148" s="436"/>
      <c r="AI148" s="365"/>
      <c r="AJ148" s="436"/>
      <c r="AK148" s="2218">
        <f t="shared" si="21"/>
        <v>0</v>
      </c>
      <c r="AL148" s="2219">
        <f t="shared" si="20"/>
        <v>0</v>
      </c>
      <c r="AM148" s="1618"/>
      <c r="AN148"/>
    </row>
    <row r="149" spans="1:43" ht="12.6" customHeight="1">
      <c r="A149" s="2495"/>
      <c r="B149" s="2499"/>
      <c r="C149" s="1031" t="s">
        <v>1774</v>
      </c>
      <c r="D149" s="1270" t="s">
        <v>1775</v>
      </c>
      <c r="E149" s="1269">
        <v>1749</v>
      </c>
      <c r="F149" s="365"/>
      <c r="G149" s="365"/>
      <c r="H149" s="365"/>
      <c r="I149" s="365"/>
      <c r="J149" s="365"/>
      <c r="K149" s="365"/>
      <c r="L149" s="365"/>
      <c r="M149" s="365"/>
      <c r="N149" s="365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436"/>
      <c r="AE149" s="436"/>
      <c r="AF149" s="436"/>
      <c r="AG149" s="436"/>
      <c r="AH149" s="436"/>
      <c r="AI149" s="365"/>
      <c r="AJ149" s="436"/>
      <c r="AK149" s="2218">
        <f t="shared" si="21"/>
        <v>0</v>
      </c>
      <c r="AL149" s="2219">
        <f t="shared" si="20"/>
        <v>0</v>
      </c>
      <c r="AM149" s="1618"/>
      <c r="AN149"/>
    </row>
    <row r="150" spans="1:43" ht="12.6" customHeight="1">
      <c r="A150" s="2495"/>
      <c r="B150" s="2499" t="s">
        <v>1389</v>
      </c>
      <c r="C150" s="1031" t="s">
        <v>1776</v>
      </c>
      <c r="D150" s="1270" t="s">
        <v>1777</v>
      </c>
      <c r="E150" s="1269">
        <v>1757</v>
      </c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436"/>
      <c r="AE150" s="436"/>
      <c r="AF150" s="436"/>
      <c r="AG150" s="436"/>
      <c r="AH150" s="436"/>
      <c r="AI150" s="365"/>
      <c r="AJ150" s="436"/>
      <c r="AK150" s="2218">
        <f t="shared" si="21"/>
        <v>0</v>
      </c>
      <c r="AL150" s="2219">
        <f t="shared" si="20"/>
        <v>0</v>
      </c>
      <c r="AM150" s="1618"/>
      <c r="AN150"/>
    </row>
    <row r="151" spans="1:43" ht="12.6" customHeight="1">
      <c r="A151" s="2495"/>
      <c r="B151" s="2499"/>
      <c r="C151" s="1031" t="s">
        <v>1778</v>
      </c>
      <c r="D151" s="1270" t="s">
        <v>1779</v>
      </c>
      <c r="E151" s="1269">
        <v>1971</v>
      </c>
      <c r="F151" s="365"/>
      <c r="G151" s="365"/>
      <c r="H151" s="365"/>
      <c r="I151" s="365"/>
      <c r="J151" s="365"/>
      <c r="K151" s="365"/>
      <c r="L151" s="365"/>
      <c r="M151" s="365"/>
      <c r="N151" s="365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436"/>
      <c r="AE151" s="436"/>
      <c r="AF151" s="436"/>
      <c r="AG151" s="436"/>
      <c r="AH151" s="436"/>
      <c r="AI151" s="365"/>
      <c r="AJ151" s="436"/>
      <c r="AK151" s="2218">
        <f t="shared" si="21"/>
        <v>0</v>
      </c>
      <c r="AL151" s="2219">
        <f t="shared" si="20"/>
        <v>0</v>
      </c>
      <c r="AM151" s="1618"/>
      <c r="AN151"/>
    </row>
    <row r="152" spans="1:43" ht="12.6" customHeight="1">
      <c r="A152" s="2495"/>
      <c r="B152" s="2499"/>
      <c r="C152" s="1031" t="s">
        <v>1780</v>
      </c>
      <c r="D152" s="1270" t="s">
        <v>1781</v>
      </c>
      <c r="E152" s="1269">
        <v>1398</v>
      </c>
      <c r="F152" s="365"/>
      <c r="G152" s="365"/>
      <c r="H152" s="365"/>
      <c r="I152" s="365"/>
      <c r="J152" s="365"/>
      <c r="K152" s="365"/>
      <c r="L152" s="365"/>
      <c r="M152" s="365"/>
      <c r="N152" s="365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436"/>
      <c r="AE152" s="436"/>
      <c r="AF152" s="436"/>
      <c r="AG152" s="436"/>
      <c r="AH152" s="436"/>
      <c r="AI152" s="365"/>
      <c r="AJ152" s="436"/>
      <c r="AK152" s="2218">
        <f t="shared" si="21"/>
        <v>0</v>
      </c>
      <c r="AL152" s="2219">
        <f t="shared" si="20"/>
        <v>0</v>
      </c>
      <c r="AM152" s="1618"/>
      <c r="AN152"/>
    </row>
    <row r="153" spans="1:43" ht="12.6" customHeight="1">
      <c r="A153" s="2495"/>
      <c r="B153" s="2499"/>
      <c r="C153" s="1031" t="s">
        <v>1782</v>
      </c>
      <c r="D153" s="1270" t="s">
        <v>1783</v>
      </c>
      <c r="E153" s="1269">
        <v>1390</v>
      </c>
      <c r="F153" s="365"/>
      <c r="G153" s="365"/>
      <c r="H153" s="365"/>
      <c r="I153" s="365"/>
      <c r="J153" s="365"/>
      <c r="K153" s="365"/>
      <c r="L153" s="365"/>
      <c r="M153" s="365"/>
      <c r="N153" s="365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436"/>
      <c r="AE153" s="436"/>
      <c r="AF153" s="436"/>
      <c r="AG153" s="436"/>
      <c r="AH153" s="436"/>
      <c r="AI153" s="365"/>
      <c r="AJ153" s="436"/>
      <c r="AK153" s="2218">
        <f t="shared" si="21"/>
        <v>0</v>
      </c>
      <c r="AL153" s="2219">
        <f t="shared" si="20"/>
        <v>0</v>
      </c>
      <c r="AM153" s="1618"/>
      <c r="AN153"/>
    </row>
    <row r="154" spans="1:43" ht="12.6" customHeight="1">
      <c r="A154" s="2495"/>
      <c r="B154" s="2499"/>
      <c r="C154" s="1031" t="s">
        <v>1784</v>
      </c>
      <c r="D154" s="1270" t="s">
        <v>1785</v>
      </c>
      <c r="E154" s="1269">
        <v>1604</v>
      </c>
      <c r="F154" s="365"/>
      <c r="G154" s="365"/>
      <c r="H154" s="365"/>
      <c r="I154" s="365"/>
      <c r="J154" s="365"/>
      <c r="K154" s="365"/>
      <c r="L154" s="365"/>
      <c r="M154" s="365"/>
      <c r="N154" s="365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436"/>
      <c r="AE154" s="436"/>
      <c r="AF154" s="436"/>
      <c r="AG154" s="436"/>
      <c r="AH154" s="436"/>
      <c r="AI154" s="365"/>
      <c r="AJ154" s="436"/>
      <c r="AK154" s="2218">
        <f t="shared" si="21"/>
        <v>0</v>
      </c>
      <c r="AL154" s="2219">
        <f t="shared" si="20"/>
        <v>0</v>
      </c>
      <c r="AM154" s="1618"/>
      <c r="AN154"/>
    </row>
    <row r="155" spans="1:43" ht="12.6" customHeight="1">
      <c r="A155" s="2495"/>
      <c r="B155" s="2500" t="s">
        <v>1345</v>
      </c>
      <c r="C155" s="1031" t="s">
        <v>1999</v>
      </c>
      <c r="D155" s="1270" t="s">
        <v>2000</v>
      </c>
      <c r="E155" s="1269"/>
      <c r="F155" s="365"/>
      <c r="G155" s="365"/>
      <c r="H155" s="365"/>
      <c r="I155" s="365"/>
      <c r="J155" s="365"/>
      <c r="K155" s="365"/>
      <c r="L155" s="365"/>
      <c r="M155" s="365"/>
      <c r="N155" s="365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436"/>
      <c r="AE155" s="436"/>
      <c r="AF155" s="436"/>
      <c r="AG155" s="436"/>
      <c r="AH155" s="436"/>
      <c r="AI155" s="365"/>
      <c r="AJ155" s="436"/>
      <c r="AK155" s="2218">
        <f t="shared" si="21"/>
        <v>0</v>
      </c>
      <c r="AL155" s="2219">
        <f t="shared" si="20"/>
        <v>0</v>
      </c>
      <c r="AM155" s="1618"/>
      <c r="AN155"/>
    </row>
    <row r="156" spans="1:43" ht="12.6" customHeight="1">
      <c r="A156" s="2495"/>
      <c r="B156" s="2501"/>
      <c r="C156" s="1031" t="s">
        <v>1865</v>
      </c>
      <c r="D156" s="1270" t="s">
        <v>1866</v>
      </c>
      <c r="E156" s="1768">
        <v>2222</v>
      </c>
      <c r="F156" s="365"/>
      <c r="G156" s="365"/>
      <c r="H156" s="365"/>
      <c r="I156" s="365"/>
      <c r="J156" s="365"/>
      <c r="K156" s="365"/>
      <c r="L156" s="365"/>
      <c r="M156" s="365"/>
      <c r="N156" s="365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436"/>
      <c r="AE156" s="436"/>
      <c r="AF156" s="436"/>
      <c r="AG156" s="436"/>
      <c r="AH156" s="436"/>
      <c r="AI156" s="365"/>
      <c r="AJ156" s="436"/>
      <c r="AK156" s="2218">
        <f t="shared" si="21"/>
        <v>0</v>
      </c>
      <c r="AL156" s="2219">
        <f t="shared" si="20"/>
        <v>0</v>
      </c>
      <c r="AM156"/>
      <c r="AN156"/>
    </row>
    <row r="157" spans="1:43" ht="12.6" customHeight="1" thickBot="1">
      <c r="A157" s="2496"/>
      <c r="B157" s="2502"/>
      <c r="C157" s="1619" t="s">
        <v>1786</v>
      </c>
      <c r="D157" s="1530" t="s">
        <v>1787</v>
      </c>
      <c r="E157" s="1769">
        <v>1237</v>
      </c>
      <c r="F157" s="373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  <c r="W157" s="373"/>
      <c r="X157" s="373"/>
      <c r="Y157" s="373"/>
      <c r="Z157" s="373"/>
      <c r="AA157" s="373"/>
      <c r="AB157" s="373"/>
      <c r="AC157" s="373"/>
      <c r="AD157" s="455"/>
      <c r="AE157" s="455"/>
      <c r="AF157" s="455"/>
      <c r="AG157" s="455"/>
      <c r="AH157" s="455"/>
      <c r="AI157" s="373"/>
      <c r="AJ157" s="455"/>
      <c r="AK157" s="2220">
        <f t="shared" si="21"/>
        <v>0</v>
      </c>
      <c r="AL157" s="2221">
        <f t="shared" si="20"/>
        <v>0</v>
      </c>
      <c r="AM157"/>
      <c r="AN157"/>
    </row>
    <row r="158" spans="1:43" ht="13.5" customHeight="1">
      <c r="A158" s="5"/>
      <c r="B158" s="2417" t="s">
        <v>266</v>
      </c>
      <c r="C158" s="5"/>
      <c r="D158" s="1527" t="s">
        <v>827</v>
      </c>
      <c r="E158" s="595">
        <v>791</v>
      </c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437"/>
      <c r="AE158" s="437"/>
      <c r="AF158" s="437"/>
      <c r="AG158" s="437"/>
      <c r="AH158" s="437"/>
      <c r="AI158" s="50"/>
      <c r="AJ158" s="437"/>
      <c r="AK158" s="2222">
        <f t="shared" si="1"/>
        <v>0</v>
      </c>
      <c r="AL158" s="2223">
        <f t="shared" si="20"/>
        <v>0</v>
      </c>
      <c r="AM158"/>
      <c r="AN158"/>
      <c r="AQ158" s="33"/>
    </row>
    <row r="159" spans="1:43" ht="13.5" customHeight="1">
      <c r="A159" s="5"/>
      <c r="B159" s="2418"/>
      <c r="C159" s="5"/>
      <c r="D159" s="1323" t="s">
        <v>267</v>
      </c>
      <c r="E159" s="2">
        <v>744</v>
      </c>
      <c r="F159" s="365"/>
      <c r="G159" s="365"/>
      <c r="H159" s="365"/>
      <c r="I159" s="365"/>
      <c r="J159" s="365"/>
      <c r="K159" s="365"/>
      <c r="L159" s="365"/>
      <c r="M159" s="365"/>
      <c r="N159" s="365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436"/>
      <c r="AE159" s="436"/>
      <c r="AF159" s="436"/>
      <c r="AG159" s="436"/>
      <c r="AH159" s="436"/>
      <c r="AI159" s="365"/>
      <c r="AJ159" s="436"/>
      <c r="AK159" s="2224">
        <f t="shared" si="1"/>
        <v>0</v>
      </c>
      <c r="AL159" s="2225">
        <f t="shared" si="20"/>
        <v>0</v>
      </c>
      <c r="AM159"/>
      <c r="AN159"/>
      <c r="AQ159" s="33"/>
    </row>
    <row r="160" spans="1:43" ht="13.5" customHeight="1">
      <c r="A160" s="5"/>
      <c r="B160" s="2418"/>
      <c r="C160" s="5"/>
      <c r="D160" s="1323" t="s">
        <v>268</v>
      </c>
      <c r="E160" s="2">
        <v>564</v>
      </c>
      <c r="F160" s="365"/>
      <c r="G160" s="1322"/>
      <c r="H160" s="1322"/>
      <c r="I160" s="365"/>
      <c r="J160" s="365"/>
      <c r="K160" s="365"/>
      <c r="L160" s="365"/>
      <c r="M160" s="365"/>
      <c r="N160" s="365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462"/>
      <c r="AB160" s="365"/>
      <c r="AC160" s="365"/>
      <c r="AD160" s="436"/>
      <c r="AE160" s="436"/>
      <c r="AF160" s="436"/>
      <c r="AG160" s="456"/>
      <c r="AH160" s="456"/>
      <c r="AI160" s="365"/>
      <c r="AJ160" s="436"/>
      <c r="AK160" s="2224">
        <f t="shared" si="1"/>
        <v>0</v>
      </c>
      <c r="AL160" s="2225">
        <f t="shared" si="20"/>
        <v>0</v>
      </c>
      <c r="AM160"/>
      <c r="AN160"/>
      <c r="AQ160" s="33"/>
    </row>
    <row r="161" spans="1:43" ht="13.5" customHeight="1" thickBot="1">
      <c r="A161" s="5"/>
      <c r="B161" s="2418"/>
      <c r="C161" s="5"/>
      <c r="D161" s="2275" t="s">
        <v>268</v>
      </c>
      <c r="E161" s="594">
        <v>564</v>
      </c>
      <c r="F161" s="431"/>
      <c r="G161" s="2276"/>
      <c r="H161" s="2276"/>
      <c r="I161" s="431"/>
      <c r="J161" s="431"/>
      <c r="K161" s="431"/>
      <c r="L161" s="431"/>
      <c r="M161" s="431"/>
      <c r="N161" s="431"/>
      <c r="O161" s="431"/>
      <c r="P161" s="431"/>
      <c r="Q161" s="431"/>
      <c r="R161" s="431"/>
      <c r="S161" s="431"/>
      <c r="T161" s="431"/>
      <c r="U161" s="431"/>
      <c r="V161" s="431"/>
      <c r="W161" s="431"/>
      <c r="X161" s="431"/>
      <c r="Y161" s="431"/>
      <c r="Z161" s="431"/>
      <c r="AA161" s="2277"/>
      <c r="AB161" s="431"/>
      <c r="AC161" s="431"/>
      <c r="AD161" s="416"/>
      <c r="AE161" s="416"/>
      <c r="AF161" s="416"/>
      <c r="AG161" s="2278"/>
      <c r="AH161" s="2278"/>
      <c r="AI161" s="431"/>
      <c r="AJ161" s="416"/>
      <c r="AK161" s="2279">
        <f t="shared" si="1"/>
        <v>0</v>
      </c>
      <c r="AL161" s="2280">
        <f t="shared" si="20"/>
        <v>0</v>
      </c>
      <c r="AM161"/>
      <c r="AN161"/>
      <c r="AQ161" s="33"/>
    </row>
    <row r="162" spans="1:43" ht="13.5" customHeight="1">
      <c r="A162" s="5"/>
      <c r="B162" s="2417" t="s">
        <v>269</v>
      </c>
      <c r="C162" s="1337"/>
      <c r="D162" s="2281" t="s">
        <v>20</v>
      </c>
      <c r="E162" s="334">
        <v>600</v>
      </c>
      <c r="F162" s="37"/>
      <c r="G162" s="2282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2283"/>
      <c r="AB162" s="38"/>
      <c r="AC162" s="38"/>
      <c r="AD162" s="453"/>
      <c r="AE162" s="453"/>
      <c r="AF162" s="453"/>
      <c r="AG162" s="2284"/>
      <c r="AH162" s="2284"/>
      <c r="AI162" s="38"/>
      <c r="AJ162" s="453"/>
      <c r="AK162" s="2285">
        <f t="shared" si="1"/>
        <v>0</v>
      </c>
      <c r="AL162" s="2231">
        <f t="shared" si="20"/>
        <v>0</v>
      </c>
      <c r="AM162"/>
      <c r="AN162" s="33"/>
      <c r="AQ162" s="33"/>
    </row>
    <row r="163" spans="1:43" ht="13.5" customHeight="1">
      <c r="A163" s="5"/>
      <c r="B163" s="2418"/>
      <c r="C163" s="1338"/>
      <c r="D163" s="48" t="s">
        <v>270</v>
      </c>
      <c r="E163" s="595">
        <v>1</v>
      </c>
      <c r="F163" s="49"/>
      <c r="G163" s="50"/>
      <c r="H163" s="50"/>
      <c r="I163" s="50"/>
      <c r="J163" s="50"/>
      <c r="K163" s="460"/>
      <c r="L163" s="460"/>
      <c r="M163" s="50"/>
      <c r="N163" s="50"/>
      <c r="O163" s="50"/>
      <c r="P163" s="50"/>
      <c r="Q163" s="50"/>
      <c r="R163" s="50"/>
      <c r="S163" s="46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437"/>
      <c r="AE163" s="437"/>
      <c r="AF163" s="437"/>
      <c r="AG163" s="461"/>
      <c r="AH163" s="437"/>
      <c r="AI163" s="50"/>
      <c r="AJ163" s="437"/>
      <c r="AK163" s="2229">
        <f t="shared" si="1"/>
        <v>0</v>
      </c>
      <c r="AL163" s="2223">
        <f t="shared" si="20"/>
        <v>0</v>
      </c>
      <c r="AM163"/>
      <c r="AN163" s="33"/>
      <c r="AQ163" s="33"/>
    </row>
    <row r="164" spans="1:43" ht="13.5" customHeight="1">
      <c r="A164" s="5"/>
      <c r="B164" s="2418"/>
      <c r="C164" s="1338"/>
      <c r="D164" s="17" t="s">
        <v>271</v>
      </c>
      <c r="E164" s="2">
        <v>590</v>
      </c>
      <c r="F164" s="415"/>
      <c r="G164" s="365"/>
      <c r="H164" s="365"/>
      <c r="I164" s="365"/>
      <c r="J164" s="365"/>
      <c r="K164" s="462"/>
      <c r="L164" s="462"/>
      <c r="M164" s="365"/>
      <c r="N164" s="365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436"/>
      <c r="AE164" s="436"/>
      <c r="AF164" s="436"/>
      <c r="AG164" s="456"/>
      <c r="AH164" s="436"/>
      <c r="AI164" s="365"/>
      <c r="AJ164" s="436"/>
      <c r="AK164" s="2229">
        <f t="shared" si="1"/>
        <v>0</v>
      </c>
      <c r="AL164" s="2223">
        <f t="shared" si="20"/>
        <v>0</v>
      </c>
      <c r="AM164"/>
      <c r="AN164" s="33"/>
    </row>
    <row r="165" spans="1:43" ht="13.5" customHeight="1" thickBot="1">
      <c r="A165" s="5"/>
      <c r="B165" s="2419"/>
      <c r="C165" s="1874"/>
      <c r="D165" s="72" t="s">
        <v>272</v>
      </c>
      <c r="E165" s="608">
        <v>800</v>
      </c>
      <c r="F165" s="463"/>
      <c r="G165" s="457"/>
      <c r="H165" s="457"/>
      <c r="I165" s="457"/>
      <c r="J165" s="457"/>
      <c r="K165" s="458"/>
      <c r="L165" s="458"/>
      <c r="M165" s="457"/>
      <c r="N165" s="457"/>
      <c r="O165" s="457"/>
      <c r="P165" s="457"/>
      <c r="Q165" s="457"/>
      <c r="R165" s="457"/>
      <c r="S165" s="457"/>
      <c r="T165" s="457"/>
      <c r="U165" s="457"/>
      <c r="V165" s="457"/>
      <c r="W165" s="457"/>
      <c r="X165" s="457"/>
      <c r="Y165" s="457"/>
      <c r="Z165" s="457"/>
      <c r="AA165" s="457"/>
      <c r="AB165" s="457"/>
      <c r="AC165" s="457"/>
      <c r="AD165" s="459"/>
      <c r="AE165" s="459"/>
      <c r="AF165" s="459"/>
      <c r="AG165" s="459"/>
      <c r="AH165" s="459"/>
      <c r="AI165" s="457"/>
      <c r="AJ165" s="459"/>
      <c r="AK165" s="2226">
        <f t="shared" si="1"/>
        <v>0</v>
      </c>
      <c r="AL165" s="2230">
        <f t="shared" ref="AL165:AL179" si="22">E165*AK165</f>
        <v>0</v>
      </c>
      <c r="AM165"/>
      <c r="AN165" s="33"/>
    </row>
    <row r="166" spans="1:43" ht="13.5" customHeight="1">
      <c r="A166" s="5"/>
      <c r="B166" s="2417" t="s">
        <v>273</v>
      </c>
      <c r="C166" s="1337"/>
      <c r="D166" s="208" t="s">
        <v>826</v>
      </c>
      <c r="E166" s="595">
        <v>296</v>
      </c>
      <c r="F166" s="49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437"/>
      <c r="AE166" s="437"/>
      <c r="AF166" s="437"/>
      <c r="AG166" s="437"/>
      <c r="AH166" s="437"/>
      <c r="AI166" s="50"/>
      <c r="AJ166" s="437"/>
      <c r="AK166" s="2228">
        <f t="shared" si="1"/>
        <v>0</v>
      </c>
      <c r="AL166" s="2231">
        <f t="shared" si="22"/>
        <v>0</v>
      </c>
      <c r="AM166"/>
      <c r="AN166" s="33"/>
    </row>
    <row r="167" spans="1:43" ht="13.5" customHeight="1">
      <c r="A167" s="5"/>
      <c r="B167" s="2418"/>
      <c r="C167" s="1338"/>
      <c r="D167" s="208" t="s">
        <v>827</v>
      </c>
      <c r="E167" s="595">
        <v>870</v>
      </c>
      <c r="F167" s="49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437"/>
      <c r="AE167" s="437"/>
      <c r="AF167" s="437"/>
      <c r="AG167" s="437"/>
      <c r="AH167" s="437"/>
      <c r="AI167" s="50"/>
      <c r="AJ167" s="437"/>
      <c r="AK167" s="2229">
        <f t="shared" si="1"/>
        <v>0</v>
      </c>
      <c r="AL167" s="2232">
        <f t="shared" si="22"/>
        <v>0</v>
      </c>
      <c r="AM167"/>
    </row>
    <row r="168" spans="1:43" ht="16.2" customHeight="1">
      <c r="A168" s="5"/>
      <c r="B168" s="2418"/>
      <c r="C168" s="1338"/>
      <c r="D168" s="208" t="s">
        <v>828</v>
      </c>
      <c r="E168" s="595">
        <v>3620</v>
      </c>
      <c r="F168" s="49"/>
      <c r="G168" s="50"/>
      <c r="H168" s="464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437"/>
      <c r="AE168" s="437"/>
      <c r="AF168" s="437"/>
      <c r="AG168" s="437"/>
      <c r="AH168" s="437"/>
      <c r="AI168" s="50"/>
      <c r="AJ168" s="437"/>
      <c r="AK168" s="2229">
        <f t="shared" si="1"/>
        <v>0</v>
      </c>
      <c r="AL168" s="2225">
        <f t="shared" si="22"/>
        <v>0</v>
      </c>
      <c r="AM168"/>
      <c r="AO168" s="2493"/>
    </row>
    <row r="169" spans="1:43" ht="13.5" customHeight="1">
      <c r="A169" s="5"/>
      <c r="B169" s="2418"/>
      <c r="C169" s="1338"/>
      <c r="D169" s="208" t="s">
        <v>829</v>
      </c>
      <c r="E169" s="595">
        <v>3510</v>
      </c>
      <c r="F169" s="49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437"/>
      <c r="AE169" s="437"/>
      <c r="AF169" s="437"/>
      <c r="AG169" s="437"/>
      <c r="AH169" s="437"/>
      <c r="AI169" s="50"/>
      <c r="AJ169" s="437"/>
      <c r="AK169" s="2229">
        <f t="shared" si="1"/>
        <v>0</v>
      </c>
      <c r="AL169" s="2225">
        <f t="shared" si="22"/>
        <v>0</v>
      </c>
      <c r="AM169"/>
      <c r="AN169" s="1"/>
      <c r="AO169" s="2493"/>
    </row>
    <row r="170" spans="1:43" ht="13.5" customHeight="1">
      <c r="A170" s="5"/>
      <c r="B170" s="2418"/>
      <c r="C170" s="1338"/>
      <c r="D170" s="17" t="s">
        <v>830</v>
      </c>
      <c r="E170" s="2">
        <v>1498</v>
      </c>
      <c r="F170" s="49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436"/>
      <c r="AE170" s="436"/>
      <c r="AF170" s="436"/>
      <c r="AG170" s="436"/>
      <c r="AH170" s="436"/>
      <c r="AI170" s="365"/>
      <c r="AJ170" s="436"/>
      <c r="AK170" s="2229">
        <f t="shared" si="1"/>
        <v>0</v>
      </c>
      <c r="AL170" s="2225">
        <f t="shared" si="22"/>
        <v>0</v>
      </c>
      <c r="AM170"/>
      <c r="AO170" s="211"/>
    </row>
    <row r="171" spans="1:43" ht="13.5" customHeight="1">
      <c r="A171" s="5"/>
      <c r="B171" s="2418"/>
      <c r="C171" s="1338"/>
      <c r="D171" s="212" t="s">
        <v>831</v>
      </c>
      <c r="E171" s="594">
        <v>6270</v>
      </c>
      <c r="F171" s="365"/>
      <c r="G171" s="365"/>
      <c r="H171" s="365"/>
      <c r="I171" s="365"/>
      <c r="J171" s="365"/>
      <c r="K171" s="365"/>
      <c r="L171" s="365"/>
      <c r="M171" s="365"/>
      <c r="N171" s="365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436"/>
      <c r="AE171" s="436"/>
      <c r="AF171" s="416"/>
      <c r="AG171" s="416"/>
      <c r="AH171" s="416"/>
      <c r="AI171" s="431"/>
      <c r="AJ171" s="416"/>
      <c r="AK171" s="2229">
        <f t="shared" si="1"/>
        <v>0</v>
      </c>
      <c r="AL171" s="2225">
        <f t="shared" si="22"/>
        <v>0</v>
      </c>
      <c r="AM171"/>
      <c r="AO171" s="211"/>
    </row>
    <row r="172" spans="1:43" ht="13.5" customHeight="1">
      <c r="A172" s="5"/>
      <c r="B172" s="2418"/>
      <c r="C172" s="1338"/>
      <c r="D172" s="212" t="s">
        <v>832</v>
      </c>
      <c r="E172" s="594">
        <v>4000</v>
      </c>
      <c r="F172" s="454"/>
      <c r="G172" s="427"/>
      <c r="H172" s="427"/>
      <c r="I172" s="427"/>
      <c r="J172" s="427"/>
      <c r="K172" s="427"/>
      <c r="L172" s="427"/>
      <c r="M172" s="427"/>
      <c r="N172" s="427"/>
      <c r="O172" s="427"/>
      <c r="P172" s="427"/>
      <c r="Q172" s="427"/>
      <c r="R172" s="427"/>
      <c r="S172" s="427"/>
      <c r="T172" s="427"/>
      <c r="U172" s="427"/>
      <c r="V172" s="427"/>
      <c r="W172" s="427"/>
      <c r="X172" s="427"/>
      <c r="Y172" s="427"/>
      <c r="Z172" s="427"/>
      <c r="AA172" s="427"/>
      <c r="AB172" s="427"/>
      <c r="AC172" s="427"/>
      <c r="AD172" s="448"/>
      <c r="AE172" s="448"/>
      <c r="AF172" s="416"/>
      <c r="AG172" s="416"/>
      <c r="AH172" s="416"/>
      <c r="AI172" s="431"/>
      <c r="AJ172" s="416"/>
      <c r="AK172" s="2229">
        <f t="shared" si="1"/>
        <v>0</v>
      </c>
      <c r="AL172" s="2225">
        <f t="shared" si="22"/>
        <v>0</v>
      </c>
      <c r="AM172"/>
      <c r="AN172" s="173"/>
      <c r="AO172" s="211"/>
    </row>
    <row r="173" spans="1:43" ht="13.2" customHeight="1" thickBot="1">
      <c r="A173" s="5"/>
      <c r="B173" s="2419"/>
      <c r="C173" s="1874"/>
      <c r="D173" s="51" t="s">
        <v>833</v>
      </c>
      <c r="E173" s="1155">
        <v>5.5</v>
      </c>
      <c r="F173" s="428"/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  <c r="Y173" s="373"/>
      <c r="Z173" s="373"/>
      <c r="AA173" s="373"/>
      <c r="AB173" s="373"/>
      <c r="AC173" s="373"/>
      <c r="AD173" s="455"/>
      <c r="AE173" s="455"/>
      <c r="AF173" s="455"/>
      <c r="AG173" s="455"/>
      <c r="AH173" s="455"/>
      <c r="AI173" s="373"/>
      <c r="AJ173" s="455"/>
      <c r="AK173" s="2226">
        <f t="shared" si="1"/>
        <v>0</v>
      </c>
      <c r="AL173" s="2227">
        <f t="shared" si="22"/>
        <v>0</v>
      </c>
      <c r="AM173"/>
    </row>
    <row r="174" spans="1:43" ht="13.5" customHeight="1" thickBot="1">
      <c r="A174" s="5"/>
      <c r="B174" s="1875" t="s">
        <v>274</v>
      </c>
      <c r="C174" s="1876"/>
      <c r="D174" s="76" t="s">
        <v>275</v>
      </c>
      <c r="E174" s="722">
        <v>1031</v>
      </c>
      <c r="F174" s="1404"/>
      <c r="G174" s="426"/>
      <c r="H174" s="426"/>
      <c r="I174" s="426"/>
      <c r="J174" s="426"/>
      <c r="K174" s="426"/>
      <c r="L174" s="426"/>
      <c r="M174" s="426"/>
      <c r="N174" s="426"/>
      <c r="O174" s="426"/>
      <c r="P174" s="426"/>
      <c r="Q174" s="426"/>
      <c r="R174" s="426"/>
      <c r="S174" s="426"/>
      <c r="T174" s="426"/>
      <c r="U174" s="426"/>
      <c r="V174" s="426"/>
      <c r="W174" s="426"/>
      <c r="X174" s="426"/>
      <c r="Y174" s="426"/>
      <c r="Z174" s="426"/>
      <c r="AA174" s="426"/>
      <c r="AB174" s="426"/>
      <c r="AC174" s="426"/>
      <c r="AD174" s="465"/>
      <c r="AE174" s="465"/>
      <c r="AF174" s="465"/>
      <c r="AG174" s="465"/>
      <c r="AH174" s="465"/>
      <c r="AI174" s="426"/>
      <c r="AJ174" s="465"/>
      <c r="AK174" s="2233">
        <f t="shared" si="1"/>
        <v>0</v>
      </c>
      <c r="AL174" s="2234">
        <f t="shared" si="22"/>
        <v>0</v>
      </c>
      <c r="AM174"/>
    </row>
    <row r="175" spans="1:43" ht="13.5" customHeight="1" thickBot="1">
      <c r="A175" s="5"/>
      <c r="B175" s="1272" t="s">
        <v>660</v>
      </c>
      <c r="C175" s="1337"/>
      <c r="D175" s="1497" t="s">
        <v>55</v>
      </c>
      <c r="E175" s="1498">
        <v>1050</v>
      </c>
      <c r="F175" s="1276"/>
      <c r="G175" s="1276"/>
      <c r="H175" s="1276"/>
      <c r="I175" s="1276"/>
      <c r="J175" s="1276"/>
      <c r="K175" s="1276"/>
      <c r="L175" s="1276"/>
      <c r="M175" s="1276"/>
      <c r="N175" s="1276"/>
      <c r="O175" s="1276"/>
      <c r="P175" s="1276"/>
      <c r="Q175" s="1276"/>
      <c r="R175" s="1276"/>
      <c r="S175" s="1276"/>
      <c r="T175" s="1276"/>
      <c r="U175" s="1276"/>
      <c r="V175" s="1276"/>
      <c r="W175" s="1276"/>
      <c r="X175" s="1276"/>
      <c r="Y175" s="1276"/>
      <c r="Z175" s="1276"/>
      <c r="AA175" s="1276"/>
      <c r="AB175" s="1276"/>
      <c r="AC175" s="1276"/>
      <c r="AD175" s="1277"/>
      <c r="AE175" s="1277"/>
      <c r="AF175" s="1277"/>
      <c r="AG175" s="1277"/>
      <c r="AH175" s="1277"/>
      <c r="AI175" s="1276"/>
      <c r="AJ175" s="1277"/>
      <c r="AK175" s="2235">
        <f t="shared" si="1"/>
        <v>0</v>
      </c>
      <c r="AL175" s="2236">
        <f t="shared" si="22"/>
        <v>0</v>
      </c>
      <c r="AM175"/>
    </row>
    <row r="176" spans="1:43" ht="13.5" customHeight="1">
      <c r="A176" s="5"/>
      <c r="B176" s="2489" t="s">
        <v>2049</v>
      </c>
      <c r="C176" s="1877"/>
      <c r="D176" s="35" t="s">
        <v>1061</v>
      </c>
      <c r="E176" s="334">
        <v>497</v>
      </c>
      <c r="F176" s="37"/>
      <c r="G176" s="37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453"/>
      <c r="AE176" s="453"/>
      <c r="AF176" s="453"/>
      <c r="AG176" s="453"/>
      <c r="AH176" s="453"/>
      <c r="AI176" s="38"/>
      <c r="AJ176" s="38"/>
      <c r="AK176" s="2237">
        <f t="shared" si="1"/>
        <v>0</v>
      </c>
      <c r="AL176" s="2238">
        <f t="shared" si="22"/>
        <v>0</v>
      </c>
      <c r="AM176"/>
    </row>
    <row r="177" spans="1:39" ht="13.5" customHeight="1" thickBot="1">
      <c r="A177" s="5"/>
      <c r="B177" s="2490"/>
      <c r="C177" s="1878"/>
      <c r="D177" s="51" t="s">
        <v>1062</v>
      </c>
      <c r="E177" s="336">
        <v>497</v>
      </c>
      <c r="F177" s="463"/>
      <c r="G177" s="463"/>
      <c r="H177" s="457"/>
      <c r="I177" s="457"/>
      <c r="J177" s="457"/>
      <c r="K177" s="457"/>
      <c r="L177" s="457"/>
      <c r="M177" s="457"/>
      <c r="N177" s="457"/>
      <c r="O177" s="457"/>
      <c r="P177" s="457"/>
      <c r="Q177" s="457"/>
      <c r="R177" s="457"/>
      <c r="S177" s="457"/>
      <c r="T177" s="457"/>
      <c r="U177" s="457"/>
      <c r="V177" s="457"/>
      <c r="W177" s="457"/>
      <c r="X177" s="457"/>
      <c r="Y177" s="457"/>
      <c r="Z177" s="457"/>
      <c r="AA177" s="457"/>
      <c r="AB177" s="457"/>
      <c r="AC177" s="457"/>
      <c r="AD177" s="459"/>
      <c r="AE177" s="459"/>
      <c r="AF177" s="459"/>
      <c r="AG177" s="459"/>
      <c r="AH177" s="459"/>
      <c r="AI177" s="457"/>
      <c r="AJ177" s="457"/>
      <c r="AK177" s="2239">
        <f t="shared" si="1"/>
        <v>0</v>
      </c>
      <c r="AL177" s="2240">
        <f t="shared" si="22"/>
        <v>0</v>
      </c>
      <c r="AM177"/>
    </row>
    <row r="178" spans="1:39" ht="13.5" customHeight="1">
      <c r="A178" s="5"/>
      <c r="B178" s="1868" t="s">
        <v>860</v>
      </c>
      <c r="C178" s="1879"/>
      <c r="D178" s="48" t="s">
        <v>1507</v>
      </c>
      <c r="E178" s="221">
        <v>663</v>
      </c>
      <c r="F178" s="49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437"/>
      <c r="AE178" s="437"/>
      <c r="AF178" s="437"/>
      <c r="AG178" s="437"/>
      <c r="AH178" s="437"/>
      <c r="AI178" s="50"/>
      <c r="AJ178" s="50"/>
      <c r="AK178" s="2241">
        <f t="shared" si="1"/>
        <v>0</v>
      </c>
      <c r="AL178" s="2242">
        <f t="shared" si="22"/>
        <v>0</v>
      </c>
      <c r="AM178"/>
    </row>
    <row r="179" spans="1:39" ht="13.5" customHeight="1" thickBot="1">
      <c r="A179" s="5"/>
      <c r="B179" s="1869" t="s">
        <v>277</v>
      </c>
      <c r="C179" s="1880"/>
      <c r="D179" s="17" t="s">
        <v>278</v>
      </c>
      <c r="E179" s="595">
        <v>580</v>
      </c>
      <c r="F179" s="415"/>
      <c r="G179" s="365"/>
      <c r="H179" s="365"/>
      <c r="I179" s="365"/>
      <c r="J179" s="365"/>
      <c r="K179" s="365"/>
      <c r="L179" s="365"/>
      <c r="M179" s="365"/>
      <c r="N179" s="365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436"/>
      <c r="AE179" s="436"/>
      <c r="AF179" s="436"/>
      <c r="AG179" s="436"/>
      <c r="AH179" s="436"/>
      <c r="AI179" s="365"/>
      <c r="AJ179" s="365"/>
      <c r="AK179" s="2243">
        <f t="shared" si="1"/>
        <v>0</v>
      </c>
      <c r="AL179" s="2242">
        <f t="shared" si="22"/>
        <v>0</v>
      </c>
      <c r="AM179"/>
    </row>
    <row r="180" spans="1:39" ht="13.5" customHeight="1" thickBot="1">
      <c r="W180" s="54"/>
      <c r="AF180" s="54"/>
      <c r="AG180" s="2482" t="s">
        <v>7</v>
      </c>
      <c r="AH180" s="2483"/>
      <c r="AI180" s="2483"/>
      <c r="AJ180" s="2484"/>
      <c r="AK180" s="468">
        <f>SUM(AK5:AK179)</f>
        <v>622317</v>
      </c>
      <c r="AL180" s="213">
        <f>SUM(AL5:AL179)</f>
        <v>934505308</v>
      </c>
      <c r="AM180"/>
    </row>
    <row r="181" spans="1:39" ht="13.5" customHeight="1">
      <c r="AF181"/>
      <c r="AG181"/>
      <c r="AH181"/>
      <c r="AI181"/>
      <c r="AJ181"/>
      <c r="AK181"/>
      <c r="AL181"/>
      <c r="AM181"/>
    </row>
    <row r="182" spans="1:39" ht="13.5" customHeight="1">
      <c r="AF182"/>
      <c r="AG182"/>
      <c r="AH182"/>
      <c r="AI182"/>
      <c r="AJ182"/>
      <c r="AK182"/>
      <c r="AL182"/>
      <c r="AM182"/>
    </row>
    <row r="183" spans="1:39" ht="13.5" customHeight="1">
      <c r="AH183" s="214"/>
      <c r="AI183" s="214"/>
      <c r="AJ183" s="214"/>
      <c r="AK183" s="33"/>
      <c r="AL183" s="33"/>
    </row>
    <row r="184" spans="1:39" ht="13.5" customHeight="1">
      <c r="AK184" s="33"/>
    </row>
    <row r="185" spans="1:39" ht="13.5" customHeight="1"/>
    <row r="186" spans="1:39" ht="13.5" customHeight="1">
      <c r="AM186" s="215"/>
    </row>
    <row r="187" spans="1:39" ht="13.5" customHeight="1">
      <c r="A187" s="550"/>
      <c r="B187" s="551"/>
      <c r="C187" s="918"/>
      <c r="D187" s="551"/>
      <c r="E187" s="727"/>
      <c r="F187" s="551"/>
      <c r="G187" s="551"/>
      <c r="H187" s="551"/>
      <c r="I187" s="551"/>
      <c r="J187" s="551"/>
      <c r="K187" s="551"/>
      <c r="L187" s="551"/>
      <c r="M187" s="551"/>
      <c r="N187" s="551"/>
      <c r="O187" s="551"/>
      <c r="P187" s="551"/>
      <c r="Q187" s="551"/>
      <c r="R187" s="551"/>
      <c r="S187" s="551"/>
      <c r="T187" s="551"/>
      <c r="U187" s="551"/>
      <c r="V187" s="551"/>
      <c r="AM187" s="215"/>
    </row>
    <row r="188" spans="1:39" ht="13.5" customHeight="1">
      <c r="A188" s="551"/>
      <c r="B188" s="551"/>
      <c r="C188" s="918"/>
      <c r="D188" s="551"/>
      <c r="E188" s="727"/>
      <c r="F188" s="551"/>
      <c r="G188" s="551"/>
      <c r="H188" s="551"/>
      <c r="I188" s="551"/>
      <c r="J188" s="551"/>
      <c r="K188" s="551"/>
      <c r="L188" s="551"/>
      <c r="M188" s="551"/>
      <c r="N188" s="551"/>
      <c r="O188" s="551"/>
      <c r="P188" s="551"/>
      <c r="Q188" s="551"/>
      <c r="R188" s="551"/>
      <c r="S188" s="551"/>
      <c r="T188" s="551"/>
      <c r="U188" s="551"/>
      <c r="V188" s="551"/>
    </row>
    <row r="189" spans="1:39">
      <c r="A189" s="552"/>
      <c r="B189" s="2485"/>
      <c r="C189" s="2485"/>
      <c r="D189" s="552"/>
      <c r="E189" s="728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</row>
    <row r="190" spans="1:39">
      <c r="A190" s="551"/>
      <c r="B190" s="2475"/>
      <c r="C190" s="2475"/>
      <c r="D190" s="554"/>
      <c r="E190" s="729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</row>
    <row r="191" spans="1:39">
      <c r="A191" s="551"/>
      <c r="B191" s="2475"/>
      <c r="C191" s="2475"/>
      <c r="D191" s="554"/>
      <c r="E191" s="729"/>
      <c r="F191" s="555"/>
      <c r="G191" s="555"/>
      <c r="H191" s="555"/>
      <c r="I191" s="555"/>
      <c r="J191" s="555"/>
      <c r="K191" s="555"/>
      <c r="L191" s="555"/>
      <c r="M191" s="555"/>
      <c r="N191" s="555"/>
      <c r="O191" s="555"/>
      <c r="P191" s="555"/>
      <c r="Q191" s="555"/>
      <c r="R191" s="555"/>
      <c r="S191" s="555"/>
      <c r="T191" s="555"/>
      <c r="U191" s="555"/>
      <c r="V191" s="555"/>
    </row>
    <row r="192" spans="1:39">
      <c r="A192" s="551"/>
      <c r="B192" s="2475"/>
      <c r="C192" s="2475"/>
      <c r="D192" s="554"/>
      <c r="E192" s="729"/>
      <c r="F192" s="555"/>
      <c r="G192" s="555"/>
      <c r="H192" s="555"/>
      <c r="I192" s="555"/>
      <c r="J192" s="555"/>
      <c r="K192" s="555"/>
      <c r="L192" s="555"/>
      <c r="M192" s="555"/>
      <c r="N192" s="555"/>
      <c r="O192" s="555"/>
      <c r="P192" s="555"/>
      <c r="Q192" s="555"/>
      <c r="R192" s="555"/>
      <c r="S192" s="555"/>
      <c r="T192" s="555"/>
      <c r="U192" s="555"/>
      <c r="V192" s="555"/>
    </row>
    <row r="193" spans="1:22">
      <c r="A193" s="551"/>
      <c r="B193" s="556"/>
      <c r="C193" s="554"/>
      <c r="D193" s="554"/>
      <c r="E193" s="729"/>
      <c r="F193" s="555"/>
      <c r="G193" s="555"/>
      <c r="H193" s="555"/>
      <c r="I193" s="555"/>
      <c r="J193" s="555"/>
      <c r="K193" s="555"/>
      <c r="L193" s="555"/>
      <c r="M193" s="555"/>
      <c r="N193" s="555"/>
      <c r="O193" s="555"/>
      <c r="P193" s="555"/>
      <c r="Q193" s="555"/>
      <c r="R193" s="555"/>
      <c r="S193" s="555"/>
      <c r="T193" s="555"/>
      <c r="U193" s="555"/>
      <c r="V193" s="551"/>
    </row>
    <row r="194" spans="1:22">
      <c r="A194" s="551"/>
      <c r="B194" s="556"/>
      <c r="C194" s="554"/>
      <c r="D194" s="554"/>
      <c r="E194" s="729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1"/>
    </row>
    <row r="195" spans="1:22">
      <c r="A195" s="551"/>
      <c r="B195" s="551"/>
      <c r="C195" s="918"/>
      <c r="D195" s="551"/>
      <c r="E195" s="727"/>
      <c r="F195" s="553"/>
      <c r="G195" s="553"/>
      <c r="H195" s="553"/>
      <c r="I195" s="553"/>
      <c r="J195" s="553"/>
      <c r="K195" s="553"/>
      <c r="L195" s="553"/>
      <c r="M195" s="553"/>
      <c r="N195" s="553"/>
      <c r="O195" s="553"/>
      <c r="P195" s="553"/>
      <c r="Q195" s="553"/>
      <c r="R195" s="553"/>
      <c r="S195" s="553"/>
      <c r="T195" s="553"/>
      <c r="U195" s="551"/>
      <c r="V195" s="551"/>
    </row>
    <row r="196" spans="1:22">
      <c r="A196" s="551"/>
      <c r="B196" s="551"/>
      <c r="C196" s="918"/>
      <c r="D196" s="551"/>
      <c r="E196" s="727"/>
      <c r="F196" s="555"/>
      <c r="G196" s="555"/>
      <c r="H196" s="555"/>
      <c r="I196" s="555"/>
      <c r="J196" s="555"/>
      <c r="K196" s="555"/>
      <c r="L196" s="555"/>
      <c r="M196" s="555"/>
      <c r="N196" s="555"/>
      <c r="O196" s="555"/>
      <c r="P196" s="555"/>
      <c r="Q196" s="555"/>
      <c r="R196" s="555"/>
      <c r="S196" s="555"/>
      <c r="T196" s="555"/>
      <c r="U196" s="557"/>
      <c r="V196" s="551"/>
    </row>
    <row r="197" spans="1:22">
      <c r="A197" s="551"/>
      <c r="B197" s="551"/>
      <c r="C197" s="918"/>
      <c r="D197" s="551"/>
      <c r="E197" s="727"/>
      <c r="F197" s="555"/>
      <c r="G197" s="555"/>
      <c r="H197" s="555"/>
      <c r="I197" s="555"/>
      <c r="J197" s="555"/>
      <c r="K197" s="555"/>
      <c r="L197" s="555"/>
      <c r="M197" s="555"/>
      <c r="N197" s="555"/>
      <c r="O197" s="555"/>
      <c r="P197" s="555"/>
      <c r="Q197" s="555"/>
      <c r="R197" s="555"/>
      <c r="S197" s="555"/>
      <c r="T197" s="555"/>
      <c r="U197" s="558"/>
      <c r="V197" s="551"/>
    </row>
    <row r="198" spans="1:22">
      <c r="A198" s="551"/>
      <c r="B198" s="551"/>
      <c r="C198" s="918"/>
      <c r="D198" s="551"/>
      <c r="E198" s="727"/>
      <c r="F198" s="555"/>
      <c r="G198" s="555"/>
      <c r="H198" s="555"/>
      <c r="I198" s="555"/>
      <c r="J198" s="555"/>
      <c r="K198" s="555"/>
      <c r="L198" s="555"/>
      <c r="M198" s="555"/>
      <c r="N198" s="555"/>
      <c r="O198" s="555"/>
      <c r="P198" s="555"/>
      <c r="Q198" s="555"/>
      <c r="R198" s="555"/>
      <c r="S198" s="555"/>
      <c r="T198" s="555"/>
      <c r="U198" s="551"/>
      <c r="V198" s="551"/>
    </row>
    <row r="199" spans="1:22">
      <c r="A199" s="551"/>
      <c r="B199" s="551"/>
      <c r="C199" s="918"/>
      <c r="D199" s="551"/>
      <c r="E199" s="727"/>
      <c r="F199" s="555"/>
      <c r="G199" s="555"/>
      <c r="H199" s="555"/>
      <c r="I199" s="555"/>
      <c r="J199" s="555"/>
      <c r="K199" s="555"/>
      <c r="L199" s="555"/>
      <c r="M199" s="555"/>
      <c r="N199" s="555"/>
      <c r="O199" s="555"/>
      <c r="P199" s="555"/>
      <c r="Q199" s="555"/>
      <c r="R199" s="555"/>
      <c r="S199" s="555"/>
      <c r="T199" s="555"/>
      <c r="U199" s="551"/>
      <c r="V199" s="551"/>
    </row>
    <row r="200" spans="1:22">
      <c r="A200" s="551"/>
      <c r="B200" s="551"/>
      <c r="C200" s="918"/>
      <c r="D200" s="551"/>
      <c r="E200" s="730"/>
      <c r="F200" s="555"/>
      <c r="G200" s="555"/>
      <c r="H200" s="555"/>
      <c r="I200" s="555"/>
      <c r="J200" s="555"/>
      <c r="K200" s="555"/>
      <c r="L200" s="555"/>
      <c r="M200" s="555"/>
      <c r="N200" s="555"/>
      <c r="O200" s="555"/>
      <c r="P200" s="555"/>
      <c r="Q200" s="555"/>
      <c r="R200" s="555"/>
      <c r="S200" s="555"/>
      <c r="T200" s="555"/>
      <c r="U200" s="551"/>
      <c r="V200" s="551"/>
    </row>
    <row r="201" spans="1:22">
      <c r="A201" s="551"/>
      <c r="B201" s="551"/>
      <c r="C201" s="918"/>
      <c r="D201" s="551"/>
      <c r="E201" s="730"/>
      <c r="F201" s="2475"/>
      <c r="G201" s="2475"/>
      <c r="H201" s="2475"/>
      <c r="I201" s="2475"/>
      <c r="J201" s="2475"/>
      <c r="K201" s="2475"/>
      <c r="L201" s="551"/>
      <c r="M201" s="551"/>
      <c r="N201" s="551"/>
      <c r="O201" s="551"/>
      <c r="P201" s="551"/>
      <c r="Q201" s="551"/>
      <c r="R201" s="551"/>
      <c r="S201" s="551"/>
      <c r="T201" s="551"/>
      <c r="U201" s="551"/>
      <c r="V201" s="551"/>
    </row>
    <row r="202" spans="1:22">
      <c r="A202" s="551"/>
      <c r="B202" s="551"/>
      <c r="C202" s="918"/>
      <c r="D202" s="551"/>
      <c r="E202" s="730"/>
      <c r="F202" s="2472"/>
      <c r="G202" s="2472"/>
      <c r="H202" s="2472"/>
      <c r="I202" s="2473"/>
      <c r="J202" s="2474"/>
      <c r="K202" s="2474"/>
      <c r="L202" s="551"/>
      <c r="M202" s="551"/>
      <c r="N202" s="551"/>
      <c r="O202" s="551"/>
      <c r="P202" s="551"/>
      <c r="Q202" s="551"/>
      <c r="R202" s="551"/>
      <c r="S202" s="551"/>
      <c r="T202" s="551"/>
      <c r="U202" s="551"/>
      <c r="V202" s="551"/>
    </row>
    <row r="203" spans="1:22">
      <c r="A203" s="551"/>
      <c r="B203" s="551"/>
      <c r="C203" s="918"/>
      <c r="D203" s="551"/>
      <c r="E203" s="730"/>
      <c r="F203" s="2472"/>
      <c r="G203" s="2472"/>
      <c r="H203" s="2472"/>
      <c r="I203" s="2473"/>
      <c r="J203" s="2474"/>
      <c r="K203" s="2474"/>
      <c r="L203" s="551"/>
      <c r="M203" s="551"/>
      <c r="N203" s="551"/>
      <c r="O203" s="551"/>
      <c r="P203" s="551"/>
      <c r="Q203" s="551"/>
      <c r="R203" s="551"/>
      <c r="S203" s="551"/>
      <c r="T203" s="551"/>
      <c r="U203" s="551"/>
      <c r="V203" s="551"/>
    </row>
    <row r="204" spans="1:22">
      <c r="A204" s="551"/>
      <c r="B204" s="551"/>
      <c r="C204" s="918"/>
      <c r="D204" s="551"/>
      <c r="E204" s="727"/>
      <c r="F204" s="2472"/>
      <c r="G204" s="2472"/>
      <c r="H204" s="2472"/>
      <c r="I204" s="2473"/>
      <c r="J204" s="2474"/>
      <c r="K204" s="2474"/>
      <c r="L204" s="551"/>
      <c r="M204" s="551"/>
      <c r="N204" s="551"/>
      <c r="O204" s="551"/>
      <c r="P204" s="551"/>
      <c r="Q204" s="551"/>
      <c r="R204" s="551"/>
      <c r="S204" s="551"/>
      <c r="T204" s="551"/>
      <c r="U204" s="551"/>
      <c r="V204" s="551"/>
    </row>
    <row r="205" spans="1:22">
      <c r="A205" s="551"/>
      <c r="B205" s="551"/>
      <c r="C205" s="918"/>
      <c r="D205" s="551"/>
      <c r="E205" s="727"/>
      <c r="F205" s="2472"/>
      <c r="G205" s="2472"/>
      <c r="H205" s="2472"/>
      <c r="I205" s="2473"/>
      <c r="J205" s="2474"/>
      <c r="K205" s="2474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</row>
    <row r="206" spans="1:22">
      <c r="A206" s="551"/>
      <c r="B206" s="551"/>
      <c r="C206" s="918"/>
      <c r="D206" s="551"/>
      <c r="E206" s="727"/>
      <c r="F206" s="2472"/>
      <c r="G206" s="2472"/>
      <c r="H206" s="2472"/>
      <c r="I206" s="2473"/>
      <c r="J206" s="2474"/>
      <c r="K206" s="2474"/>
      <c r="L206" s="551"/>
      <c r="M206" s="551"/>
      <c r="N206" s="551"/>
      <c r="O206" s="551"/>
      <c r="P206" s="551"/>
      <c r="Q206" s="551"/>
      <c r="R206" s="551"/>
      <c r="S206" s="551"/>
      <c r="T206" s="551"/>
      <c r="U206" s="551"/>
      <c r="V206" s="551"/>
    </row>
    <row r="207" spans="1:22">
      <c r="A207" s="551"/>
      <c r="B207" s="551"/>
      <c r="C207" s="918"/>
      <c r="D207" s="551"/>
      <c r="E207" s="727"/>
      <c r="F207" s="2470"/>
      <c r="G207" s="2471"/>
      <c r="H207" s="2471"/>
      <c r="I207" s="2470"/>
      <c r="J207" s="2470"/>
      <c r="K207" s="2470"/>
      <c r="L207" s="551"/>
      <c r="M207" s="551"/>
      <c r="N207" s="551"/>
      <c r="O207" s="551"/>
      <c r="P207" s="551"/>
      <c r="Q207" s="551"/>
      <c r="R207" s="551"/>
      <c r="S207" s="551"/>
      <c r="T207" s="551"/>
      <c r="U207" s="551"/>
      <c r="V207" s="551"/>
    </row>
    <row r="208" spans="1:22">
      <c r="A208" s="551"/>
      <c r="B208" s="551"/>
      <c r="C208" s="918"/>
      <c r="D208" s="551"/>
      <c r="E208" s="727"/>
      <c r="F208" s="551"/>
      <c r="G208" s="551"/>
      <c r="H208" s="551"/>
      <c r="I208" s="551"/>
      <c r="J208" s="551"/>
      <c r="K208" s="551"/>
      <c r="L208" s="551"/>
      <c r="M208" s="551"/>
      <c r="N208" s="551"/>
      <c r="O208" s="551"/>
      <c r="P208" s="551"/>
      <c r="Q208" s="551"/>
      <c r="R208" s="551"/>
      <c r="S208" s="551"/>
      <c r="T208" s="551"/>
      <c r="U208" s="551"/>
      <c r="V208" s="551"/>
    </row>
    <row r="210" ht="17.25" customHeight="1"/>
  </sheetData>
  <autoFilter ref="A4:AL180" xr:uid="{00000000-0001-0000-0500-000000000000}"/>
  <mergeCells count="31">
    <mergeCell ref="AN18:AN19"/>
    <mergeCell ref="AO168:AO169"/>
    <mergeCell ref="A139:A157"/>
    <mergeCell ref="B139:B149"/>
    <mergeCell ref="B150:B154"/>
    <mergeCell ref="B155:B157"/>
    <mergeCell ref="B158:B161"/>
    <mergeCell ref="B162:B165"/>
    <mergeCell ref="B166:B173"/>
    <mergeCell ref="A2:D3"/>
    <mergeCell ref="AM18:AM19"/>
    <mergeCell ref="B192:C192"/>
    <mergeCell ref="AG180:AJ180"/>
    <mergeCell ref="B189:C189"/>
    <mergeCell ref="B190:C191"/>
    <mergeCell ref="B124:B138"/>
    <mergeCell ref="B176:B177"/>
    <mergeCell ref="F201:H201"/>
    <mergeCell ref="I201:K201"/>
    <mergeCell ref="F202:H202"/>
    <mergeCell ref="I202:K202"/>
    <mergeCell ref="F203:H203"/>
    <mergeCell ref="I203:K203"/>
    <mergeCell ref="F207:H207"/>
    <mergeCell ref="I207:K207"/>
    <mergeCell ref="F204:H204"/>
    <mergeCell ref="I204:K204"/>
    <mergeCell ref="F205:H205"/>
    <mergeCell ref="I205:K205"/>
    <mergeCell ref="F206:H206"/>
    <mergeCell ref="I206:K206"/>
  </mergeCells>
  <phoneticPr fontId="191" type="noConversion"/>
  <pageMargins left="0.19685039370078741" right="0.31496062992125984" top="0.27559055118110237" bottom="0.23622047244094491" header="0.19685039370078741" footer="0.19685039370078741"/>
  <pageSetup paperSize="9" scale="90" orientation="landscape" horizontalDpi="300" verticalDpi="300" r:id="rId1"/>
  <headerFooter alignWithMargins="0"/>
  <colBreaks count="1" manualBreakCount="1">
    <brk id="39" min="1" max="8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70"/>
  <sheetViews>
    <sheetView tabSelected="1" workbookViewId="0">
      <selection activeCell="R19" sqref="R19"/>
    </sheetView>
  </sheetViews>
  <sheetFormatPr defaultColWidth="9" defaultRowHeight="13.2"/>
  <cols>
    <col min="1" max="1" width="8" style="6" customWidth="1"/>
    <col min="2" max="3" width="10.09765625" style="6" customWidth="1"/>
    <col min="4" max="4" width="12.5" style="6" customWidth="1"/>
    <col min="5" max="5" width="10.8984375" style="6" customWidth="1"/>
    <col min="6" max="6" width="25.3984375" style="6" customWidth="1"/>
    <col min="7" max="7" width="9" style="6"/>
    <col min="8" max="8" width="10.09765625" style="6" bestFit="1" customWidth="1"/>
    <col min="9" max="9" width="11.59765625" style="6" customWidth="1"/>
    <col min="10" max="10" width="16.3984375" style="1026" customWidth="1"/>
    <col min="11" max="11" width="15.69921875" style="727" customWidth="1"/>
    <col min="12" max="12" width="15.8984375" style="551" bestFit="1" customWidth="1"/>
    <col min="13" max="14" width="22.8984375" style="551" customWidth="1"/>
    <col min="15" max="15" width="17" style="551" customWidth="1"/>
    <col min="16" max="16" width="15.8984375" style="551" customWidth="1"/>
    <col min="17" max="16384" width="9" style="6"/>
  </cols>
  <sheetData>
    <row r="1" spans="2:17" ht="9.75" customHeight="1" thickBot="1">
      <c r="L1"/>
      <c r="M1"/>
      <c r="N1"/>
      <c r="O1"/>
      <c r="P1"/>
      <c r="Q1"/>
    </row>
    <row r="2" spans="2:17" ht="33.75" customHeight="1" thickBot="1">
      <c r="B2" s="2503" t="s">
        <v>2172</v>
      </c>
      <c r="C2" s="2504"/>
      <c r="D2" s="2504"/>
      <c r="E2" s="2504"/>
      <c r="F2" s="2504"/>
      <c r="G2" s="2504"/>
      <c r="H2" s="2504"/>
      <c r="I2" s="2504"/>
      <c r="J2" s="2505"/>
      <c r="K2" s="2267"/>
      <c r="L2"/>
      <c r="M2"/>
      <c r="N2"/>
      <c r="O2"/>
      <c r="P2"/>
      <c r="Q2"/>
    </row>
    <row r="3" spans="2:17" ht="14.25" customHeight="1" thickBot="1">
      <c r="D3" s="6">
        <v>1</v>
      </c>
      <c r="E3" s="6">
        <v>2</v>
      </c>
      <c r="F3" s="6">
        <v>3</v>
      </c>
      <c r="G3" s="6">
        <v>4</v>
      </c>
      <c r="H3" s="6">
        <v>5</v>
      </c>
      <c r="I3" s="6">
        <v>6</v>
      </c>
      <c r="K3" s="1265"/>
      <c r="L3"/>
      <c r="M3"/>
      <c r="N3"/>
      <c r="O3"/>
      <c r="P3"/>
      <c r="Q3"/>
    </row>
    <row r="4" spans="2:17" ht="24" customHeight="1" thickBot="1">
      <c r="B4" s="812" t="s">
        <v>77</v>
      </c>
      <c r="C4" s="1180" t="s">
        <v>78</v>
      </c>
      <c r="D4" s="1180" t="s">
        <v>1592</v>
      </c>
      <c r="E4" s="1180" t="s">
        <v>79</v>
      </c>
      <c r="F4" s="1180" t="s">
        <v>80</v>
      </c>
      <c r="G4" s="1181" t="s">
        <v>81</v>
      </c>
      <c r="H4" s="1180" t="s">
        <v>7</v>
      </c>
      <c r="I4" s="1180" t="s">
        <v>82</v>
      </c>
      <c r="J4" s="1182" t="s">
        <v>279</v>
      </c>
      <c r="K4" s="2268" t="s">
        <v>1590</v>
      </c>
      <c r="L4"/>
      <c r="M4" s="2506" t="s">
        <v>2173</v>
      </c>
      <c r="N4" s="2507"/>
      <c r="O4" s="2080" t="s">
        <v>2223</v>
      </c>
      <c r="P4" s="2081" t="s">
        <v>861</v>
      </c>
      <c r="Q4"/>
    </row>
    <row r="5" spans="2:17" ht="12" customHeight="1" thickBot="1">
      <c r="B5" s="1722"/>
      <c r="C5" s="1990" t="s">
        <v>937</v>
      </c>
      <c r="D5" s="1990"/>
      <c r="E5" s="1990"/>
      <c r="F5" s="1990"/>
      <c r="G5" s="1990"/>
      <c r="H5" s="1990"/>
      <c r="I5" s="1990"/>
      <c r="J5" s="1764">
        <f>'PCM 07월'!AL180</f>
        <v>934505308</v>
      </c>
      <c r="K5" s="1547">
        <f>J5</f>
        <v>934505308</v>
      </c>
      <c r="L5"/>
      <c r="M5" s="2573" t="s">
        <v>1009</v>
      </c>
      <c r="N5" s="2568">
        <f>J167</f>
        <v>2873777826</v>
      </c>
      <c r="O5" s="2559">
        <v>2861636284</v>
      </c>
      <c r="P5" s="2550">
        <f>N5-O5</f>
        <v>12141542</v>
      </c>
    </row>
    <row r="6" spans="2:17" ht="14.25" customHeight="1">
      <c r="B6" s="2581" t="s">
        <v>2166</v>
      </c>
      <c r="C6" s="2555" t="s">
        <v>894</v>
      </c>
      <c r="D6" s="1765" t="str">
        <f>'TPE(9410)'!C42</f>
        <v>G1102-2752-00</v>
      </c>
      <c r="E6" s="1418" t="str">
        <f>'TPE(9410)'!D42</f>
        <v>42933952</v>
      </c>
      <c r="F6" s="1418" t="str">
        <f>'TPE(9410)'!E42</f>
        <v>9BQC FRT LH</v>
      </c>
      <c r="G6" s="720">
        <f>'TPE(9410)'!F42</f>
        <v>2858</v>
      </c>
      <c r="H6" s="1721">
        <f>'TPE(9410)'!AL42</f>
        <v>21400</v>
      </c>
      <c r="I6" s="2019">
        <f>SUM(G6*H6)</f>
        <v>61161200</v>
      </c>
      <c r="J6" s="2269">
        <f>SUM(I6:I13)</f>
        <v>612722880</v>
      </c>
      <c r="K6" s="2582">
        <f>SUM(J6:J72)</f>
        <v>1090991350</v>
      </c>
      <c r="L6"/>
      <c r="M6" s="2574"/>
      <c r="N6" s="2569"/>
      <c r="O6" s="2560"/>
      <c r="P6" s="2551"/>
    </row>
    <row r="7" spans="2:17" ht="14.25" customHeight="1">
      <c r="B7" s="2566"/>
      <c r="C7" s="2510"/>
      <c r="D7" s="1716" t="str">
        <f>'TPE(9410)'!C43</f>
        <v>G1102-2753-00</v>
      </c>
      <c r="E7" s="1364" t="str">
        <f>'TPE(9410)'!D43</f>
        <v>42933953</v>
      </c>
      <c r="F7" s="1364" t="str">
        <f>'TPE(9410)'!E43</f>
        <v>9BQC FRT RH</v>
      </c>
      <c r="G7" s="721">
        <f>'TPE(9410)'!F43</f>
        <v>2858</v>
      </c>
      <c r="H7" s="1568">
        <f>'TPE(9410)'!AL43</f>
        <v>21200</v>
      </c>
      <c r="I7" s="2020">
        <f t="shared" ref="I7" si="0">SUM(G7*H7)</f>
        <v>60589600</v>
      </c>
      <c r="J7" s="2104"/>
      <c r="K7" s="2583"/>
      <c r="L7"/>
      <c r="M7" s="2575"/>
      <c r="N7" s="2570"/>
      <c r="O7" s="2561"/>
      <c r="P7" s="2552"/>
    </row>
    <row r="8" spans="2:17" ht="14.25" customHeight="1">
      <c r="B8" s="2566"/>
      <c r="C8" s="2510"/>
      <c r="D8" s="1716" t="str">
        <f>'TPE(9410)'!C46</f>
        <v>G1102-2754-00</v>
      </c>
      <c r="E8" s="1364" t="str">
        <f>'TPE(9410)'!D46</f>
        <v>42933956</v>
      </c>
      <c r="F8" s="1364" t="str">
        <f>'TPE(9410)'!E46</f>
        <v>9BQC RR LH(TNI)</v>
      </c>
      <c r="G8" s="721">
        <f>'TPE(9410)'!F46</f>
        <v>10598</v>
      </c>
      <c r="H8" s="1574">
        <f>'TPE(9410)'!AL46</f>
        <v>780</v>
      </c>
      <c r="I8" s="2020">
        <f t="shared" ref="I8:I56" si="1">SUM(G8*H8)</f>
        <v>8266440</v>
      </c>
      <c r="J8" s="2104"/>
      <c r="K8" s="2583"/>
      <c r="L8"/>
      <c r="M8" s="2576" t="s">
        <v>1010</v>
      </c>
      <c r="N8" s="2571">
        <f>자재매입!J322</f>
        <v>1831147543.4000001</v>
      </c>
      <c r="O8" s="2562">
        <v>1759147753</v>
      </c>
      <c r="P8" s="2553">
        <f>N8-O8</f>
        <v>71999790.400000095</v>
      </c>
      <c r="Q8"/>
    </row>
    <row r="9" spans="2:17" ht="14.25" customHeight="1">
      <c r="B9" s="2566"/>
      <c r="C9" s="2510"/>
      <c r="D9" s="1716" t="str">
        <f>'TPE(9410)'!C47</f>
        <v>G1102-2755-00</v>
      </c>
      <c r="E9" s="1364" t="str">
        <f>'TPE(9410)'!D47</f>
        <v>42933957</v>
      </c>
      <c r="F9" s="1364" t="str">
        <f>'TPE(9410)'!E47</f>
        <v>9BQC RR RH(TNI)</v>
      </c>
      <c r="G9" s="721">
        <f>'TPE(9410)'!F47</f>
        <v>10598</v>
      </c>
      <c r="H9" s="1568">
        <f>'TPE(9410)'!AL47</f>
        <v>780</v>
      </c>
      <c r="I9" s="2020">
        <f t="shared" si="1"/>
        <v>8266440</v>
      </c>
      <c r="J9" s="2104"/>
      <c r="K9" s="2583"/>
      <c r="L9"/>
      <c r="M9" s="2574"/>
      <c r="N9" s="2569"/>
      <c r="O9" s="2560"/>
      <c r="P9" s="2551"/>
      <c r="Q9"/>
    </row>
    <row r="10" spans="2:17" ht="14.25" customHeight="1" thickBot="1">
      <c r="B10" s="2566"/>
      <c r="C10" s="2510"/>
      <c r="D10" s="1716" t="str">
        <f>'TPE(9410)'!C44</f>
        <v>G1102-2756-00</v>
      </c>
      <c r="E10" s="1364" t="str">
        <f>'TPE(9410)'!D44</f>
        <v>42933958</v>
      </c>
      <c r="F10" s="1364" t="str">
        <f>'TPE(9410)'!E44</f>
        <v>9BQC RR LH(PRI)</v>
      </c>
      <c r="G10" s="721">
        <f>'TPE(9410)'!F44</f>
        <v>11028</v>
      </c>
      <c r="H10" s="1568">
        <f>'TPE(9410)'!AL44</f>
        <v>21480</v>
      </c>
      <c r="I10" s="2020">
        <f t="shared" si="1"/>
        <v>236881440</v>
      </c>
      <c r="J10" s="2104"/>
      <c r="K10" s="2583"/>
      <c r="L10"/>
      <c r="M10" s="2577"/>
      <c r="N10" s="2572"/>
      <c r="O10" s="2563"/>
      <c r="P10" s="2554"/>
    </row>
    <row r="11" spans="2:17" ht="14.25" customHeight="1">
      <c r="B11" s="2566"/>
      <c r="C11" s="2510"/>
      <c r="D11" s="1716" t="str">
        <f>'TPE(9410)'!C45</f>
        <v>G1102-2757-00</v>
      </c>
      <c r="E11" s="1364" t="str">
        <f>'TPE(9410)'!D45</f>
        <v>42933959</v>
      </c>
      <c r="F11" s="1364" t="str">
        <f>'TPE(9410)'!E45</f>
        <v>9BQC RR RH(PRI)</v>
      </c>
      <c r="G11" s="721">
        <f>'TPE(9410)'!F45</f>
        <v>11028</v>
      </c>
      <c r="H11" s="1568">
        <f>'TPE(9410)'!AL45</f>
        <v>21420</v>
      </c>
      <c r="I11" s="2020">
        <f t="shared" si="1"/>
        <v>236219760</v>
      </c>
      <c r="J11" s="2104"/>
      <c r="K11" s="2583"/>
      <c r="L11"/>
      <c r="M11"/>
      <c r="N11"/>
      <c r="O11"/>
      <c r="P11"/>
      <c r="Q11"/>
    </row>
    <row r="12" spans="2:17" ht="14.25" customHeight="1">
      <c r="B12" s="2566"/>
      <c r="C12" s="2510"/>
      <c r="D12" s="1716" t="str">
        <f>'TPE(9410)'!C48</f>
        <v>G1102-2463-00</v>
      </c>
      <c r="E12" s="1364" t="str">
        <f>'TPE(9410)'!D48</f>
        <v>42870825</v>
      </c>
      <c r="F12" s="1364" t="str">
        <f>'TPE(9410)'!E48</f>
        <v>9BQC Glass run RR RH PRIVACY</v>
      </c>
      <c r="G12" s="721">
        <f>'TPE(9410)'!F48</f>
        <v>10627</v>
      </c>
      <c r="H12" s="1568">
        <f>'TPE(9410)'!AL48</f>
        <v>100</v>
      </c>
      <c r="I12" s="2020">
        <f t="shared" si="1"/>
        <v>1062700</v>
      </c>
      <c r="J12" s="2104"/>
      <c r="K12" s="2583"/>
      <c r="L12"/>
      <c r="M12"/>
      <c r="N12"/>
      <c r="O12"/>
      <c r="P12"/>
      <c r="Q12"/>
    </row>
    <row r="13" spans="2:17" ht="14.25" customHeight="1">
      <c r="B13" s="2566"/>
      <c r="C13" s="2509"/>
      <c r="D13" s="1716" t="str">
        <f>'TPE(9410)'!C49</f>
        <v>G1102-2544-00</v>
      </c>
      <c r="E13" s="1364" t="str">
        <f>'TPE(9410)'!D49</f>
        <v>42896296</v>
      </c>
      <c r="F13" s="1364" t="str">
        <f>'TPE(9410)'!E49</f>
        <v>9BQC Glass run FR RH</v>
      </c>
      <c r="G13" s="721">
        <f>'TPE(9410)'!F49</f>
        <v>2753</v>
      </c>
      <c r="H13" s="1568">
        <f>'TPE(9410)'!AL49</f>
        <v>100</v>
      </c>
      <c r="I13" s="2020">
        <f t="shared" si="1"/>
        <v>275300</v>
      </c>
      <c r="J13" s="2105"/>
      <c r="K13" s="2583"/>
      <c r="L13"/>
      <c r="M13"/>
      <c r="N13"/>
      <c r="O13"/>
      <c r="P13"/>
      <c r="Q13"/>
    </row>
    <row r="14" spans="2:17" ht="14.25" customHeight="1">
      <c r="B14" s="2566"/>
      <c r="C14" s="2508" t="s">
        <v>197</v>
      </c>
      <c r="D14" s="1716" t="str">
        <f>'TPE(9410)'!C16</f>
        <v>G1102-1361-00</v>
      </c>
      <c r="E14" s="1031" t="str">
        <f>'TPE(9410)'!D16</f>
        <v>82530G6000</v>
      </c>
      <c r="F14" s="1031" t="s">
        <v>72</v>
      </c>
      <c r="G14" s="2">
        <f>'TPE(9410)'!F16</f>
        <v>2558</v>
      </c>
      <c r="H14" s="1568">
        <f>'TPE(9410)'!AL16</f>
        <v>10235</v>
      </c>
      <c r="I14" s="2020">
        <f t="shared" si="1"/>
        <v>26181130</v>
      </c>
      <c r="J14" s="2012">
        <f>SUM(I14:I19)</f>
        <v>120024682</v>
      </c>
      <c r="K14" s="2583"/>
      <c r="L14"/>
      <c r="M14"/>
      <c r="N14"/>
      <c r="O14"/>
      <c r="P14"/>
      <c r="Q14"/>
    </row>
    <row r="15" spans="2:17" ht="14.25" customHeight="1">
      <c r="B15" s="2566"/>
      <c r="C15" s="2510"/>
      <c r="D15" s="1716" t="str">
        <f>'TPE(9410)'!C17</f>
        <v>G1102-1362-00</v>
      </c>
      <c r="E15" s="1031" t="str">
        <f>'TPE(9410)'!D17</f>
        <v>82540G6000</v>
      </c>
      <c r="F15" s="1031" t="s">
        <v>73</v>
      </c>
      <c r="G15" s="2">
        <f>'TPE(9410)'!F17</f>
        <v>2558</v>
      </c>
      <c r="H15" s="1568">
        <f>'TPE(9410)'!AL17</f>
        <v>10225</v>
      </c>
      <c r="I15" s="2020">
        <f t="shared" si="1"/>
        <v>26155550</v>
      </c>
      <c r="J15" s="2013"/>
      <c r="K15" s="2583"/>
      <c r="L15"/>
      <c r="M15" s="1405"/>
      <c r="N15"/>
      <c r="O15"/>
      <c r="P15"/>
      <c r="Q15"/>
    </row>
    <row r="16" spans="2:17" ht="14.25" customHeight="1">
      <c r="B16" s="2566"/>
      <c r="C16" s="2510"/>
      <c r="D16" s="1716" t="str">
        <f>'TPE(9410)'!C18</f>
        <v>R1102-1363-00</v>
      </c>
      <c r="E16" s="1031" t="str">
        <f>'TPE(9410)'!D18</f>
        <v>83530G6000</v>
      </c>
      <c r="F16" s="1031" t="s">
        <v>469</v>
      </c>
      <c r="G16" s="2">
        <f>'TPE(9410)'!F18</f>
        <v>3443</v>
      </c>
      <c r="H16" s="1568">
        <f>'TPE(9410)'!AL18</f>
        <v>9800</v>
      </c>
      <c r="I16" s="2020">
        <f t="shared" si="1"/>
        <v>33741400</v>
      </c>
      <c r="J16" s="2013"/>
      <c r="K16" s="2583"/>
      <c r="L16"/>
      <c r="M16" s="1024"/>
      <c r="N16"/>
      <c r="O16"/>
      <c r="P16"/>
      <c r="Q16"/>
    </row>
    <row r="17" spans="2:17" ht="14.25" customHeight="1">
      <c r="B17" s="2566"/>
      <c r="C17" s="2510"/>
      <c r="D17" s="1716" t="str">
        <f>'TPE(9410)'!C19</f>
        <v>R1102-1364-00</v>
      </c>
      <c r="E17" s="1031" t="str">
        <f>'TPE(9410)'!D19</f>
        <v>83540G6000</v>
      </c>
      <c r="F17" s="1031" t="s">
        <v>470</v>
      </c>
      <c r="G17" s="2">
        <f>'TPE(9410)'!F19</f>
        <v>3443</v>
      </c>
      <c r="H17" s="1568">
        <f>'TPE(9410)'!AL19</f>
        <v>9800</v>
      </c>
      <c r="I17" s="2020">
        <f t="shared" si="1"/>
        <v>33741400</v>
      </c>
      <c r="J17" s="2013"/>
      <c r="K17" s="2583"/>
      <c r="L17"/>
      <c r="M17" s="1024"/>
      <c r="N17"/>
      <c r="O17"/>
      <c r="P17"/>
      <c r="Q17"/>
    </row>
    <row r="18" spans="2:17" ht="14.25" customHeight="1">
      <c r="B18" s="2566"/>
      <c r="C18" s="2510"/>
      <c r="D18" s="1716" t="str">
        <f>'TPE(9410)'!C20</f>
        <v>G1102-1363-01</v>
      </c>
      <c r="E18" s="1031" t="str">
        <f>'TPE(9410)'!D20</f>
        <v>83530G6000</v>
      </c>
      <c r="F18" s="1031" t="s">
        <v>470</v>
      </c>
      <c r="G18" s="2">
        <f>'TPE(9410)'!F20</f>
        <v>3478</v>
      </c>
      <c r="H18" s="1568">
        <f>'TPE(9410)'!AL20</f>
        <v>29</v>
      </c>
      <c r="I18" s="2020">
        <f t="shared" si="1"/>
        <v>100862</v>
      </c>
      <c r="J18" s="2013"/>
      <c r="K18" s="2583"/>
      <c r="L18"/>
      <c r="M18" s="1024"/>
      <c r="N18"/>
      <c r="O18"/>
      <c r="P18"/>
      <c r="Q18"/>
    </row>
    <row r="19" spans="2:17" ht="14.25" customHeight="1">
      <c r="B19" s="2566"/>
      <c r="C19" s="2509"/>
      <c r="D19" s="1716" t="str">
        <f>'TPE(9410)'!C21</f>
        <v>G1102-1364-01</v>
      </c>
      <c r="E19" s="1031" t="str">
        <f>'TPE(9410)'!D21</f>
        <v>83540G6000</v>
      </c>
      <c r="F19" s="1031" t="s">
        <v>470</v>
      </c>
      <c r="G19" s="2">
        <f>'TPE(9410)'!F21</f>
        <v>3478</v>
      </c>
      <c r="H19" s="1568">
        <f>'TPE(9410)'!AL21</f>
        <v>30</v>
      </c>
      <c r="I19" s="2020">
        <f t="shared" si="1"/>
        <v>104340</v>
      </c>
      <c r="J19" s="2014"/>
      <c r="K19" s="2583"/>
      <c r="L19"/>
      <c r="M19" s="1024"/>
      <c r="N19"/>
      <c r="O19"/>
      <c r="P19"/>
      <c r="Q19"/>
    </row>
    <row r="20" spans="2:17" ht="14.25" customHeight="1">
      <c r="B20" s="2566"/>
      <c r="C20" s="2508" t="s">
        <v>181</v>
      </c>
      <c r="D20" s="1716" t="str">
        <f>'TPE(9410)'!C6</f>
        <v>G1102-0085</v>
      </c>
      <c r="E20" s="1031" t="str">
        <f>'TPE(9410)'!D6</f>
        <v>825304F000</v>
      </c>
      <c r="F20" s="1031" t="s">
        <v>182</v>
      </c>
      <c r="G20" s="2">
        <f>'TPE(9410)'!F6</f>
        <v>2664</v>
      </c>
      <c r="H20" s="1568">
        <f>'TPE(9410)'!AL6</f>
        <v>7898</v>
      </c>
      <c r="I20" s="2020">
        <f t="shared" si="1"/>
        <v>21040272</v>
      </c>
      <c r="J20" s="2015">
        <f>SUM(I20:I23)</f>
        <v>46713696</v>
      </c>
      <c r="K20" s="2583"/>
      <c r="L20"/>
      <c r="M20"/>
      <c r="N20"/>
      <c r="O20"/>
      <c r="P20"/>
      <c r="Q20"/>
    </row>
    <row r="21" spans="2:17" ht="14.25" customHeight="1">
      <c r="B21" s="2566"/>
      <c r="C21" s="2510"/>
      <c r="D21" s="1716" t="str">
        <f>'TPE(9410)'!C7</f>
        <v>G1102-0128</v>
      </c>
      <c r="E21" s="1031" t="str">
        <f>'TPE(9410)'!D7</f>
        <v>825404F000</v>
      </c>
      <c r="F21" s="1031" t="s">
        <v>183</v>
      </c>
      <c r="G21" s="2">
        <f>'TPE(9410)'!F7</f>
        <v>2664</v>
      </c>
      <c r="H21" s="1568">
        <f>'TPE(9410)'!AL7</f>
        <v>7882</v>
      </c>
      <c r="I21" s="2020">
        <f t="shared" si="1"/>
        <v>20997648</v>
      </c>
      <c r="J21" s="2016"/>
      <c r="K21" s="2583"/>
      <c r="L21"/>
      <c r="M21"/>
      <c r="N21"/>
      <c r="O21"/>
      <c r="P21"/>
      <c r="Q21"/>
    </row>
    <row r="22" spans="2:17" ht="14.25" customHeight="1">
      <c r="B22" s="2566"/>
      <c r="C22" s="2510"/>
      <c r="D22" s="1716" t="str">
        <f>'TPE(9410)'!C8</f>
        <v>G1102-0181</v>
      </c>
      <c r="E22" s="1031" t="str">
        <f>'TPE(9410)'!D8</f>
        <v>835304F000</v>
      </c>
      <c r="F22" s="1031" t="s">
        <v>184</v>
      </c>
      <c r="G22" s="2">
        <f>'TPE(9410)'!F8</f>
        <v>2272</v>
      </c>
      <c r="H22" s="1568">
        <f>'TPE(9410)'!AL8</f>
        <v>1027</v>
      </c>
      <c r="I22" s="2020">
        <f t="shared" si="1"/>
        <v>2333344</v>
      </c>
      <c r="J22" s="2016"/>
      <c r="K22" s="2583"/>
      <c r="L22"/>
      <c r="M22"/>
      <c r="N22"/>
      <c r="O22"/>
      <c r="P22"/>
      <c r="Q22"/>
    </row>
    <row r="23" spans="2:17" ht="14.25" customHeight="1">
      <c r="B23" s="2566"/>
      <c r="C23" s="2509"/>
      <c r="D23" s="1716" t="str">
        <f>'TPE(9410)'!C9</f>
        <v>G1102-0218</v>
      </c>
      <c r="E23" s="1031" t="str">
        <f>'TPE(9410)'!D9</f>
        <v>835404F000</v>
      </c>
      <c r="F23" s="1031" t="s">
        <v>185</v>
      </c>
      <c r="G23" s="2">
        <f>'TPE(9410)'!F9</f>
        <v>2272</v>
      </c>
      <c r="H23" s="1568">
        <f>'TPE(9410)'!AL9</f>
        <v>1031</v>
      </c>
      <c r="I23" s="2020">
        <f t="shared" si="1"/>
        <v>2342432</v>
      </c>
      <c r="J23" s="2017"/>
      <c r="K23" s="2583"/>
      <c r="L23"/>
      <c r="M23"/>
      <c r="N23"/>
      <c r="O23"/>
      <c r="P23"/>
      <c r="Q23"/>
    </row>
    <row r="24" spans="2:17" ht="14.25" customHeight="1">
      <c r="B24" s="2566"/>
      <c r="C24" s="2508" t="s">
        <v>57</v>
      </c>
      <c r="D24" s="1716" t="str">
        <f>'PVC(9410)'!C6</f>
        <v>G1106-0179</v>
      </c>
      <c r="E24" s="1031" t="str">
        <f>'PVC(9410)'!D6</f>
        <v>822104E000</v>
      </c>
      <c r="F24" s="1031" t="str">
        <f>'PVC(9410)'!E6</f>
        <v>PU OUT CHAN LH</v>
      </c>
      <c r="G24" s="2">
        <f>'PVC(9410)'!F6</f>
        <v>3275</v>
      </c>
      <c r="H24" s="1568">
        <f>'PVC(9410)'!AL6</f>
        <v>7279</v>
      </c>
      <c r="I24" s="2020">
        <f t="shared" si="1"/>
        <v>23838725</v>
      </c>
      <c r="J24" s="2015">
        <f>SUM(I24:I31)</f>
        <v>65083314</v>
      </c>
      <c r="K24" s="2583"/>
      <c r="L24"/>
      <c r="M24"/>
      <c r="N24" s="1081"/>
      <c r="O24"/>
      <c r="P24"/>
      <c r="Q24"/>
    </row>
    <row r="25" spans="2:17" ht="14.25" customHeight="1">
      <c r="B25" s="2566"/>
      <c r="C25" s="2510"/>
      <c r="D25" s="1716" t="str">
        <f>'PVC(9410)'!C7</f>
        <v>G1106-0180</v>
      </c>
      <c r="E25" s="1031" t="str">
        <f>'PVC(9410)'!D7</f>
        <v>822204E000</v>
      </c>
      <c r="F25" s="1031" t="str">
        <f>'PVC(9410)'!E7</f>
        <v>PU OUT CHAN RH</v>
      </c>
      <c r="G25" s="2">
        <f>'PVC(9410)'!F7</f>
        <v>3275</v>
      </c>
      <c r="H25" s="1568">
        <f>'PVC(9410)'!AL7</f>
        <v>7271</v>
      </c>
      <c r="I25" s="2020">
        <f t="shared" si="1"/>
        <v>23812525</v>
      </c>
      <c r="J25" s="2016"/>
      <c r="K25" s="2583"/>
      <c r="L25"/>
      <c r="M25"/>
      <c r="N25" s="1081"/>
      <c r="O25"/>
      <c r="P25"/>
      <c r="Q25"/>
    </row>
    <row r="26" spans="2:17" ht="14.25" customHeight="1">
      <c r="B26" s="2566"/>
      <c r="C26" s="2510"/>
      <c r="D26" s="1716" t="str">
        <f>'PVC(9410)'!C8</f>
        <v>G1102-0620</v>
      </c>
      <c r="E26" s="1031" t="str">
        <f>'PVC(9410)'!D8</f>
        <v>832104E000</v>
      </c>
      <c r="F26" s="1031" t="str">
        <f>'PVC(9410)'!E8</f>
        <v>PU(D/CAB) OTR BELT LH</v>
      </c>
      <c r="G26" s="2">
        <f>'PVC(9410)'!F8</f>
        <v>2592</v>
      </c>
      <c r="H26" s="1568">
        <f>'PVC(9410)'!AL8</f>
        <v>647</v>
      </c>
      <c r="I26" s="2020">
        <f t="shared" si="1"/>
        <v>1677024</v>
      </c>
      <c r="J26" s="2016"/>
      <c r="K26" s="2583"/>
      <c r="L26" t="s">
        <v>1524</v>
      </c>
      <c r="M26"/>
      <c r="N26" s="1081"/>
      <c r="O26"/>
      <c r="P26"/>
      <c r="Q26"/>
    </row>
    <row r="27" spans="2:17" ht="14.25" customHeight="1">
      <c r="B27" s="2566"/>
      <c r="C27" s="2510"/>
      <c r="D27" s="1716" t="str">
        <f>'PVC(9410)'!C9</f>
        <v>G1102-0621</v>
      </c>
      <c r="E27" s="1031" t="str">
        <f>'PVC(9410)'!D9</f>
        <v>832204E000</v>
      </c>
      <c r="F27" s="1031" t="str">
        <f>'PVC(9410)'!E9</f>
        <v>PU(D/CAB) OTR BELT RH</v>
      </c>
      <c r="G27" s="2">
        <f>'PVC(9410)'!F9</f>
        <v>2592</v>
      </c>
      <c r="H27" s="1568">
        <f>'PVC(9410)'!AL9</f>
        <v>620</v>
      </c>
      <c r="I27" s="2020">
        <f t="shared" si="1"/>
        <v>1607040</v>
      </c>
      <c r="J27" s="2016"/>
      <c r="K27" s="2583"/>
      <c r="L27"/>
      <c r="M27"/>
      <c r="N27" s="1081"/>
      <c r="O27"/>
      <c r="P27"/>
      <c r="Q27"/>
    </row>
    <row r="28" spans="2:17" ht="14.25" customHeight="1">
      <c r="B28" s="2566"/>
      <c r="C28" s="2510"/>
      <c r="D28" s="1716" t="str">
        <f>'PVC(9410)'!C10</f>
        <v>G1106-0179-01</v>
      </c>
      <c r="E28" s="1031" t="str">
        <f>'PVC(9410)'!D10</f>
        <v>822104E000</v>
      </c>
      <c r="F28" s="1031" t="str">
        <f>'PVC(9410)'!E10</f>
        <v>PU Outer Belt FR LH</v>
      </c>
      <c r="G28" s="2">
        <f>'PVC(9410)'!F10</f>
        <v>3275</v>
      </c>
      <c r="H28" s="1568">
        <f>'PVC(9410)'!AL10</f>
        <v>2160</v>
      </c>
      <c r="I28" s="2020">
        <f t="shared" ref="I28:I29" si="2">SUM(G28*H28)</f>
        <v>7074000</v>
      </c>
      <c r="J28" s="2016"/>
      <c r="K28" s="2583"/>
      <c r="L28"/>
      <c r="M28"/>
      <c r="N28" s="1081"/>
      <c r="O28"/>
      <c r="P28"/>
      <c r="Q28"/>
    </row>
    <row r="29" spans="2:17" ht="14.25" customHeight="1">
      <c r="B29" s="2566"/>
      <c r="C29" s="2510"/>
      <c r="D29" s="1716" t="str">
        <f>'PVC(9410)'!C11</f>
        <v>G1106-0180-01</v>
      </c>
      <c r="E29" s="1031" t="str">
        <f>'PVC(9410)'!D11</f>
        <v>822204E000</v>
      </c>
      <c r="F29" s="1031" t="str">
        <f>'PVC(9410)'!E11</f>
        <v>PU Outer Belt FR RH</v>
      </c>
      <c r="G29" s="2">
        <f>'PVC(9410)'!F11</f>
        <v>3275</v>
      </c>
      <c r="H29" s="1568">
        <f>'PVC(9410)'!AL11</f>
        <v>2160</v>
      </c>
      <c r="I29" s="2020">
        <f t="shared" si="2"/>
        <v>7074000</v>
      </c>
      <c r="J29" s="2016"/>
      <c r="K29" s="2583"/>
      <c r="L29"/>
      <c r="M29"/>
      <c r="N29" s="1081"/>
      <c r="O29"/>
      <c r="P29"/>
      <c r="Q29"/>
    </row>
    <row r="30" spans="2:17" ht="14.25" customHeight="1">
      <c r="B30" s="2566"/>
      <c r="C30" s="2510"/>
      <c r="D30" s="1716" t="str">
        <f>'PVC(9410)'!C12</f>
        <v>G1102-0620-01</v>
      </c>
      <c r="E30" s="1031" t="str">
        <f>'PVC(9410)'!D12</f>
        <v>832104E000</v>
      </c>
      <c r="F30" s="1031" t="str">
        <f>'PVC(9410)'!E12</f>
        <v>PU(D/CAB) OTR BELT LH</v>
      </c>
      <c r="G30" s="2">
        <f>'PVC(9410)'!F12</f>
        <v>2494</v>
      </c>
      <c r="H30" s="1568">
        <f>'PVC(9410)'!AL12</f>
        <v>0</v>
      </c>
      <c r="I30" s="2020">
        <f t="shared" si="1"/>
        <v>0</v>
      </c>
      <c r="J30" s="2016"/>
      <c r="K30" s="2583"/>
      <c r="L30"/>
      <c r="M30"/>
      <c r="N30"/>
      <c r="O30"/>
      <c r="P30"/>
      <c r="Q30"/>
    </row>
    <row r="31" spans="2:17" ht="14.25" customHeight="1">
      <c r="B31" s="2566"/>
      <c r="C31" s="2509"/>
      <c r="D31" s="1716" t="str">
        <f>'PVC(9410)'!C13</f>
        <v>G1102-0621-01</v>
      </c>
      <c r="E31" s="1031" t="str">
        <f>'PVC(9410)'!D13</f>
        <v>832204E000</v>
      </c>
      <c r="F31" s="1031" t="str">
        <f>'PVC(9410)'!E13</f>
        <v>PU(D/CAB) OTR BELT RH</v>
      </c>
      <c r="G31" s="2">
        <f>'PVC(9410)'!F13</f>
        <v>2494</v>
      </c>
      <c r="H31" s="1568">
        <f>'PVC(9410)'!AL13</f>
        <v>0</v>
      </c>
      <c r="I31" s="2020">
        <f t="shared" si="1"/>
        <v>0</v>
      </c>
      <c r="J31" s="2017"/>
      <c r="K31" s="2583"/>
      <c r="L31"/>
      <c r="M31"/>
      <c r="N31"/>
      <c r="O31"/>
      <c r="P31"/>
      <c r="Q31"/>
    </row>
    <row r="32" spans="2:17" ht="14.25" customHeight="1">
      <c r="B32" s="2566"/>
      <c r="C32" s="2508" t="s">
        <v>86</v>
      </c>
      <c r="D32" s="1716" t="str">
        <f>'PVC(9410)'!C14</f>
        <v>G1106-0212</v>
      </c>
      <c r="E32" s="1031" t="s">
        <v>1560</v>
      </c>
      <c r="F32" s="1031" t="s">
        <v>84</v>
      </c>
      <c r="G32" s="2">
        <f>'PVC(9410)'!F14</f>
        <v>2477</v>
      </c>
      <c r="H32" s="1568">
        <f>'PVC(9410)'!AL14</f>
        <v>830</v>
      </c>
      <c r="I32" s="2020">
        <f t="shared" si="1"/>
        <v>2055910</v>
      </c>
      <c r="J32" s="2015">
        <f>SUM(I32:I33)</f>
        <v>4087050</v>
      </c>
      <c r="K32" s="2583"/>
      <c r="L32"/>
      <c r="M32"/>
      <c r="N32"/>
      <c r="O32"/>
      <c r="P32"/>
    </row>
    <row r="33" spans="2:16" ht="14.25" customHeight="1">
      <c r="B33" s="2566"/>
      <c r="C33" s="2509"/>
      <c r="D33" s="1716" t="str">
        <f>'PVC(9410)'!C15</f>
        <v>G1106-0213</v>
      </c>
      <c r="E33" s="1031" t="s">
        <v>1561</v>
      </c>
      <c r="F33" s="1031" t="s">
        <v>85</v>
      </c>
      <c r="G33" s="2">
        <f>'PVC(9410)'!F15</f>
        <v>2477</v>
      </c>
      <c r="H33" s="1568">
        <f>'PVC(9410)'!AL15</f>
        <v>820</v>
      </c>
      <c r="I33" s="2020">
        <f t="shared" si="1"/>
        <v>2031140</v>
      </c>
      <c r="J33" s="2017"/>
      <c r="K33" s="2583"/>
      <c r="L33" t="s">
        <v>2276</v>
      </c>
      <c r="M33"/>
      <c r="N33"/>
      <c r="O33"/>
      <c r="P33"/>
    </row>
    <row r="34" spans="2:16" ht="14.25" customHeight="1">
      <c r="B34" s="2566"/>
      <c r="C34" s="2508" t="s">
        <v>53</v>
      </c>
      <c r="D34" s="1716" t="str">
        <f>'PVC(9410)'!C16</f>
        <v>G1106-0317-00</v>
      </c>
      <c r="E34" s="1031" t="s">
        <v>1562</v>
      </c>
      <c r="F34" s="1031" t="s">
        <v>84</v>
      </c>
      <c r="G34" s="2">
        <f>'PVC(9410)'!F16</f>
        <v>2150</v>
      </c>
      <c r="H34" s="1568">
        <f>'PVC(9410)'!AL16</f>
        <v>673</v>
      </c>
      <c r="I34" s="2020">
        <f t="shared" si="1"/>
        <v>1446950</v>
      </c>
      <c r="J34" s="2012">
        <f>SUM(I34:I35)</f>
        <v>2719033</v>
      </c>
      <c r="K34" s="2583"/>
      <c r="L34" s="2274">
        <f>K6+L117</f>
        <v>1092198238</v>
      </c>
      <c r="M34"/>
      <c r="N34"/>
      <c r="O34"/>
      <c r="P34"/>
    </row>
    <row r="35" spans="2:16" ht="14.25" customHeight="1">
      <c r="B35" s="2566"/>
      <c r="C35" s="2509"/>
      <c r="D35" s="1716" t="str">
        <f>'PVC(9410)'!C17</f>
        <v>G1106-0318-00</v>
      </c>
      <c r="E35" s="1031" t="s">
        <v>1563</v>
      </c>
      <c r="F35" s="1031" t="s">
        <v>85</v>
      </c>
      <c r="G35" s="2">
        <f>'PVC(9410)'!F17</f>
        <v>1879</v>
      </c>
      <c r="H35" s="1568">
        <f>'PVC(9410)'!AL17</f>
        <v>677</v>
      </c>
      <c r="I35" s="2020">
        <f t="shared" si="1"/>
        <v>1272083</v>
      </c>
      <c r="J35" s="2014"/>
      <c r="K35" s="2583"/>
      <c r="L35"/>
      <c r="M35"/>
      <c r="N35" t="s">
        <v>1133</v>
      </c>
      <c r="O35"/>
      <c r="P35"/>
    </row>
    <row r="36" spans="2:16" ht="14.25" customHeight="1">
      <c r="B36" s="2566"/>
      <c r="C36" s="2508" t="s">
        <v>88</v>
      </c>
      <c r="D36" s="1716" t="str">
        <f>'PVC(9410)'!C18</f>
        <v>G1106-0669-00</v>
      </c>
      <c r="E36" s="1031" t="s">
        <v>89</v>
      </c>
      <c r="F36" s="1031" t="s">
        <v>90</v>
      </c>
      <c r="G36" s="2">
        <f>'PVC(9410)'!F18</f>
        <v>2477</v>
      </c>
      <c r="H36" s="1568">
        <f>'PVC(9410)'!$AL$20</f>
        <v>0</v>
      </c>
      <c r="I36" s="2020">
        <f>SUM(G36*H36)</f>
        <v>0</v>
      </c>
      <c r="J36" s="2012">
        <f>SUM(I36:I37)</f>
        <v>0</v>
      </c>
      <c r="K36" s="2583"/>
      <c r="L36"/>
      <c r="M36"/>
      <c r="N36"/>
      <c r="O36"/>
      <c r="P36"/>
    </row>
    <row r="37" spans="2:16" ht="14.25" customHeight="1">
      <c r="B37" s="2566"/>
      <c r="C37" s="2509"/>
      <c r="D37" s="1716" t="str">
        <f>'PVC(9410)'!C19</f>
        <v>G1106-0670-00</v>
      </c>
      <c r="E37" s="1031" t="s">
        <v>91</v>
      </c>
      <c r="F37" s="1031" t="s">
        <v>92</v>
      </c>
      <c r="G37" s="2">
        <f>'PVC(9410)'!F19</f>
        <v>2477</v>
      </c>
      <c r="H37" s="1568">
        <f>'PVC(9410)'!$AL$20</f>
        <v>0</v>
      </c>
      <c r="I37" s="2020">
        <f t="shared" si="1"/>
        <v>0</v>
      </c>
      <c r="J37" s="2014"/>
      <c r="K37" s="2583"/>
      <c r="L37"/>
      <c r="M37"/>
      <c r="N37"/>
      <c r="O37"/>
      <c r="P37"/>
    </row>
    <row r="38" spans="2:16" ht="14.25" hidden="1" customHeight="1">
      <c r="B38" s="2566"/>
      <c r="C38" s="2508" t="s">
        <v>93</v>
      </c>
      <c r="D38" s="1716">
        <f>'PVC(9410)'!C20</f>
        <v>0</v>
      </c>
      <c r="E38" s="1031" t="s">
        <v>94</v>
      </c>
      <c r="F38" s="1031" t="s">
        <v>90</v>
      </c>
      <c r="G38" s="2">
        <f>'PVC(9410)'!F20</f>
        <v>2496</v>
      </c>
      <c r="H38" s="1568">
        <f>'PVC(9410)'!AL20</f>
        <v>0</v>
      </c>
      <c r="I38" s="2020">
        <f t="shared" si="1"/>
        <v>0</v>
      </c>
      <c r="J38" s="2556">
        <f>SUM(I38:I41)</f>
        <v>569904</v>
      </c>
      <c r="K38" s="2583"/>
      <c r="L38"/>
      <c r="M38"/>
      <c r="N38"/>
      <c r="O38"/>
      <c r="P38"/>
    </row>
    <row r="39" spans="2:16" ht="14.25" hidden="1" customHeight="1">
      <c r="B39" s="2566"/>
      <c r="C39" s="2510"/>
      <c r="D39" s="1716">
        <f>'PVC(9410)'!C21</f>
        <v>0</v>
      </c>
      <c r="E39" s="1031" t="s">
        <v>95</v>
      </c>
      <c r="F39" s="1031" t="s">
        <v>92</v>
      </c>
      <c r="G39" s="2">
        <f>'PVC(9410)'!F21</f>
        <v>2496</v>
      </c>
      <c r="H39" s="1568">
        <f>'PVC(9410)'!AL21</f>
        <v>0</v>
      </c>
      <c r="I39" s="2020">
        <f t="shared" si="1"/>
        <v>0</v>
      </c>
      <c r="J39" s="2557"/>
      <c r="K39" s="2583"/>
      <c r="L39"/>
      <c r="M39"/>
      <c r="N39"/>
      <c r="O39"/>
      <c r="P39"/>
    </row>
    <row r="40" spans="2:16" ht="14.25" customHeight="1">
      <c r="B40" s="2566"/>
      <c r="C40" s="2510"/>
      <c r="D40" s="1716" t="str">
        <f>'PVC(9410)'!C24</f>
        <v>G1106-0009</v>
      </c>
      <c r="E40" s="1031" t="s">
        <v>1819</v>
      </c>
      <c r="F40" s="1031" t="s">
        <v>1820</v>
      </c>
      <c r="G40" s="2">
        <f>'PVC(9410)'!F24</f>
        <v>2298</v>
      </c>
      <c r="H40" s="1568">
        <f>'PVC(9410)'!AL24</f>
        <v>92</v>
      </c>
      <c r="I40" s="2020">
        <f t="shared" si="1"/>
        <v>211416</v>
      </c>
      <c r="J40" s="2557"/>
      <c r="K40" s="2583"/>
      <c r="L40"/>
      <c r="M40"/>
      <c r="N40"/>
      <c r="O40"/>
      <c r="P40"/>
    </row>
    <row r="41" spans="2:16" ht="14.25" customHeight="1">
      <c r="B41" s="2566"/>
      <c r="C41" s="2509"/>
      <c r="D41" s="1716" t="str">
        <f>'PVC(9410)'!C25</f>
        <v>G1106-0010</v>
      </c>
      <c r="E41" s="1031" t="s">
        <v>1821</v>
      </c>
      <c r="F41" s="1031" t="s">
        <v>1822</v>
      </c>
      <c r="G41" s="2">
        <f>'PVC(9410)'!F25</f>
        <v>2298</v>
      </c>
      <c r="H41" s="1568">
        <f>'PVC(9410)'!AL25</f>
        <v>156</v>
      </c>
      <c r="I41" s="2020">
        <f t="shared" si="1"/>
        <v>358488</v>
      </c>
      <c r="J41" s="2558"/>
      <c r="K41" s="2583"/>
      <c r="L41"/>
      <c r="M41"/>
      <c r="N41"/>
      <c r="O41"/>
      <c r="P41"/>
    </row>
    <row r="42" spans="2:16" ht="14.25" customHeight="1">
      <c r="B42" s="2566"/>
      <c r="C42" s="2508" t="s">
        <v>96</v>
      </c>
      <c r="D42" s="1716" t="str">
        <f>'PVC(9410)'!C24</f>
        <v>G1106-0009</v>
      </c>
      <c r="E42" s="1031" t="s">
        <v>97</v>
      </c>
      <c r="F42" s="1031" t="s">
        <v>98</v>
      </c>
      <c r="G42" s="2">
        <f>'PVC(9410)'!F24</f>
        <v>2298</v>
      </c>
      <c r="H42" s="1568"/>
      <c r="I42" s="2020">
        <f t="shared" si="1"/>
        <v>0</v>
      </c>
      <c r="J42" s="2543">
        <f>SUM(I42:I43)</f>
        <v>0</v>
      </c>
      <c r="K42" s="2583"/>
      <c r="L42"/>
      <c r="M42"/>
      <c r="N42"/>
      <c r="O42"/>
      <c r="P42"/>
    </row>
    <row r="43" spans="2:16" ht="14.25" customHeight="1">
      <c r="B43" s="2566"/>
      <c r="C43" s="2509"/>
      <c r="D43" s="1716" t="str">
        <f>'PVC(9410)'!C25</f>
        <v>G1106-0010</v>
      </c>
      <c r="E43" s="1031" t="s">
        <v>99</v>
      </c>
      <c r="F43" s="1031" t="s">
        <v>100</v>
      </c>
      <c r="G43" s="2">
        <f>'PVC(9410)'!F25</f>
        <v>2298</v>
      </c>
      <c r="H43" s="1568"/>
      <c r="I43" s="2020">
        <f t="shared" si="1"/>
        <v>0</v>
      </c>
      <c r="J43" s="2544"/>
      <c r="K43" s="2583"/>
      <c r="L43"/>
      <c r="M43"/>
      <c r="N43"/>
      <c r="O43"/>
      <c r="P43"/>
    </row>
    <row r="44" spans="2:16" ht="14.25" customHeight="1">
      <c r="B44" s="2566"/>
      <c r="C44" s="2508" t="s">
        <v>1399</v>
      </c>
      <c r="D44" s="1716" t="str">
        <f>'PVC(9410)'!C18</f>
        <v>G1106-0669-00</v>
      </c>
      <c r="E44" s="1031" t="s">
        <v>1572</v>
      </c>
      <c r="F44" s="1031" t="s">
        <v>1395</v>
      </c>
      <c r="G44" s="2">
        <f>'PVC(9410)'!F18</f>
        <v>2477</v>
      </c>
      <c r="H44" s="1568">
        <f>'PVC(9410)'!AL18</f>
        <v>70</v>
      </c>
      <c r="I44" s="2020">
        <f t="shared" si="1"/>
        <v>173390</v>
      </c>
      <c r="J44" s="2012">
        <f>SUM(I44:I45)</f>
        <v>346780</v>
      </c>
      <c r="K44" s="2583"/>
      <c r="L44"/>
      <c r="M44"/>
      <c r="N44"/>
      <c r="O44"/>
      <c r="P44"/>
    </row>
    <row r="45" spans="2:16" ht="14.25" customHeight="1">
      <c r="B45" s="2566"/>
      <c r="C45" s="2509"/>
      <c r="D45" s="1716" t="str">
        <f>'PVC(9410)'!C19</f>
        <v>G1106-0670-00</v>
      </c>
      <c r="E45" s="1031" t="s">
        <v>1573</v>
      </c>
      <c r="F45" s="1031" t="s">
        <v>1397</v>
      </c>
      <c r="G45" s="2">
        <f>'PVC(9410)'!F19</f>
        <v>2477</v>
      </c>
      <c r="H45" s="1568">
        <f>'PVC(9410)'!AL18</f>
        <v>70</v>
      </c>
      <c r="I45" s="2020">
        <f t="shared" si="1"/>
        <v>173390</v>
      </c>
      <c r="J45" s="2014"/>
      <c r="K45" s="2583"/>
      <c r="L45"/>
      <c r="M45"/>
      <c r="N45"/>
      <c r="O45"/>
      <c r="P45"/>
    </row>
    <row r="46" spans="2:16" ht="14.25" customHeight="1">
      <c r="B46" s="2566"/>
      <c r="C46" s="1766" t="s">
        <v>1335</v>
      </c>
      <c r="D46" s="1716" t="str">
        <f>'PVC(9410)'!C30</f>
        <v>G1102-0832-01</v>
      </c>
      <c r="E46" s="1031" t="s">
        <v>1336</v>
      </c>
      <c r="F46" s="1031" t="s">
        <v>1337</v>
      </c>
      <c r="G46" s="2">
        <f>'PVC(9410)'!F30</f>
        <v>3680</v>
      </c>
      <c r="H46" s="1568">
        <f>'PVC(9410)'!AL30</f>
        <v>3400</v>
      </c>
      <c r="I46" s="2020">
        <f t="shared" si="1"/>
        <v>12512000</v>
      </c>
      <c r="J46" s="2018">
        <f>SUM(I46:I49)</f>
        <v>12512000</v>
      </c>
      <c r="K46" s="2583"/>
      <c r="L46" s="1024"/>
      <c r="M46"/>
      <c r="N46"/>
      <c r="O46"/>
      <c r="P46"/>
    </row>
    <row r="47" spans="2:16" ht="14.25" hidden="1" customHeight="1">
      <c r="B47" s="2566"/>
      <c r="C47" s="1766" t="s">
        <v>93</v>
      </c>
      <c r="D47" s="1716"/>
      <c r="E47" s="1031"/>
      <c r="F47" s="1031"/>
      <c r="G47" s="2">
        <f>'PVC(9410)'!F31</f>
        <v>3000</v>
      </c>
      <c r="H47" s="1568">
        <f>'PVC(9410)'!AL31</f>
        <v>0</v>
      </c>
      <c r="I47" s="2020">
        <f t="shared" si="1"/>
        <v>0</v>
      </c>
      <c r="J47" s="2018"/>
      <c r="K47" s="2583"/>
      <c r="L47"/>
      <c r="M47"/>
      <c r="N47"/>
      <c r="O47"/>
      <c r="P47"/>
    </row>
    <row r="48" spans="2:16" ht="14.25" hidden="1" customHeight="1">
      <c r="B48" s="2566"/>
      <c r="C48" s="1766" t="s">
        <v>1338</v>
      </c>
      <c r="D48" s="1716"/>
      <c r="E48" s="1031" t="s">
        <v>1339</v>
      </c>
      <c r="F48" s="1031" t="s">
        <v>1340</v>
      </c>
      <c r="G48" s="2">
        <f>'PVC(9410)'!F32</f>
        <v>3546</v>
      </c>
      <c r="H48" s="1568">
        <f>'[5]PVC(9410)'!AK28</f>
        <v>0</v>
      </c>
      <c r="I48" s="2020">
        <f t="shared" si="1"/>
        <v>0</v>
      </c>
      <c r="J48" s="2018"/>
      <c r="K48" s="2583"/>
      <c r="L48"/>
      <c r="M48"/>
      <c r="N48"/>
      <c r="O48"/>
      <c r="P48"/>
    </row>
    <row r="49" spans="1:20" ht="14.25" hidden="1" customHeight="1">
      <c r="B49" s="2566"/>
      <c r="C49" s="2508" t="s">
        <v>105</v>
      </c>
      <c r="D49" s="1716"/>
      <c r="E49" s="1031" t="s">
        <v>106</v>
      </c>
      <c r="F49" s="1031" t="s">
        <v>107</v>
      </c>
      <c r="G49" s="2">
        <f>'PVC(9410)'!F33</f>
        <v>624</v>
      </c>
      <c r="H49" s="1568">
        <f>'PVC(9410)'!AL33</f>
        <v>0</v>
      </c>
      <c r="I49" s="2020">
        <f t="shared" si="1"/>
        <v>0</v>
      </c>
      <c r="J49" s="2015">
        <f>I52</f>
        <v>0</v>
      </c>
      <c r="K49" s="2583"/>
      <c r="L49"/>
      <c r="M49"/>
      <c r="N49"/>
      <c r="O49"/>
      <c r="P49"/>
    </row>
    <row r="50" spans="1:20" ht="14.25" hidden="1" customHeight="1">
      <c r="B50" s="2566"/>
      <c r="C50" s="2510"/>
      <c r="D50" s="1716"/>
      <c r="E50" s="1031" t="s">
        <v>108</v>
      </c>
      <c r="F50" s="1031" t="s">
        <v>109</v>
      </c>
      <c r="G50" s="2">
        <f>'PVC(9410)'!F34</f>
        <v>3</v>
      </c>
      <c r="H50" s="1568">
        <f>'PVC(9410)'!AL34</f>
        <v>0</v>
      </c>
      <c r="I50" s="2020">
        <f t="shared" si="1"/>
        <v>0</v>
      </c>
      <c r="J50" s="2016"/>
      <c r="K50" s="2583"/>
      <c r="L50"/>
      <c r="M50"/>
      <c r="N50"/>
      <c r="O50"/>
      <c r="P50"/>
    </row>
    <row r="51" spans="1:20" ht="14.25" hidden="1" customHeight="1">
      <c r="B51" s="2566"/>
      <c r="C51" s="2510"/>
      <c r="D51" s="1716"/>
      <c r="E51" s="1031" t="s">
        <v>110</v>
      </c>
      <c r="F51" s="1031" t="s">
        <v>111</v>
      </c>
      <c r="G51" s="2">
        <f>'PVC(9410)'!F35</f>
        <v>3209</v>
      </c>
      <c r="H51" s="1568">
        <f>'PVC(9410)'!AL35</f>
        <v>0</v>
      </c>
      <c r="I51" s="2020">
        <f t="shared" si="1"/>
        <v>0</v>
      </c>
      <c r="J51" s="2016"/>
      <c r="K51" s="2583"/>
      <c r="L51"/>
      <c r="M51"/>
      <c r="N51"/>
      <c r="O51"/>
      <c r="P51"/>
    </row>
    <row r="52" spans="1:20" ht="14.25" hidden="1" customHeight="1">
      <c r="B52" s="2566"/>
      <c r="C52" s="2510"/>
      <c r="D52" s="1716" t="s">
        <v>1615</v>
      </c>
      <c r="E52" s="1744" t="s">
        <v>112</v>
      </c>
      <c r="F52" s="1031" t="s">
        <v>113</v>
      </c>
      <c r="G52" s="2">
        <f>'PVC(9410)'!F36</f>
        <v>1538</v>
      </c>
      <c r="H52" s="1568">
        <f>'PVC(9410)'!AL36</f>
        <v>0</v>
      </c>
      <c r="I52" s="2020">
        <f t="shared" si="1"/>
        <v>0</v>
      </c>
      <c r="J52" s="2016"/>
      <c r="K52" s="2583"/>
      <c r="L52"/>
      <c r="M52"/>
      <c r="N52"/>
      <c r="O52"/>
      <c r="P52"/>
    </row>
    <row r="53" spans="1:20" ht="14.25" hidden="1" customHeight="1">
      <c r="B53" s="2566"/>
      <c r="C53" s="2509"/>
      <c r="D53" s="1716"/>
      <c r="E53" s="1744" t="s">
        <v>114</v>
      </c>
      <c r="F53" s="1031" t="s">
        <v>115</v>
      </c>
      <c r="G53" s="2">
        <f>'PVC(9410)'!F37</f>
        <v>3229</v>
      </c>
      <c r="H53" s="1568">
        <f>'PVC(9410)'!AL37</f>
        <v>0</v>
      </c>
      <c r="I53" s="2020">
        <f t="shared" si="1"/>
        <v>0</v>
      </c>
      <c r="J53" s="2017"/>
      <c r="K53" s="2583"/>
      <c r="L53"/>
      <c r="M53"/>
      <c r="N53"/>
      <c r="O53"/>
      <c r="P53"/>
    </row>
    <row r="54" spans="1:20" ht="14.25" hidden="1" customHeight="1">
      <c r="B54" s="2566"/>
      <c r="C54" s="2590" t="s">
        <v>171</v>
      </c>
      <c r="D54" s="1717"/>
      <c r="E54" s="1744" t="s">
        <v>0</v>
      </c>
      <c r="F54" s="1031" t="s">
        <v>21</v>
      </c>
      <c r="G54" s="2">
        <f>'PVC(9410)'!F65</f>
        <v>1652</v>
      </c>
      <c r="H54" s="1568">
        <f>'PVC(9410)'!AL65</f>
        <v>0</v>
      </c>
      <c r="I54" s="2020">
        <f t="shared" si="1"/>
        <v>0</v>
      </c>
      <c r="J54" s="2543">
        <f>SUM(I54:I56)</f>
        <v>0</v>
      </c>
      <c r="K54" s="2583"/>
      <c r="L54"/>
      <c r="M54"/>
      <c r="N54"/>
      <c r="O54"/>
      <c r="P54"/>
    </row>
    <row r="55" spans="1:20" ht="14.25" hidden="1" customHeight="1">
      <c r="B55" s="2566"/>
      <c r="C55" s="2591"/>
      <c r="D55" s="1717"/>
      <c r="E55" s="1744" t="s">
        <v>499</v>
      </c>
      <c r="F55" s="1031" t="s">
        <v>500</v>
      </c>
      <c r="G55" s="2">
        <f>'PVC(9410)'!F66</f>
        <v>1652</v>
      </c>
      <c r="H55" s="1568">
        <f>'PVC(9410)'!AL66</f>
        <v>0</v>
      </c>
      <c r="I55" s="2020">
        <f t="shared" si="1"/>
        <v>0</v>
      </c>
      <c r="J55" s="2548"/>
      <c r="K55" s="2583"/>
      <c r="L55"/>
      <c r="M55"/>
      <c r="N55"/>
      <c r="O55"/>
      <c r="P55"/>
    </row>
    <row r="56" spans="1:20" ht="14.25" hidden="1" customHeight="1">
      <c r="B56" s="2566"/>
      <c r="C56" s="2592"/>
      <c r="D56" s="1717"/>
      <c r="E56" s="1744" t="s">
        <v>501</v>
      </c>
      <c r="F56" s="1031" t="s">
        <v>502</v>
      </c>
      <c r="G56" s="2">
        <f>'PVC(9410)'!F67</f>
        <v>1314</v>
      </c>
      <c r="H56" s="1568">
        <f>'PVC(9410)'!AL67</f>
        <v>0</v>
      </c>
      <c r="I56" s="2020">
        <f t="shared" si="1"/>
        <v>0</v>
      </c>
      <c r="J56" s="2544"/>
      <c r="K56" s="2583"/>
      <c r="L56"/>
      <c r="M56"/>
      <c r="N56"/>
      <c r="O56"/>
      <c r="P56"/>
    </row>
    <row r="57" spans="1:20" ht="14.25" customHeight="1">
      <c r="B57" s="2566"/>
      <c r="C57" s="2508" t="s">
        <v>879</v>
      </c>
      <c r="D57" s="1716" t="str">
        <f>'TPE(9410)'!C28</f>
        <v>G1125-0076-00</v>
      </c>
      <c r="E57" s="1031" t="s">
        <v>855</v>
      </c>
      <c r="F57" s="1031" t="s">
        <v>2101</v>
      </c>
      <c r="G57" s="2">
        <f>'TPE(9410)'!F28</f>
        <v>1649</v>
      </c>
      <c r="H57" s="1568">
        <f>'TPE(9410)'!AL28</f>
        <v>921</v>
      </c>
      <c r="I57" s="2020">
        <f t="shared" ref="I57:I58" si="3">SUM(G57*H57)</f>
        <v>1518729</v>
      </c>
      <c r="J57" s="2015">
        <f>SUM(I57:I58)</f>
        <v>3001180</v>
      </c>
      <c r="K57" s="2583"/>
      <c r="L57"/>
      <c r="M57"/>
      <c r="N57"/>
      <c r="O57"/>
      <c r="P57"/>
      <c r="Q57"/>
      <c r="R57"/>
      <c r="S57"/>
      <c r="T57"/>
    </row>
    <row r="58" spans="1:20" ht="14.25" customHeight="1">
      <c r="B58" s="2566"/>
      <c r="C58" s="2509"/>
      <c r="D58" s="1716" t="str">
        <f>'TPE(9410)'!C29</f>
        <v>G1125-0077-00</v>
      </c>
      <c r="E58" s="1031" t="s">
        <v>856</v>
      </c>
      <c r="F58" s="1031" t="s">
        <v>880</v>
      </c>
      <c r="G58" s="2">
        <f>'TPE(9410)'!F28</f>
        <v>1649</v>
      </c>
      <c r="H58" s="1568">
        <f>'TPE(9410)'!AL29</f>
        <v>899</v>
      </c>
      <c r="I58" s="2020">
        <f t="shared" si="3"/>
        <v>1482451</v>
      </c>
      <c r="J58" s="2017"/>
      <c r="K58" s="2583"/>
      <c r="L58"/>
      <c r="M58"/>
      <c r="N58"/>
      <c r="O58"/>
      <c r="P58"/>
      <c r="Q58"/>
      <c r="R58"/>
      <c r="S58"/>
      <c r="T58"/>
    </row>
    <row r="59" spans="1:20" ht="14.25" customHeight="1">
      <c r="B59" s="2566"/>
      <c r="C59" s="2508" t="s">
        <v>1516</v>
      </c>
      <c r="D59" s="1716" t="str">
        <f>'TPE(9410)'!C38</f>
        <v>G1110-0202-00</v>
      </c>
      <c r="E59" s="1031" t="str">
        <f>'TPE(9410)'!D38</f>
        <v>86430X9000</v>
      </c>
      <c r="F59" s="1031" t="str">
        <f>'TPE(9410)'!E38</f>
        <v>OV1k Hood Seal</v>
      </c>
      <c r="G59" s="2">
        <f>'TPE(9410)'!F38</f>
        <v>1076</v>
      </c>
      <c r="H59" s="1568">
        <f>'TPE(9410)'!AL38</f>
        <v>8064</v>
      </c>
      <c r="I59" s="2020">
        <f>SUM(G59*H59)</f>
        <v>8676864</v>
      </c>
      <c r="J59" s="2015">
        <f>SUM(I59:I62)</f>
        <v>46963911</v>
      </c>
      <c r="K59" s="2583"/>
      <c r="L59"/>
      <c r="M59"/>
      <c r="N59"/>
      <c r="O59"/>
      <c r="P59"/>
      <c r="Q59"/>
      <c r="R59"/>
      <c r="S59"/>
      <c r="T59"/>
    </row>
    <row r="60" spans="1:20" ht="14.25" customHeight="1">
      <c r="B60" s="2566"/>
      <c r="C60" s="2510"/>
      <c r="D60" s="1716" t="str">
        <f>'TPE(9410)'!C39</f>
        <v>G1110-0203-00</v>
      </c>
      <c r="E60" s="1031" t="str">
        <f>'TPE(9410)'!D39</f>
        <v>86435X9000</v>
      </c>
      <c r="F60" s="1031" t="str">
        <f>'TPE(9410)'!E39</f>
        <v>OV1k Hood Seal (FRUNK)</v>
      </c>
      <c r="G60" s="2">
        <f>'TPE(9410)'!F39</f>
        <v>1712</v>
      </c>
      <c r="H60" s="1568">
        <f>'TPE(9410)'!AL39</f>
        <v>8064</v>
      </c>
      <c r="I60" s="2020">
        <f t="shared" ref="I60:I62" si="4">SUM(G60*H60)</f>
        <v>13805568</v>
      </c>
      <c r="J60" s="2016"/>
      <c r="K60" s="2583"/>
      <c r="L60"/>
      <c r="M60"/>
      <c r="N60"/>
      <c r="O60"/>
      <c r="P60"/>
      <c r="Q60"/>
      <c r="R60"/>
      <c r="S60"/>
      <c r="T60"/>
    </row>
    <row r="61" spans="1:20" ht="14.25" customHeight="1">
      <c r="B61" s="2566"/>
      <c r="C61" s="2510"/>
      <c r="D61" s="1716" t="str">
        <f>'TPE(9410)'!C40</f>
        <v>G1160-0009-00</v>
      </c>
      <c r="E61" s="1031" t="str">
        <f>'TPE(9410)'!D40</f>
        <v>81855X9100</v>
      </c>
      <c r="F61" s="1031" t="str">
        <f>'TPE(9410)'!E40</f>
        <v>OV1k Power Tail Gate Side Strip LH</v>
      </c>
      <c r="G61" s="2">
        <f>'TPE(9410)'!F40</f>
        <v>1661</v>
      </c>
      <c r="H61" s="1568">
        <f>'TPE(9410)'!AL40</f>
        <v>7367</v>
      </c>
      <c r="I61" s="2020">
        <f t="shared" si="4"/>
        <v>12236587</v>
      </c>
      <c r="J61" s="2016"/>
      <c r="K61" s="2583"/>
      <c r="L61"/>
      <c r="M61"/>
      <c r="N61"/>
      <c r="O61"/>
      <c r="P61"/>
      <c r="Q61"/>
      <c r="R61"/>
      <c r="S61"/>
      <c r="T61"/>
    </row>
    <row r="62" spans="1:20" ht="14.25" customHeight="1" thickBot="1">
      <c r="B62" s="2566"/>
      <c r="C62" s="2509"/>
      <c r="D62" s="1716" t="str">
        <f>'TPE(9410)'!C41</f>
        <v>G1160-0010-00</v>
      </c>
      <c r="E62" s="1031" t="str">
        <f>'TPE(9410)'!D41</f>
        <v>81865X9100</v>
      </c>
      <c r="F62" s="1031" t="str">
        <f>'TPE(9410)'!E41</f>
        <v>OV1k Power Tail Gate Side Strip RH</v>
      </c>
      <c r="G62" s="2">
        <f>'TPE(9410)'!F41</f>
        <v>1661</v>
      </c>
      <c r="H62" s="1568">
        <f>'TPE(9410)'!AL41</f>
        <v>7372</v>
      </c>
      <c r="I62" s="2020">
        <f t="shared" si="4"/>
        <v>12244892</v>
      </c>
      <c r="J62" s="2017"/>
      <c r="K62" s="2583"/>
      <c r="L62"/>
      <c r="M62"/>
      <c r="N62"/>
      <c r="O62"/>
      <c r="P62"/>
      <c r="Q62"/>
      <c r="R62"/>
      <c r="S62"/>
      <c r="T62"/>
    </row>
    <row r="63" spans="1:20" ht="14.25" customHeight="1">
      <c r="A63" s="2578" t="s">
        <v>1938</v>
      </c>
      <c r="B63" s="2566"/>
      <c r="C63" s="2511" t="s">
        <v>1505</v>
      </c>
      <c r="D63" s="1718" t="str">
        <f>'OWF10(상품)'!C46</f>
        <v>G1109-0251-02</v>
      </c>
      <c r="E63" s="17">
        <v>6608258819</v>
      </c>
      <c r="F63" s="2" t="s">
        <v>1488</v>
      </c>
      <c r="G63" s="2">
        <f>'OWF10(상품)'!F46</f>
        <v>6411</v>
      </c>
      <c r="H63" s="1568">
        <f>'OWF10(상품)'!AL46</f>
        <v>220</v>
      </c>
      <c r="I63" s="2021">
        <f>G63*H63</f>
        <v>1410420</v>
      </c>
      <c r="J63" s="2015">
        <f>SUM(I63:I64)</f>
        <v>2949060</v>
      </c>
      <c r="K63" s="2583"/>
      <c r="L63"/>
      <c r="M63"/>
      <c r="N63"/>
      <c r="O63"/>
      <c r="P63"/>
    </row>
    <row r="64" spans="1:20" ht="14.25" customHeight="1">
      <c r="A64" s="2579"/>
      <c r="B64" s="2566"/>
      <c r="C64" s="2513"/>
      <c r="D64" s="1718" t="str">
        <f>'OWF10(상품)'!C47</f>
        <v>G1109-0252-02</v>
      </c>
      <c r="E64" s="17">
        <v>6608258820</v>
      </c>
      <c r="F64" s="2" t="s">
        <v>1489</v>
      </c>
      <c r="G64" s="2">
        <f>'OWF10(상품)'!F47</f>
        <v>6411</v>
      </c>
      <c r="H64" s="1568">
        <f>'OWF10(상품)'!AL47</f>
        <v>240</v>
      </c>
      <c r="I64" s="2021">
        <f>G64*H64</f>
        <v>1538640</v>
      </c>
      <c r="J64" s="2017"/>
      <c r="K64" s="2583"/>
      <c r="L64"/>
      <c r="M64"/>
      <c r="N64"/>
      <c r="O64"/>
      <c r="P64"/>
    </row>
    <row r="65" spans="1:20" ht="14.25" customHeight="1">
      <c r="A65" s="2579"/>
      <c r="B65" s="2566"/>
      <c r="C65" s="1986" t="s">
        <v>695</v>
      </c>
      <c r="D65" s="1716" t="str">
        <f>'OWF10(상품)'!C18</f>
        <v>G1102-1973-00</v>
      </c>
      <c r="E65" s="17" t="str">
        <f>'OWF10(상품)'!D18</f>
        <v>82530-9N000</v>
      </c>
      <c r="F65" s="1031" t="str">
        <f>'OWF10(상품)'!E18</f>
        <v>FRT LH</v>
      </c>
      <c r="G65" s="2">
        <f>'OWF10(상품)'!F18</f>
        <v>5322</v>
      </c>
      <c r="H65" s="1568">
        <f>'OWF10(상품)'!AL18</f>
        <v>13239</v>
      </c>
      <c r="I65" s="2020">
        <f t="shared" ref="I65:I68" si="5">G65*H65</f>
        <v>70457958</v>
      </c>
      <c r="J65" s="2012">
        <f>SUM(I65:I68)</f>
        <v>153060720</v>
      </c>
      <c r="K65" s="2583"/>
      <c r="L65"/>
      <c r="M65"/>
      <c r="N65"/>
      <c r="O65"/>
      <c r="P65"/>
    </row>
    <row r="66" spans="1:20" ht="15.75" customHeight="1">
      <c r="A66" s="2579"/>
      <c r="B66" s="2566"/>
      <c r="C66" s="1987"/>
      <c r="D66" s="1716" t="str">
        <f>'OWF10(상품)'!C19</f>
        <v>G1102-1974-00</v>
      </c>
      <c r="E66" s="17" t="str">
        <f>'OWF10(상품)'!D19</f>
        <v>82540-9N000</v>
      </c>
      <c r="F66" s="2174" t="str">
        <f>'OWF10(상품)'!E19</f>
        <v>FRT RH</v>
      </c>
      <c r="G66" s="2">
        <f>'OWF10(상품)'!F19</f>
        <v>5322</v>
      </c>
      <c r="H66" s="1568">
        <f>'OWF10(상품)'!AL19</f>
        <v>13239</v>
      </c>
      <c r="I66" s="2020">
        <f>G66*H66</f>
        <v>70457958</v>
      </c>
      <c r="J66" s="2013"/>
      <c r="K66" s="2583"/>
      <c r="L66"/>
      <c r="M66"/>
      <c r="N66"/>
      <c r="O66"/>
      <c r="P66"/>
    </row>
    <row r="67" spans="1:20" ht="14.25" customHeight="1">
      <c r="A67" s="2579"/>
      <c r="B67" s="2566"/>
      <c r="C67" s="1987"/>
      <c r="D67" s="1716" t="str">
        <f>'OWF10(상품)'!C20</f>
        <v>G1102-1973-01</v>
      </c>
      <c r="E67" s="17" t="str">
        <f>'OWF10(상품)'!D20</f>
        <v>82530-9N000</v>
      </c>
      <c r="F67" s="1031" t="str">
        <f>'OWF10(상품)'!E20</f>
        <v>NX4 Glass run FR LH 현대CKD</v>
      </c>
      <c r="G67" s="2">
        <f>'OWF10(상품)'!F20</f>
        <v>5322</v>
      </c>
      <c r="H67" s="1568">
        <f>'OWF10(상품)'!AL20</f>
        <v>1141</v>
      </c>
      <c r="I67" s="2020">
        <f t="shared" si="5"/>
        <v>6072402</v>
      </c>
      <c r="J67" s="2013"/>
      <c r="K67" s="2583"/>
      <c r="L67"/>
      <c r="M67"/>
      <c r="N67"/>
      <c r="O67"/>
      <c r="P67"/>
    </row>
    <row r="68" spans="1:20" ht="15.75" customHeight="1" thickBot="1">
      <c r="A68" s="2579"/>
      <c r="B68" s="2566"/>
      <c r="C68" s="1987"/>
      <c r="D68" s="1832" t="str">
        <f>'OWF10(상품)'!C21</f>
        <v>G1102-1974-01</v>
      </c>
      <c r="E68" s="212" t="str">
        <f>'OWF10(상품)'!D21</f>
        <v>82540-9N000</v>
      </c>
      <c r="F68" s="1274" t="str">
        <f>'OWF10(상품)'!E21</f>
        <v>NX4 Glass run FR RH 현대CKD</v>
      </c>
      <c r="G68" s="594">
        <f>'OWF10(상품)'!F21</f>
        <v>5322</v>
      </c>
      <c r="H68" s="1833">
        <f>'OWF10(상품)'!AL21</f>
        <v>1141</v>
      </c>
      <c r="I68" s="2022">
        <f t="shared" si="5"/>
        <v>6072402</v>
      </c>
      <c r="J68" s="2013"/>
      <c r="K68" s="2583"/>
      <c r="L68"/>
      <c r="M68"/>
      <c r="N68"/>
      <c r="O68"/>
      <c r="P68"/>
    </row>
    <row r="69" spans="1:20" ht="14.25" customHeight="1">
      <c r="A69" s="2579"/>
      <c r="B69" s="2566"/>
      <c r="C69" s="2508" t="s">
        <v>857</v>
      </c>
      <c r="D69" s="1716" t="str">
        <f>'OWF10(상품)'!C8</f>
        <v>G1129-0062-00</v>
      </c>
      <c r="E69" s="1031" t="str">
        <f>'OWF10(상품)'!D18</f>
        <v>82530-9N000</v>
      </c>
      <c r="F69" s="1031" t="str">
        <f>'OWF10(상품)'!E8</f>
        <v>JK Wheel Seal RR LH</v>
      </c>
      <c r="G69" s="2">
        <f>'OWF10(상품)'!F8</f>
        <v>1546</v>
      </c>
      <c r="H69" s="1568">
        <f>'OWF10(상품)'!AL8</f>
        <v>5280</v>
      </c>
      <c r="I69" s="2020">
        <f>G69*H69</f>
        <v>8162880</v>
      </c>
      <c r="J69" s="2213">
        <f>SUM(I69:I72)</f>
        <v>20237140</v>
      </c>
      <c r="K69" s="2583"/>
      <c r="L69"/>
      <c r="M69"/>
      <c r="N69"/>
      <c r="O69"/>
      <c r="P69"/>
      <c r="Q69"/>
      <c r="R69"/>
      <c r="S69"/>
      <c r="T69"/>
    </row>
    <row r="70" spans="1:20" ht="14.25" customHeight="1">
      <c r="A70" s="2579"/>
      <c r="B70" s="2566"/>
      <c r="C70" s="2510"/>
      <c r="D70" s="1716" t="str">
        <f>'OWF10(상품)'!C9</f>
        <v>G1129-0063-00</v>
      </c>
      <c r="E70" s="1031" t="str">
        <f>'OWF10(상품)'!D19</f>
        <v>82540-9N000</v>
      </c>
      <c r="F70" s="1031" t="str">
        <f>'OWF10(상품)'!E9</f>
        <v>JK Wheel Seal RR RH</v>
      </c>
      <c r="G70" s="2">
        <f>'OWF10(상품)'!F8</f>
        <v>1546</v>
      </c>
      <c r="H70" s="1568">
        <f>'OWF10(상품)'!AL9</f>
        <v>5410</v>
      </c>
      <c r="I70" s="2020">
        <f>G70*H70</f>
        <v>8363860</v>
      </c>
      <c r="J70" s="2090"/>
      <c r="K70" s="2583"/>
      <c r="L70"/>
      <c r="M70" s="1024"/>
      <c r="N70"/>
      <c r="O70"/>
      <c r="P70"/>
    </row>
    <row r="71" spans="1:20" ht="14.25" customHeight="1">
      <c r="A71" s="2579"/>
      <c r="B71" s="2566"/>
      <c r="C71" s="2510"/>
      <c r="D71" s="1716" t="str">
        <f>'OWF10(상품)'!C10</f>
        <v>G1129-0062-01</v>
      </c>
      <c r="E71" s="1031" t="str">
        <f>'OWF10(상품)'!D20</f>
        <v>82530-9N000</v>
      </c>
      <c r="F71" s="1031" t="str">
        <f>'OWF10(상품)'!E10</f>
        <v>JK Wheel Seal RR LH(22라인)</v>
      </c>
      <c r="G71" s="2">
        <f>'OWF10(상품)'!F9</f>
        <v>1546</v>
      </c>
      <c r="H71" s="1568">
        <f>'OWF10(상품)'!AL10</f>
        <v>1200</v>
      </c>
      <c r="I71" s="2020">
        <f t="shared" ref="I71:I74" si="6">G71*H71</f>
        <v>1855200</v>
      </c>
      <c r="J71" s="2090"/>
      <c r="K71" s="2583"/>
      <c r="L71"/>
      <c r="M71"/>
      <c r="N71"/>
      <c r="O71"/>
      <c r="P71"/>
    </row>
    <row r="72" spans="1:20" ht="14.25" customHeight="1" thickBot="1">
      <c r="A72" s="2580"/>
      <c r="B72" s="2567"/>
      <c r="C72" s="2510"/>
      <c r="D72" s="2091" t="str">
        <f>'OWF10(상품)'!C11</f>
        <v>G1129-0063-01</v>
      </c>
      <c r="E72" s="2092" t="str">
        <f>'OWF10(상품)'!D21</f>
        <v>82540-9N000</v>
      </c>
      <c r="F72" s="2092" t="str">
        <f>'OWF10(상품)'!E11</f>
        <v>JK Wheel Seal RR RH(22라인)</v>
      </c>
      <c r="G72" s="603">
        <f>'OWF10(상품)'!F10</f>
        <v>1546</v>
      </c>
      <c r="H72" s="2093">
        <f>'OWF10(상품)'!AL11</f>
        <v>1200</v>
      </c>
      <c r="I72" s="2100">
        <f t="shared" si="6"/>
        <v>1855200</v>
      </c>
      <c r="J72" s="2090"/>
      <c r="K72" s="2584"/>
      <c r="L72"/>
      <c r="M72"/>
      <c r="N72"/>
      <c r="O72"/>
      <c r="P72"/>
    </row>
    <row r="73" spans="1:20" ht="14.25" customHeight="1">
      <c r="A73" s="2585" t="s">
        <v>456</v>
      </c>
      <c r="B73" s="2588"/>
      <c r="C73" s="2586" t="s">
        <v>2225</v>
      </c>
      <c r="D73" s="1765" t="str">
        <f>'OWF10(상품)'!C12</f>
        <v>F1129-0062-00</v>
      </c>
      <c r="E73" s="1493" t="str">
        <f>'OWF10(상품)'!D12</f>
        <v>831C0-AR000</v>
      </c>
      <c r="F73" s="1493" t="str">
        <f>'OWF10(상품)'!E12</f>
        <v>JK Wheel Seal RR LH</v>
      </c>
      <c r="G73" s="334">
        <f>'OWF10(상품)'!F12</f>
        <v>1490</v>
      </c>
      <c r="H73" s="1721">
        <f>'OWF10(상품)'!AL12</f>
        <v>1690</v>
      </c>
      <c r="I73" s="2101">
        <f t="shared" si="6"/>
        <v>2518100</v>
      </c>
      <c r="J73" s="2213">
        <f>SUM(I73:I74)</f>
        <v>5036200</v>
      </c>
      <c r="K73" s="2148">
        <f>J73</f>
        <v>5036200</v>
      </c>
      <c r="L73"/>
      <c r="M73"/>
      <c r="N73"/>
      <c r="O73"/>
      <c r="P73"/>
    </row>
    <row r="74" spans="1:20" ht="14.25" customHeight="1" thickBot="1">
      <c r="A74" s="2565"/>
      <c r="B74" s="2589"/>
      <c r="C74" s="2587"/>
      <c r="D74" s="2102" t="str">
        <f>'OWF10(상품)'!C13</f>
        <v>F1129-0063-00</v>
      </c>
      <c r="E74" s="1619" t="str">
        <f>'OWF10(상품)'!D13</f>
        <v>831D0-AR000</v>
      </c>
      <c r="F74" s="1619" t="str">
        <f>'OWF10(상품)'!E13</f>
        <v>JK Wheel Seal RR RH</v>
      </c>
      <c r="G74" s="336">
        <f>'OWF10(상품)'!F13</f>
        <v>1490</v>
      </c>
      <c r="H74" s="1575">
        <f>'OWF10(상품)'!AL13</f>
        <v>1690</v>
      </c>
      <c r="I74" s="2103">
        <f t="shared" si="6"/>
        <v>2518100</v>
      </c>
      <c r="J74" s="2214"/>
      <c r="K74" s="2150"/>
      <c r="L74"/>
      <c r="M74"/>
      <c r="N74"/>
      <c r="O74"/>
      <c r="P74"/>
    </row>
    <row r="75" spans="1:20" ht="14.25" customHeight="1">
      <c r="A75" s="2564" t="s">
        <v>1939</v>
      </c>
      <c r="B75" s="2566" t="s">
        <v>2167</v>
      </c>
      <c r="C75" s="2510" t="s">
        <v>938</v>
      </c>
      <c r="D75" s="1993" t="str">
        <f>'OWF10(상품)'!C22</f>
        <v>G1102-2069-01</v>
      </c>
      <c r="E75" s="1506" t="s">
        <v>1574</v>
      </c>
      <c r="F75" s="1506" t="s">
        <v>72</v>
      </c>
      <c r="G75" s="595">
        <f>'OWF10(상품)'!F22</f>
        <v>5800</v>
      </c>
      <c r="H75" s="1994">
        <f>'OWF10(상품)'!AL22</f>
        <v>12960</v>
      </c>
      <c r="I75" s="1994">
        <f t="shared" ref="I75:I76" si="7">G75*H75</f>
        <v>75168000</v>
      </c>
      <c r="J75" s="1752">
        <f>SUM(I75:I76)</f>
        <v>150336000</v>
      </c>
      <c r="K75" s="2148">
        <f>SUM(J75:J98)</f>
        <v>842038080</v>
      </c>
      <c r="L75"/>
      <c r="M75"/>
      <c r="N75"/>
      <c r="O75"/>
      <c r="P75"/>
    </row>
    <row r="76" spans="1:20" ht="14.25" customHeight="1">
      <c r="A76" s="2564"/>
      <c r="B76" s="2566"/>
      <c r="C76" s="2509"/>
      <c r="D76" s="1716" t="str">
        <f>'OWF10(상품)'!C23</f>
        <v>G1102-2070-01</v>
      </c>
      <c r="E76" s="1031" t="s">
        <v>1575</v>
      </c>
      <c r="F76" s="1031" t="s">
        <v>73</v>
      </c>
      <c r="G76" s="2">
        <f>'OWF10(상품)'!F23</f>
        <v>5800</v>
      </c>
      <c r="H76" s="1568">
        <f>'OWF10(상품)'!AL23</f>
        <v>12960</v>
      </c>
      <c r="I76" s="1568">
        <f t="shared" si="7"/>
        <v>75168000</v>
      </c>
      <c r="J76" s="1989"/>
      <c r="K76" s="2149"/>
      <c r="L76"/>
      <c r="M76"/>
      <c r="N76"/>
      <c r="O76"/>
      <c r="P76"/>
    </row>
    <row r="77" spans="1:20" ht="14.25" customHeight="1">
      <c r="A77" s="2564"/>
      <c r="B77" s="2566"/>
      <c r="C77" s="2508" t="s">
        <v>1192</v>
      </c>
      <c r="D77" s="1716" t="str">
        <f>'OWF10(상품)'!C24</f>
        <v>G1102-2069-02</v>
      </c>
      <c r="E77" s="1031" t="s">
        <v>798</v>
      </c>
      <c r="F77" s="1031" t="s">
        <v>72</v>
      </c>
      <c r="G77" s="2">
        <f>'OWF10(상품)'!F24</f>
        <v>1597</v>
      </c>
      <c r="H77" s="1568">
        <f>'OWF10(상품)'!AL24</f>
        <v>0</v>
      </c>
      <c r="I77" s="1568">
        <f t="shared" ref="I77:I78" si="8">G77*H77</f>
        <v>0</v>
      </c>
      <c r="J77" s="1988">
        <f>SUM(I77:I78)</f>
        <v>0</v>
      </c>
      <c r="K77" s="2149"/>
      <c r="L77"/>
      <c r="M77"/>
      <c r="N77"/>
      <c r="O77"/>
      <c r="P77"/>
    </row>
    <row r="78" spans="1:20" ht="13.5" customHeight="1">
      <c r="A78" s="2564"/>
      <c r="B78" s="2566"/>
      <c r="C78" s="2509"/>
      <c r="D78" s="1716" t="str">
        <f>'OWF10(상품)'!C25</f>
        <v>G1102-2070-02</v>
      </c>
      <c r="E78" s="1031" t="s">
        <v>1193</v>
      </c>
      <c r="F78" s="1031" t="s">
        <v>73</v>
      </c>
      <c r="G78" s="2">
        <f>'OWF10(상품)'!F25</f>
        <v>1597</v>
      </c>
      <c r="H78" s="1568">
        <f>'OWF10(상품)'!AL25</f>
        <v>0</v>
      </c>
      <c r="I78" s="1568">
        <f t="shared" si="8"/>
        <v>0</v>
      </c>
      <c r="J78" s="1989"/>
      <c r="K78" s="2149"/>
      <c r="L78"/>
      <c r="M78"/>
      <c r="N78"/>
      <c r="O78"/>
      <c r="P78"/>
    </row>
    <row r="79" spans="1:20" ht="14.25" customHeight="1">
      <c r="A79" s="2564"/>
      <c r="B79" s="2566"/>
      <c r="C79" s="2511" t="s">
        <v>366</v>
      </c>
      <c r="D79" s="1719" t="str">
        <f>'OWF10(상품)'!C26</f>
        <v>G1103-2081-01</v>
      </c>
      <c r="E79" s="1364" t="str">
        <f>'OWF10(상품)'!D26</f>
        <v>55112362AI</v>
      </c>
      <c r="F79" s="578" t="str">
        <f>'OWF10(상품)'!E26</f>
        <v>DS(CREW) Door Side RR RH</v>
      </c>
      <c r="G79" s="721">
        <f>'OWF10(상품)'!F26</f>
        <v>5845</v>
      </c>
      <c r="H79" s="1568">
        <f>'OWF10(상품)'!AL26</f>
        <v>17280</v>
      </c>
      <c r="I79" s="1568">
        <f t="shared" ref="I79:I86" si="9">G79*H79</f>
        <v>101001600</v>
      </c>
      <c r="J79" s="1416">
        <f>SUM(I79:I86)</f>
        <v>224624960</v>
      </c>
      <c r="K79" s="2149"/>
      <c r="L79"/>
      <c r="M79"/>
      <c r="N79"/>
      <c r="O79"/>
      <c r="P79"/>
    </row>
    <row r="80" spans="1:20" ht="14.25" customHeight="1">
      <c r="A80" s="2564"/>
      <c r="B80" s="2566"/>
      <c r="C80" s="2512"/>
      <c r="D80" s="1719" t="str">
        <f>'OWF10(상품)'!C27</f>
        <v>G1103-2082-01</v>
      </c>
      <c r="E80" s="1364" t="str">
        <f>'OWF10(상품)'!D27</f>
        <v>55112363AI</v>
      </c>
      <c r="F80" s="578" t="str">
        <f>'OWF10(상품)'!E27</f>
        <v>DS(CREW) Door Side RR LH</v>
      </c>
      <c r="G80" s="721">
        <f>'OWF10(상품)'!F27</f>
        <v>5845</v>
      </c>
      <c r="H80" s="1568">
        <f>'OWF10(상품)'!AL27</f>
        <v>18880</v>
      </c>
      <c r="I80" s="1568">
        <f t="shared" si="9"/>
        <v>110353600</v>
      </c>
      <c r="J80" s="1866"/>
      <c r="K80" s="2149"/>
      <c r="L80"/>
      <c r="M80"/>
      <c r="N80"/>
      <c r="O80"/>
      <c r="P80"/>
    </row>
    <row r="81" spans="1:16" ht="14.25" customHeight="1">
      <c r="A81" s="2564"/>
      <c r="B81" s="2566"/>
      <c r="C81" s="2512"/>
      <c r="D81" s="1719" t="str">
        <f>'OWF10(상품)'!C28</f>
        <v>G1103-1562-00</v>
      </c>
      <c r="E81" s="1364" t="str">
        <f>'OWF10(상품)'!D28</f>
        <v>55112362AH</v>
      </c>
      <c r="F81" s="578" t="str">
        <f>'OWF10(상품)'!E28</f>
        <v>DS(CREW) Door Side RR RH(미)</v>
      </c>
      <c r="G81" s="721">
        <f>'OWF10(상품)'!F28</f>
        <v>5791</v>
      </c>
      <c r="H81" s="1568">
        <f>'OWF10(상품)'!AL28</f>
        <v>0</v>
      </c>
      <c r="I81" s="1568">
        <f t="shared" si="9"/>
        <v>0</v>
      </c>
      <c r="J81" s="1866"/>
      <c r="K81" s="2149"/>
      <c r="L81"/>
      <c r="M81"/>
      <c r="N81"/>
      <c r="O81"/>
      <c r="P81"/>
    </row>
    <row r="82" spans="1:16" ht="14.25" customHeight="1">
      <c r="A82" s="2564"/>
      <c r="B82" s="2566"/>
      <c r="C82" s="2512"/>
      <c r="D82" s="1719" t="str">
        <f>'OWF10(상품)'!C29</f>
        <v>G1103-1563-03</v>
      </c>
      <c r="E82" s="1364" t="str">
        <f>'OWF10(상품)'!D29</f>
        <v>55112363AH</v>
      </c>
      <c r="F82" s="578" t="str">
        <f>'OWF10(상품)'!E29</f>
        <v>DS(CREW) Door Side RR LH(미)</v>
      </c>
      <c r="G82" s="721">
        <f>'OWF10(상품)'!F29</f>
        <v>5845</v>
      </c>
      <c r="H82" s="1568">
        <f>'OWF10(상품)'!AL29</f>
        <v>0</v>
      </c>
      <c r="I82" s="1568">
        <f t="shared" si="9"/>
        <v>0</v>
      </c>
      <c r="J82" s="1866"/>
      <c r="K82" s="2149"/>
      <c r="L82"/>
      <c r="M82"/>
      <c r="N82"/>
      <c r="O82"/>
      <c r="P82"/>
    </row>
    <row r="83" spans="1:16" ht="14.25" customHeight="1">
      <c r="A83" s="2564"/>
      <c r="B83" s="2566"/>
      <c r="C83" s="2512"/>
      <c r="D83" s="1719" t="str">
        <f>'OWF10(상품)'!C30</f>
        <v>G1103-1499-00</v>
      </c>
      <c r="E83" s="1364" t="str">
        <f>'OWF10(상품)'!D30</f>
        <v>55112374AH</v>
      </c>
      <c r="F83" s="578" t="str">
        <f>'OWF10(상품)'!E30</f>
        <v>DS(QUAD) Door Side RR RH (설변)</v>
      </c>
      <c r="G83" s="721">
        <f>'OWF10(상품)'!F30</f>
        <v>5905</v>
      </c>
      <c r="H83" s="1568">
        <f>'OWF10(상품)'!AL30</f>
        <v>0</v>
      </c>
      <c r="I83" s="1568">
        <f t="shared" si="9"/>
        <v>0</v>
      </c>
      <c r="J83" s="1866"/>
      <c r="K83" s="2149"/>
      <c r="L83"/>
      <c r="M83"/>
      <c r="N83"/>
      <c r="O83"/>
      <c r="P83"/>
    </row>
    <row r="84" spans="1:16" ht="14.25" customHeight="1">
      <c r="A84" s="2564"/>
      <c r="B84" s="2566"/>
      <c r="C84" s="2512"/>
      <c r="D84" s="1719" t="str">
        <f>'OWF10(상품)'!C31</f>
        <v>G1103-1504-00</v>
      </c>
      <c r="E84" s="1364" t="str">
        <f>'OWF10(상품)'!D31</f>
        <v>55112375AH</v>
      </c>
      <c r="F84" s="578" t="str">
        <f>'OWF10(상품)'!E31</f>
        <v>DS(QUAD) Door Side RR LH (설변)</v>
      </c>
      <c r="G84" s="721">
        <f>'OWF10(상품)'!F31</f>
        <v>5905</v>
      </c>
      <c r="H84" s="1568">
        <f>'OWF10(상품)'!AL31</f>
        <v>0</v>
      </c>
      <c r="I84" s="1568">
        <f t="shared" si="9"/>
        <v>0</v>
      </c>
      <c r="J84" s="1866"/>
      <c r="K84" s="2149"/>
      <c r="L84"/>
      <c r="M84"/>
      <c r="N84"/>
      <c r="O84"/>
      <c r="P84"/>
    </row>
    <row r="85" spans="1:16" ht="14.25" customHeight="1">
      <c r="A85" s="2564"/>
      <c r="B85" s="2566"/>
      <c r="C85" s="2512"/>
      <c r="D85" s="1719" t="str">
        <f>'OWF10(상품)'!C32</f>
        <v>G1103-2085-00</v>
      </c>
      <c r="E85" s="1364" t="str">
        <f>'OWF10(상품)'!D32</f>
        <v>68563582AC</v>
      </c>
      <c r="F85" s="578" t="str">
        <f>'OWF10(상품)'!E32</f>
        <v>DS(TRUCK) Door Side FR RH</v>
      </c>
      <c r="G85" s="721">
        <f>'OWF10(상품)'!F32</f>
        <v>5694</v>
      </c>
      <c r="H85" s="1568">
        <f>'OWF10(상품)'!AL32</f>
        <v>1120</v>
      </c>
      <c r="I85" s="1568">
        <f t="shared" si="9"/>
        <v>6377280</v>
      </c>
      <c r="J85" s="1866"/>
      <c r="K85" s="2149"/>
      <c r="L85"/>
      <c r="M85"/>
      <c r="N85"/>
      <c r="O85"/>
      <c r="P85"/>
    </row>
    <row r="86" spans="1:16" ht="14.25" customHeight="1">
      <c r="A86" s="2564"/>
      <c r="B86" s="2566"/>
      <c r="C86" s="2513"/>
      <c r="D86" s="1719" t="str">
        <f>'OWF10(상품)'!C33</f>
        <v>G1103-2086-00</v>
      </c>
      <c r="E86" s="1364" t="str">
        <f>'OWF10(상품)'!D33</f>
        <v>68563583AC</v>
      </c>
      <c r="F86" s="578" t="str">
        <f>'OWF10(상품)'!E33</f>
        <v>DS(TRUCK) Door Side FR LH</v>
      </c>
      <c r="G86" s="721">
        <f>'OWF10(상품)'!F33</f>
        <v>6154</v>
      </c>
      <c r="H86" s="1568">
        <f>'OWF10(상품)'!AL33</f>
        <v>1120</v>
      </c>
      <c r="I86" s="1568">
        <f t="shared" si="9"/>
        <v>6892480</v>
      </c>
      <c r="J86" s="1995"/>
      <c r="K86" s="2149"/>
      <c r="L86" s="1024"/>
      <c r="M86"/>
      <c r="N86"/>
      <c r="O86"/>
      <c r="P86"/>
    </row>
    <row r="87" spans="1:16" ht="14.25" customHeight="1">
      <c r="A87" s="2564"/>
      <c r="B87" s="2566"/>
      <c r="C87" s="2511" t="s">
        <v>952</v>
      </c>
      <c r="D87" s="1952" t="str">
        <f>'OWF10(상품)'!C34</f>
        <v>G1103-1506-00</v>
      </c>
      <c r="E87" s="17" t="str">
        <f>'OWF10(상품)'!D34</f>
        <v>68291620AD</v>
      </c>
      <c r="F87" s="17" t="str">
        <f>'OWF10(상품)'!E34</f>
        <v>DT(CREW) Door Side RR RH</v>
      </c>
      <c r="G87" s="2">
        <f>'OWF10(상품)'!F34</f>
        <v>5841</v>
      </c>
      <c r="H87" s="1568">
        <f>'OWF10(상품)'!AL34</f>
        <v>0</v>
      </c>
      <c r="I87" s="1568">
        <f t="shared" ref="I87:I104" si="10">G87*H87</f>
        <v>0</v>
      </c>
      <c r="J87" s="1988">
        <f>SUM(I87:I92)</f>
        <v>411099840</v>
      </c>
      <c r="K87" s="2149"/>
      <c r="L87" s="1024"/>
      <c r="M87"/>
      <c r="N87"/>
      <c r="O87"/>
      <c r="P87"/>
    </row>
    <row r="88" spans="1:16" ht="14.25" customHeight="1">
      <c r="A88" s="2564"/>
      <c r="B88" s="2566"/>
      <c r="C88" s="2512"/>
      <c r="D88" s="1952" t="str">
        <f>'OWF10(상품)'!C35</f>
        <v>G1103-1507-00</v>
      </c>
      <c r="E88" s="17" t="str">
        <f>'OWF10(상품)'!D35</f>
        <v>68291621AD</v>
      </c>
      <c r="F88" s="17" t="str">
        <f>'OWF10(상품)'!E35</f>
        <v>DT(CREW) Door Side RR LH</v>
      </c>
      <c r="G88" s="2">
        <f>'OWF10(상품)'!F35</f>
        <v>5841</v>
      </c>
      <c r="H88" s="1568">
        <f>'OWF10(상품)'!AL35</f>
        <v>0</v>
      </c>
      <c r="I88" s="1568">
        <f t="shared" si="10"/>
        <v>0</v>
      </c>
      <c r="J88" s="1752"/>
      <c r="K88" s="2149"/>
      <c r="L88" s="1024"/>
      <c r="M88"/>
      <c r="N88"/>
      <c r="O88"/>
      <c r="P88"/>
    </row>
    <row r="89" spans="1:16" ht="14.25" customHeight="1">
      <c r="A89" s="2564"/>
      <c r="B89" s="2566"/>
      <c r="C89" s="2512"/>
      <c r="D89" s="1952" t="str">
        <f>'OWF10(상품)'!C36</f>
        <v>G1103-2137-01</v>
      </c>
      <c r="E89" s="17" t="str">
        <f>'OWF10(상품)'!D36</f>
        <v>68291620AD</v>
      </c>
      <c r="F89" s="17" t="str">
        <f>'OWF10(상품)'!E36</f>
        <v>DT(CREW) Door Side RR RH (CREW)</v>
      </c>
      <c r="G89" s="2">
        <f>'OWF10(상품)'!F36</f>
        <v>6206</v>
      </c>
      <c r="H89" s="1568">
        <f>'OWF10(상품)'!AL36</f>
        <v>32400</v>
      </c>
      <c r="I89" s="1568">
        <f t="shared" ref="I89:I92" si="11">G89*H89</f>
        <v>201074400</v>
      </c>
      <c r="J89" s="1752"/>
      <c r="K89" s="2149"/>
      <c r="L89"/>
      <c r="M89"/>
      <c r="N89"/>
      <c r="O89"/>
      <c r="P89"/>
    </row>
    <row r="90" spans="1:16" ht="14.25" customHeight="1">
      <c r="A90" s="2564"/>
      <c r="B90" s="2566"/>
      <c r="C90" s="2512"/>
      <c r="D90" s="1952" t="str">
        <f>'OWF10(상품)'!C37</f>
        <v>G1103-2138-01</v>
      </c>
      <c r="E90" s="17" t="str">
        <f>'OWF10(상품)'!D37</f>
        <v>68291621AD</v>
      </c>
      <c r="F90" s="17" t="str">
        <f>'OWF10(상품)'!E37</f>
        <v>DT(CREW) Door Side RR LH (CREW)</v>
      </c>
      <c r="G90" s="2">
        <f>'OWF10(상품)'!F37</f>
        <v>6206</v>
      </c>
      <c r="H90" s="1568">
        <f>'OWF10(상품)'!AL37</f>
        <v>32400</v>
      </c>
      <c r="I90" s="1568">
        <f t="shared" si="11"/>
        <v>201074400</v>
      </c>
      <c r="J90" s="1752"/>
      <c r="K90" s="2149"/>
      <c r="L90"/>
      <c r="M90"/>
      <c r="N90"/>
      <c r="O90"/>
      <c r="P90"/>
    </row>
    <row r="91" spans="1:16" ht="14.25" customHeight="1">
      <c r="A91" s="2564"/>
      <c r="B91" s="2566"/>
      <c r="C91" s="2512"/>
      <c r="D91" s="1952" t="str">
        <f>'OWF10(상품)'!C38</f>
        <v>G1103-2139-01</v>
      </c>
      <c r="E91" s="17" t="str">
        <f>'OWF10(상품)'!D38</f>
        <v>68291618AD</v>
      </c>
      <c r="F91" s="17" t="str">
        <f>'OWF10(상품)'!E38</f>
        <v>DT(QUAD) Door Side RR RH</v>
      </c>
      <c r="G91" s="2">
        <f>'OWF10(상품)'!F38</f>
        <v>6216</v>
      </c>
      <c r="H91" s="1568">
        <f>'OWF10(상품)'!AL38</f>
        <v>720</v>
      </c>
      <c r="I91" s="1568">
        <f t="shared" si="11"/>
        <v>4475520</v>
      </c>
      <c r="J91" s="1752"/>
      <c r="K91" s="2149"/>
      <c r="L91"/>
      <c r="M91"/>
      <c r="N91"/>
      <c r="O91"/>
      <c r="P91"/>
    </row>
    <row r="92" spans="1:16" ht="14.25" customHeight="1">
      <c r="A92" s="2564"/>
      <c r="B92" s="2566"/>
      <c r="C92" s="2513"/>
      <c r="D92" s="1952" t="str">
        <f>'OWF10(상품)'!C39</f>
        <v>G1103-2140-01</v>
      </c>
      <c r="E92" s="17" t="str">
        <f>'OWF10(상품)'!D39</f>
        <v>68291619AD</v>
      </c>
      <c r="F92" s="17" t="str">
        <f>'OWF10(상품)'!E39</f>
        <v>DT(QUAD) Door Side RR LH</v>
      </c>
      <c r="G92" s="2">
        <f>'OWF10(상품)'!F39</f>
        <v>6216</v>
      </c>
      <c r="H92" s="1568">
        <f>'OWF10(상품)'!AL39</f>
        <v>720</v>
      </c>
      <c r="I92" s="1568">
        <f t="shared" si="11"/>
        <v>4475520</v>
      </c>
      <c r="J92" s="1752"/>
      <c r="K92" s="2149"/>
      <c r="L92"/>
      <c r="M92"/>
      <c r="N92"/>
      <c r="O92"/>
      <c r="P92"/>
    </row>
    <row r="93" spans="1:16" ht="14.25" customHeight="1">
      <c r="A93" s="2564"/>
      <c r="B93" s="2566"/>
      <c r="C93" s="2511" t="s">
        <v>1328</v>
      </c>
      <c r="D93" s="1718" t="str">
        <f>'OWF10(상품)'!C40</f>
        <v>G1125-0083-01</v>
      </c>
      <c r="E93" s="17" t="s">
        <v>1324</v>
      </c>
      <c r="F93" s="17" t="s">
        <v>1325</v>
      </c>
      <c r="G93" s="2">
        <f>'OWF10(상품)'!F40</f>
        <v>1283</v>
      </c>
      <c r="H93" s="1568">
        <f>'OWF10(상품)'!AL40</f>
        <v>0</v>
      </c>
      <c r="I93" s="219">
        <f t="shared" si="10"/>
        <v>0</v>
      </c>
      <c r="J93" s="1988">
        <f>SUM(I93:I94)</f>
        <v>0</v>
      </c>
      <c r="K93" s="2149"/>
      <c r="L93" s="1024"/>
      <c r="M93"/>
      <c r="N93"/>
      <c r="O93"/>
      <c r="P93"/>
    </row>
    <row r="94" spans="1:16" ht="14.25" customHeight="1">
      <c r="A94" s="2564"/>
      <c r="B94" s="2566"/>
      <c r="C94" s="2513"/>
      <c r="D94" s="1718" t="str">
        <f>'OWF10(상품)'!C41</f>
        <v>G1125-0082-01</v>
      </c>
      <c r="E94" s="17" t="s">
        <v>1326</v>
      </c>
      <c r="F94" s="17" t="s">
        <v>1327</v>
      </c>
      <c r="G94" s="2">
        <f>'OWF10(상품)'!F41</f>
        <v>1283</v>
      </c>
      <c r="H94" s="1568">
        <f>'OWF10(상품)'!AL41</f>
        <v>0</v>
      </c>
      <c r="I94" s="219">
        <f t="shared" si="10"/>
        <v>0</v>
      </c>
      <c r="J94" s="1989"/>
      <c r="K94" s="2149"/>
      <c r="L94"/>
      <c r="M94"/>
      <c r="N94"/>
      <c r="O94"/>
      <c r="P94"/>
    </row>
    <row r="95" spans="1:16" ht="14.25" customHeight="1">
      <c r="A95" s="2564"/>
      <c r="B95" s="2566"/>
      <c r="C95" s="2511" t="s">
        <v>1232</v>
      </c>
      <c r="D95" s="1718" t="str">
        <f>'OWF10(상품)'!C42</f>
        <v>G1103-1871-02</v>
      </c>
      <c r="E95" s="17" t="s">
        <v>1224</v>
      </c>
      <c r="F95" s="17" t="s">
        <v>1225</v>
      </c>
      <c r="G95" s="2">
        <f>'OWF10(상품)'!F42</f>
        <v>4379</v>
      </c>
      <c r="H95" s="1568">
        <f>'OWF10(상품)'!AL42</f>
        <v>2880</v>
      </c>
      <c r="I95" s="219">
        <f t="shared" si="10"/>
        <v>12611520</v>
      </c>
      <c r="J95" s="1988">
        <f>SUM(I95:I98)</f>
        <v>55977280</v>
      </c>
      <c r="K95" s="2149"/>
      <c r="L95" s="1024"/>
      <c r="M95"/>
      <c r="N95"/>
      <c r="O95"/>
      <c r="P95"/>
    </row>
    <row r="96" spans="1:16" ht="14.25" customHeight="1">
      <c r="A96" s="2564"/>
      <c r="B96" s="2566"/>
      <c r="C96" s="2512"/>
      <c r="D96" s="1718" t="str">
        <f>'OWF10(상품)'!C43</f>
        <v>G1103-1872-02</v>
      </c>
      <c r="E96" s="17" t="s">
        <v>1226</v>
      </c>
      <c r="F96" s="17" t="s">
        <v>1227</v>
      </c>
      <c r="G96" s="2">
        <f>'OWF10(상품)'!F43</f>
        <v>4379</v>
      </c>
      <c r="H96" s="1568">
        <f>'OWF10(상품)'!AL43</f>
        <v>3200</v>
      </c>
      <c r="I96" s="219">
        <f t="shared" si="10"/>
        <v>14012800</v>
      </c>
      <c r="J96" s="1752"/>
      <c r="K96" s="2149"/>
      <c r="L96"/>
      <c r="M96"/>
      <c r="N96"/>
      <c r="O96"/>
      <c r="P96"/>
    </row>
    <row r="97" spans="1:16" ht="12" customHeight="1">
      <c r="A97" s="2564"/>
      <c r="B97" s="2566"/>
      <c r="C97" s="2512"/>
      <c r="D97" s="1718" t="str">
        <f>'OWF10(상품)'!C44</f>
        <v>G1103-1873-02</v>
      </c>
      <c r="E97" s="17" t="s">
        <v>1228</v>
      </c>
      <c r="F97" s="17" t="s">
        <v>1229</v>
      </c>
      <c r="G97" s="2">
        <f>'OWF10(상품)'!F44</f>
        <v>4898</v>
      </c>
      <c r="H97" s="1568">
        <f>'OWF10(상품)'!AL44</f>
        <v>2880</v>
      </c>
      <c r="I97" s="219">
        <f t="shared" si="10"/>
        <v>14106240</v>
      </c>
      <c r="J97" s="1752"/>
      <c r="K97" s="2149"/>
      <c r="L97" s="1024"/>
      <c r="M97"/>
      <c r="N97"/>
      <c r="O97"/>
      <c r="P97"/>
    </row>
    <row r="98" spans="1:16" ht="14.25" customHeight="1" thickBot="1">
      <c r="A98" s="2565"/>
      <c r="B98" s="2567"/>
      <c r="C98" s="2524"/>
      <c r="D98" s="1720" t="str">
        <f>'OWF10(상품)'!C45</f>
        <v>G1103-1874-02</v>
      </c>
      <c r="E98" s="51" t="s">
        <v>1230</v>
      </c>
      <c r="F98" s="51" t="s">
        <v>1231</v>
      </c>
      <c r="G98" s="336">
        <f>'OWF10(상품)'!F45</f>
        <v>5294</v>
      </c>
      <c r="H98" s="1575">
        <f>'OWF10(상품)'!AL45</f>
        <v>2880</v>
      </c>
      <c r="I98" s="220">
        <f t="shared" si="10"/>
        <v>15246720</v>
      </c>
      <c r="J98" s="1991"/>
      <c r="K98" s="2150"/>
      <c r="L98"/>
      <c r="M98"/>
      <c r="N98"/>
      <c r="O98"/>
      <c r="P98"/>
    </row>
    <row r="99" spans="1:16" ht="14.25" customHeight="1">
      <c r="B99" s="1714"/>
      <c r="C99" s="2517" t="s">
        <v>71</v>
      </c>
      <c r="D99" s="1470" t="str">
        <f>'OWF10(상품)'!C14</f>
        <v>G1102-1346-00</v>
      </c>
      <c r="E99" s="48" t="s">
        <v>476</v>
      </c>
      <c r="F99" s="48" t="s">
        <v>182</v>
      </c>
      <c r="G99" s="595">
        <f>'OWF10(상품)'!F14</f>
        <v>5333</v>
      </c>
      <c r="H99" s="1994">
        <f>'OWF10(상품)'!AL14</f>
        <v>2</v>
      </c>
      <c r="I99" s="217">
        <f t="shared" ref="I99:I102" si="12">G99*H99</f>
        <v>10666</v>
      </c>
      <c r="J99" s="2270">
        <f>SUM(I99:I102)</f>
        <v>10666</v>
      </c>
      <c r="K99" s="1715"/>
      <c r="L99" s="1024"/>
      <c r="M99"/>
      <c r="N99"/>
      <c r="O99"/>
      <c r="P99"/>
    </row>
    <row r="100" spans="1:16" ht="14.25" customHeight="1">
      <c r="B100" s="1714"/>
      <c r="C100" s="2518"/>
      <c r="D100" s="1309" t="str">
        <f>'OWF10(상품)'!C15</f>
        <v>G1102-1347-00</v>
      </c>
      <c r="E100" s="17" t="s">
        <v>477</v>
      </c>
      <c r="F100" s="17" t="s">
        <v>183</v>
      </c>
      <c r="G100" s="2">
        <f>'OWF10(상품)'!F15</f>
        <v>1258</v>
      </c>
      <c r="H100" s="1568">
        <f>'OWF10(상품)'!AL15</f>
        <v>0</v>
      </c>
      <c r="I100" s="219">
        <f t="shared" si="12"/>
        <v>0</v>
      </c>
      <c r="J100" s="2271"/>
      <c r="K100" s="1715"/>
      <c r="L100" s="1024"/>
      <c r="M100"/>
      <c r="N100"/>
      <c r="O100"/>
      <c r="P100"/>
    </row>
    <row r="101" spans="1:16" ht="14.25" customHeight="1">
      <c r="B101" s="1714"/>
      <c r="C101" s="2518"/>
      <c r="D101" s="1309" t="str">
        <f>'OWF10(상품)'!C16</f>
        <v>G1108-1348-00</v>
      </c>
      <c r="E101" s="17" t="s">
        <v>478</v>
      </c>
      <c r="F101" s="17" t="s">
        <v>184</v>
      </c>
      <c r="G101" s="2">
        <f>'OWF10(상품)'!F16</f>
        <v>1773</v>
      </c>
      <c r="H101" s="219">
        <f>'OWF10(상품)'!AL16</f>
        <v>0</v>
      </c>
      <c r="I101" s="219">
        <f t="shared" si="12"/>
        <v>0</v>
      </c>
      <c r="J101" s="2271"/>
      <c r="K101" s="1715"/>
      <c r="L101"/>
      <c r="M101"/>
      <c r="N101"/>
      <c r="O101"/>
      <c r="P101"/>
    </row>
    <row r="102" spans="1:16" ht="14.25" customHeight="1">
      <c r="B102" s="1714"/>
      <c r="C102" s="2518"/>
      <c r="D102" s="1309" t="str">
        <f>'OWF10(상품)'!C17</f>
        <v>G1102-1350-00</v>
      </c>
      <c r="E102" s="17" t="s">
        <v>479</v>
      </c>
      <c r="F102" s="17" t="s">
        <v>185</v>
      </c>
      <c r="G102" s="2">
        <f>'OWF10(상품)'!F17</f>
        <v>1773</v>
      </c>
      <c r="H102" s="219">
        <f>'OWF10(상품)'!AL17</f>
        <v>0</v>
      </c>
      <c r="I102" s="219">
        <f t="shared" si="12"/>
        <v>0</v>
      </c>
      <c r="J102" s="2272"/>
      <c r="K102" s="1715"/>
      <c r="L102"/>
      <c r="M102"/>
      <c r="N102"/>
      <c r="O102"/>
      <c r="P102"/>
    </row>
    <row r="103" spans="1:16" ht="14.25" hidden="1" customHeight="1">
      <c r="B103" s="1636" t="s">
        <v>936</v>
      </c>
      <c r="C103" s="2511" t="s">
        <v>1349</v>
      </c>
      <c r="D103" s="1718" t="s">
        <v>1942</v>
      </c>
      <c r="E103" s="48" t="s">
        <v>1356</v>
      </c>
      <c r="F103" s="48" t="s">
        <v>1357</v>
      </c>
      <c r="G103" s="595">
        <f>'OWF10(상품)'!F6</f>
        <v>4520</v>
      </c>
      <c r="H103" s="1545">
        <f>'OWF10(상품)'!AL6</f>
        <v>0</v>
      </c>
      <c r="I103" s="1531">
        <f t="shared" si="10"/>
        <v>0</v>
      </c>
      <c r="J103" s="2514">
        <f>I103</f>
        <v>0</v>
      </c>
      <c r="K103" s="1638"/>
      <c r="L103" s="1024"/>
      <c r="M103"/>
      <c r="N103"/>
      <c r="O103"/>
      <c r="P103"/>
    </row>
    <row r="104" spans="1:16" ht="14.25" hidden="1" customHeight="1">
      <c r="B104" s="1636"/>
      <c r="C104" s="2513"/>
      <c r="D104" s="1718" t="s">
        <v>1943</v>
      </c>
      <c r="E104" s="17" t="s">
        <v>1358</v>
      </c>
      <c r="F104" s="17" t="s">
        <v>1359</v>
      </c>
      <c r="G104" s="2">
        <f>'OWF10(상품)'!F7</f>
        <v>4520</v>
      </c>
      <c r="H104" s="219">
        <f>'OWF10(상품)'!AL7</f>
        <v>0</v>
      </c>
      <c r="I104" s="219">
        <f t="shared" si="10"/>
        <v>0</v>
      </c>
      <c r="J104" s="2515"/>
      <c r="K104" s="1638"/>
      <c r="L104"/>
      <c r="M104"/>
      <c r="N104"/>
      <c r="O104"/>
      <c r="P104"/>
    </row>
    <row r="105" spans="1:16" ht="14.25" hidden="1" customHeight="1">
      <c r="B105" s="1636"/>
      <c r="C105" s="2511" t="s">
        <v>186</v>
      </c>
      <c r="D105" s="1309" t="str">
        <f>'TPE(9410)'!C10</f>
        <v>G1102-0727</v>
      </c>
      <c r="E105" s="17" t="s">
        <v>187</v>
      </c>
      <c r="F105" s="17" t="s">
        <v>182</v>
      </c>
      <c r="G105" s="218">
        <f>'TPE(9410)'!F10</f>
        <v>2735</v>
      </c>
      <c r="H105" s="219">
        <f>'TPE(9410)'!AL10</f>
        <v>0</v>
      </c>
      <c r="I105" s="219">
        <f t="shared" ref="I105:I128" si="13">SUM(G105*H105)</f>
        <v>0</v>
      </c>
      <c r="J105" s="1027">
        <f>SUM(I105:I110)</f>
        <v>0</v>
      </c>
      <c r="K105" s="1638"/>
      <c r="L105"/>
      <c r="M105" s="1024"/>
      <c r="N105"/>
      <c r="O105"/>
      <c r="P105"/>
    </row>
    <row r="106" spans="1:16" ht="14.25" hidden="1" customHeight="1">
      <c r="B106" s="1636"/>
      <c r="C106" s="2512"/>
      <c r="D106" s="1309" t="str">
        <f>'TPE(9410)'!C11</f>
        <v>G1102-0728</v>
      </c>
      <c r="E106" s="17" t="s">
        <v>188</v>
      </c>
      <c r="F106" s="17" t="s">
        <v>183</v>
      </c>
      <c r="G106" s="218">
        <f>'TPE(9410)'!F11</f>
        <v>2735</v>
      </c>
      <c r="H106" s="219">
        <f>'TPE(9410)'!AL11</f>
        <v>0</v>
      </c>
      <c r="I106" s="219">
        <f t="shared" si="13"/>
        <v>0</v>
      </c>
      <c r="J106" s="1850"/>
      <c r="K106" s="1638"/>
      <c r="L106"/>
      <c r="M106"/>
      <c r="N106"/>
      <c r="O106"/>
      <c r="P106"/>
    </row>
    <row r="107" spans="1:16" ht="14.25" hidden="1" customHeight="1">
      <c r="B107" s="1636"/>
      <c r="C107" s="2512"/>
      <c r="D107" s="1309" t="str">
        <f>'TPE(9410)'!C12</f>
        <v>G1102-0729</v>
      </c>
      <c r="E107" s="17" t="s">
        <v>189</v>
      </c>
      <c r="F107" s="17" t="s">
        <v>190</v>
      </c>
      <c r="G107" s="218">
        <f>'TPE(9410)'!F12</f>
        <v>4148</v>
      </c>
      <c r="H107" s="219">
        <f>'TPE(9410)'!AL12</f>
        <v>0</v>
      </c>
      <c r="I107" s="219">
        <f t="shared" si="13"/>
        <v>0</v>
      </c>
      <c r="J107" s="1850"/>
      <c r="K107" s="1638"/>
      <c r="L107"/>
      <c r="M107"/>
      <c r="N107"/>
      <c r="O107"/>
      <c r="P107"/>
    </row>
    <row r="108" spans="1:16" ht="14.25" hidden="1" customHeight="1">
      <c r="B108" s="1636"/>
      <c r="C108" s="2512"/>
      <c r="D108" s="1309" t="str">
        <f>'TPE(9410)'!C13</f>
        <v>G1102-0730</v>
      </c>
      <c r="E108" s="17" t="s">
        <v>191</v>
      </c>
      <c r="F108" s="17" t="s">
        <v>192</v>
      </c>
      <c r="G108" s="218">
        <f>'TPE(9410)'!F13</f>
        <v>4136</v>
      </c>
      <c r="H108" s="219">
        <f>'TPE(9410)'!AL13</f>
        <v>0</v>
      </c>
      <c r="I108" s="219">
        <f t="shared" si="13"/>
        <v>0</v>
      </c>
      <c r="J108" s="1850"/>
      <c r="K108" s="1638"/>
      <c r="L108"/>
      <c r="M108"/>
      <c r="N108"/>
      <c r="O108"/>
      <c r="P108"/>
    </row>
    <row r="109" spans="1:16" ht="14.25" hidden="1" customHeight="1">
      <c r="B109" s="1636"/>
      <c r="C109" s="2512"/>
      <c r="D109" s="1309" t="str">
        <f>'TPE(9410)'!C14</f>
        <v>G1102-0762</v>
      </c>
      <c r="E109" s="17" t="s">
        <v>193</v>
      </c>
      <c r="F109" s="17" t="s">
        <v>194</v>
      </c>
      <c r="G109" s="218">
        <f>'TPE(9410)'!F14</f>
        <v>4136</v>
      </c>
      <c r="H109" s="219">
        <f>'TPE(9410)'!AL14</f>
        <v>0</v>
      </c>
      <c r="I109" s="219">
        <f t="shared" si="13"/>
        <v>0</v>
      </c>
      <c r="J109" s="1850"/>
      <c r="K109" s="1638"/>
      <c r="L109"/>
      <c r="M109"/>
      <c r="N109"/>
      <c r="O109"/>
      <c r="P109"/>
    </row>
    <row r="110" spans="1:16" ht="14.25" hidden="1" customHeight="1">
      <c r="B110" s="1636"/>
      <c r="C110" s="2513"/>
      <c r="D110" s="1309" t="str">
        <f>'TPE(9410)'!C15</f>
        <v>G1102-0763</v>
      </c>
      <c r="E110" s="17" t="s">
        <v>195</v>
      </c>
      <c r="F110" s="17" t="s">
        <v>196</v>
      </c>
      <c r="G110" s="218">
        <f>'TPE(9410)'!F15</f>
        <v>4146</v>
      </c>
      <c r="H110" s="219">
        <f>'TPE(9410)'!AL15</f>
        <v>0</v>
      </c>
      <c r="I110" s="219">
        <f t="shared" si="13"/>
        <v>0</v>
      </c>
      <c r="J110" s="1028"/>
      <c r="K110" s="1638"/>
      <c r="L110"/>
      <c r="M110"/>
      <c r="N110"/>
      <c r="O110"/>
      <c r="P110"/>
    </row>
    <row r="111" spans="1:16" ht="14.25" hidden="1" customHeight="1">
      <c r="B111" s="1636"/>
      <c r="C111" s="2511" t="s">
        <v>471</v>
      </c>
      <c r="D111" s="1718" t="str">
        <f>'[6]TPE(9410)'!C22</f>
        <v>G11020865</v>
      </c>
      <c r="E111" s="17" t="s">
        <v>472</v>
      </c>
      <c r="F111" s="17" t="s">
        <v>72</v>
      </c>
      <c r="G111" s="218">
        <f>'TPE(9410)'!F22</f>
        <v>4249</v>
      </c>
      <c r="H111" s="219">
        <f>'TPE(9410)'!AL22</f>
        <v>0</v>
      </c>
      <c r="I111" s="219">
        <f t="shared" si="13"/>
        <v>0</v>
      </c>
      <c r="J111" s="2514">
        <f>SUM(I111:I114)</f>
        <v>0</v>
      </c>
      <c r="K111" s="1638"/>
      <c r="L111"/>
      <c r="M111"/>
      <c r="N111"/>
      <c r="O111"/>
      <c r="P111"/>
    </row>
    <row r="112" spans="1:16" ht="14.25" hidden="1" customHeight="1">
      <c r="B112" s="1636"/>
      <c r="C112" s="2512"/>
      <c r="D112" s="1718" t="str">
        <f>'[6]TPE(9410)'!C23</f>
        <v>G11020872</v>
      </c>
      <c r="E112" s="17" t="s">
        <v>473</v>
      </c>
      <c r="F112" s="17" t="s">
        <v>73</v>
      </c>
      <c r="G112" s="218">
        <f>'TPE(9410)'!F23</f>
        <v>4249</v>
      </c>
      <c r="H112" s="219">
        <f>'TPE(9410)'!AL23</f>
        <v>0</v>
      </c>
      <c r="I112" s="219">
        <f t="shared" si="13"/>
        <v>0</v>
      </c>
      <c r="J112" s="2516"/>
      <c r="K112" s="1638"/>
      <c r="L112"/>
      <c r="M112"/>
      <c r="N112"/>
      <c r="O112"/>
      <c r="P112"/>
    </row>
    <row r="113" spans="2:16" ht="14.25" hidden="1" customHeight="1">
      <c r="B113" s="1636"/>
      <c r="C113" s="2512"/>
      <c r="D113" s="1718" t="str">
        <f>'[6]TPE(9410)'!C24</f>
        <v>G11020866</v>
      </c>
      <c r="E113" s="17" t="s">
        <v>474</v>
      </c>
      <c r="F113" s="17" t="s">
        <v>469</v>
      </c>
      <c r="G113" s="218">
        <f>'TPE(9410)'!F24</f>
        <v>3037</v>
      </c>
      <c r="H113" s="219">
        <f>'TPE(9410)'!AL24</f>
        <v>0</v>
      </c>
      <c r="I113" s="219">
        <f t="shared" si="13"/>
        <v>0</v>
      </c>
      <c r="J113" s="2516"/>
      <c r="K113" s="1638"/>
      <c r="L113"/>
      <c r="M113"/>
      <c r="N113"/>
      <c r="O113"/>
      <c r="P113"/>
    </row>
    <row r="114" spans="2:16" ht="14.25" hidden="1" customHeight="1">
      <c r="B114" s="1636"/>
      <c r="C114" s="2513"/>
      <c r="D114" s="1718" t="str">
        <f>'[6]TPE(9410)'!C25</f>
        <v>G11020871</v>
      </c>
      <c r="E114" s="17" t="s">
        <v>475</v>
      </c>
      <c r="F114" s="17" t="s">
        <v>470</v>
      </c>
      <c r="G114" s="218">
        <f>'TPE(9410)'!F25</f>
        <v>3037</v>
      </c>
      <c r="H114" s="219">
        <f>'TPE(9410)'!AL25</f>
        <v>0</v>
      </c>
      <c r="I114" s="219">
        <f t="shared" si="13"/>
        <v>0</v>
      </c>
      <c r="J114" s="2515"/>
      <c r="K114" s="1638"/>
      <c r="L114"/>
      <c r="M114"/>
      <c r="N114"/>
      <c r="O114"/>
      <c r="P114"/>
    </row>
    <row r="115" spans="2:16" ht="14.25" customHeight="1">
      <c r="B115" s="1636"/>
      <c r="C115" s="2511" t="s">
        <v>772</v>
      </c>
      <c r="D115" s="1718" t="str">
        <f>'TPE(9410)'!C32</f>
        <v>G1102-1487-02</v>
      </c>
      <c r="E115" s="17" t="str">
        <f>'TPE(9410)'!D32</f>
        <v>42574263</v>
      </c>
      <c r="F115" s="17" t="str">
        <f>'TPE(9410)'!E32</f>
        <v>M2JO Glass run FR RH</v>
      </c>
      <c r="G115" s="218">
        <f>'TPE(9410)'!F32</f>
        <v>4059</v>
      </c>
      <c r="H115" s="219">
        <f>'TPE(9410)'!AL32</f>
        <v>0</v>
      </c>
      <c r="I115" s="219">
        <f t="shared" si="13"/>
        <v>0</v>
      </c>
      <c r="J115" s="2514">
        <f>SUM(I115:I116)</f>
        <v>202950</v>
      </c>
      <c r="K115" s="1638"/>
      <c r="L115"/>
      <c r="M115"/>
      <c r="N115"/>
      <c r="O115"/>
      <c r="P115"/>
    </row>
    <row r="116" spans="2:16" ht="14.25" customHeight="1">
      <c r="B116" s="1636"/>
      <c r="C116" s="2513"/>
      <c r="D116" s="1718" t="str">
        <f>'TPE(9410)'!C33</f>
        <v>G1102-1487-03</v>
      </c>
      <c r="E116" s="17" t="str">
        <f>'TPE(9410)'!D33</f>
        <v>42574263</v>
      </c>
      <c r="F116" s="17" t="str">
        <f>'TPE(9410)'!E33</f>
        <v>M2JO Glass run FR RH</v>
      </c>
      <c r="G116" s="218">
        <f>'TPE(9410)'!F33</f>
        <v>4059</v>
      </c>
      <c r="H116" s="219">
        <f>'TPE(9410)'!AL33</f>
        <v>50</v>
      </c>
      <c r="I116" s="219">
        <f t="shared" si="13"/>
        <v>202950</v>
      </c>
      <c r="J116" s="2515"/>
      <c r="K116" s="1638"/>
      <c r="L116" t="s">
        <v>2262</v>
      </c>
      <c r="M116"/>
      <c r="N116"/>
      <c r="O116"/>
      <c r="P116"/>
    </row>
    <row r="117" spans="2:16" ht="14.25" customHeight="1">
      <c r="B117" s="1636"/>
      <c r="C117" s="2511" t="s">
        <v>201</v>
      </c>
      <c r="D117" s="1309" t="s">
        <v>1803</v>
      </c>
      <c r="E117" s="17" t="s">
        <v>202</v>
      </c>
      <c r="F117" s="17" t="s">
        <v>480</v>
      </c>
      <c r="G117" s="2">
        <f>'TPE(9410)'!F51</f>
        <v>3850</v>
      </c>
      <c r="H117" s="219">
        <f>'TPE(9410)'!AL51</f>
        <v>100</v>
      </c>
      <c r="I117" s="219">
        <f t="shared" si="13"/>
        <v>385000</v>
      </c>
      <c r="J117" s="1027">
        <f>SUM(I117:I122)</f>
        <v>646125</v>
      </c>
      <c r="K117" s="1638"/>
      <c r="L117" s="1024">
        <f>K118+K153</f>
        <v>1206888</v>
      </c>
      <c r="M117"/>
      <c r="N117"/>
      <c r="O117"/>
      <c r="P117"/>
    </row>
    <row r="118" spans="2:16" ht="14.25" customHeight="1">
      <c r="B118" s="1636"/>
      <c r="C118" s="2512"/>
      <c r="D118" s="1309" t="s">
        <v>1858</v>
      </c>
      <c r="E118" s="17" t="s">
        <v>203</v>
      </c>
      <c r="F118" s="17" t="s">
        <v>481</v>
      </c>
      <c r="G118" s="2">
        <f>'TPE(9410)'!F52</f>
        <v>3537</v>
      </c>
      <c r="H118" s="219">
        <f>'TPE(9410)'!AL52</f>
        <v>0</v>
      </c>
      <c r="I118" s="219">
        <f t="shared" si="13"/>
        <v>0</v>
      </c>
      <c r="J118" s="1850"/>
      <c r="K118" s="1638">
        <f>SUM(J99:J144)</f>
        <v>1153978</v>
      </c>
      <c r="L118"/>
      <c r="M118"/>
      <c r="N118"/>
      <c r="O118"/>
      <c r="P118"/>
    </row>
    <row r="119" spans="2:16" ht="14.25" customHeight="1">
      <c r="B119" s="1636"/>
      <c r="C119" s="2512"/>
      <c r="D119" s="1309" t="s">
        <v>1804</v>
      </c>
      <c r="E119" s="17" t="s">
        <v>204</v>
      </c>
      <c r="F119" s="17" t="s">
        <v>482</v>
      </c>
      <c r="G119" s="2">
        <f>'TPE(9410)'!F53</f>
        <v>3327</v>
      </c>
      <c r="H119" s="219">
        <f>'TPE(9410)'!AL53</f>
        <v>65</v>
      </c>
      <c r="I119" s="219">
        <f t="shared" si="13"/>
        <v>216255</v>
      </c>
      <c r="J119" s="1850"/>
      <c r="K119" s="1638"/>
      <c r="L119"/>
      <c r="M119"/>
      <c r="N119"/>
      <c r="O119"/>
      <c r="P119"/>
    </row>
    <row r="120" spans="2:16" ht="14.25" customHeight="1">
      <c r="B120" s="1636"/>
      <c r="C120" s="2512"/>
      <c r="D120" s="1309" t="s">
        <v>1944</v>
      </c>
      <c r="E120" s="17" t="s">
        <v>205</v>
      </c>
      <c r="F120" s="17" t="s">
        <v>483</v>
      </c>
      <c r="G120" s="2">
        <f>'TPE(9410)'!F54</f>
        <v>3854</v>
      </c>
      <c r="H120" s="219">
        <f>'TPE(9410)'!AL54</f>
        <v>0</v>
      </c>
      <c r="I120" s="219">
        <f t="shared" si="13"/>
        <v>0</v>
      </c>
      <c r="J120" s="1850"/>
      <c r="K120" s="1638"/>
      <c r="L120"/>
      <c r="M120"/>
      <c r="N120"/>
      <c r="O120"/>
      <c r="P120"/>
    </row>
    <row r="121" spans="2:16" ht="14.25" customHeight="1">
      <c r="B121" s="1636"/>
      <c r="C121" s="2512"/>
      <c r="D121" s="1309" t="s">
        <v>1945</v>
      </c>
      <c r="E121" s="17" t="s">
        <v>206</v>
      </c>
      <c r="F121" s="17" t="s">
        <v>484</v>
      </c>
      <c r="G121" s="2">
        <f>'TPE(9410)'!F55</f>
        <v>3772</v>
      </c>
      <c r="H121" s="219">
        <f>'TPE(9410)'!AL55</f>
        <v>0</v>
      </c>
      <c r="I121" s="219">
        <f t="shared" si="13"/>
        <v>0</v>
      </c>
      <c r="J121" s="1850"/>
      <c r="K121" s="1638"/>
      <c r="L121"/>
      <c r="M121"/>
      <c r="N121"/>
      <c r="O121"/>
      <c r="P121"/>
    </row>
    <row r="122" spans="2:16" ht="14.25" customHeight="1">
      <c r="B122" s="1636"/>
      <c r="C122" s="2513"/>
      <c r="D122" s="1309" t="s">
        <v>2272</v>
      </c>
      <c r="E122" s="17" t="s">
        <v>207</v>
      </c>
      <c r="F122" s="17" t="s">
        <v>485</v>
      </c>
      <c r="G122" s="2">
        <f>'TPE(9410)'!F56</f>
        <v>3205</v>
      </c>
      <c r="H122" s="219">
        <f>'TPE(9410)'!AL56</f>
        <v>14</v>
      </c>
      <c r="I122" s="219">
        <f t="shared" si="13"/>
        <v>44870</v>
      </c>
      <c r="J122" s="1028"/>
      <c r="K122" s="1638"/>
      <c r="L122"/>
      <c r="M122"/>
      <c r="N122"/>
      <c r="O122"/>
      <c r="P122"/>
    </row>
    <row r="123" spans="2:16" ht="14.25" customHeight="1">
      <c r="B123" s="1636"/>
      <c r="C123" s="1470" t="s">
        <v>2259</v>
      </c>
      <c r="D123" s="1309" t="str">
        <f>'TPE(9410)'!C57</f>
        <v>G1160-0003-03</v>
      </c>
      <c r="E123" s="17" t="str">
        <f>'TPE(9410)'!D57</f>
        <v>81855XA100</v>
      </c>
      <c r="F123" s="17" t="str">
        <f>'TPE(9410)'!E57</f>
        <v>MV1a Power Tail Gate Side Strip LH</v>
      </c>
      <c r="G123" s="2">
        <f>'TPE(9410)'!F57</f>
        <v>1657</v>
      </c>
      <c r="H123" s="219">
        <f>'TPE(9410)'!AL57</f>
        <v>3</v>
      </c>
      <c r="I123" s="219">
        <f t="shared" si="13"/>
        <v>4971</v>
      </c>
      <c r="J123" s="1027">
        <f>SUM(I123:I127)</f>
        <v>74017</v>
      </c>
      <c r="K123" s="1638"/>
      <c r="L123"/>
      <c r="M123"/>
      <c r="N123"/>
      <c r="O123"/>
      <c r="P123"/>
    </row>
    <row r="124" spans="2:16" ht="14.25" customHeight="1">
      <c r="B124" s="1636"/>
      <c r="C124" s="1470"/>
      <c r="D124" s="1309" t="str">
        <f>'TPE(9410)'!C58</f>
        <v>G1103-1871-01</v>
      </c>
      <c r="E124" s="17" t="str">
        <f>'TPE(9410)'!D58</f>
        <v>82130PI000</v>
      </c>
      <c r="F124" s="17" t="str">
        <f>'TPE(9410)'!E58</f>
        <v>NE1a Door Side FR LH</v>
      </c>
      <c r="G124" s="2">
        <f>'TPE(9410)'!F58</f>
        <v>4379</v>
      </c>
      <c r="H124" s="219">
        <f>'TPE(9410)'!AL58</f>
        <v>8</v>
      </c>
      <c r="I124" s="219">
        <f t="shared" si="13"/>
        <v>35032</v>
      </c>
      <c r="J124" s="1850"/>
      <c r="K124" s="1638"/>
      <c r="L124"/>
      <c r="M124"/>
      <c r="N124"/>
      <c r="O124"/>
      <c r="P124"/>
    </row>
    <row r="125" spans="2:16" ht="14.25" customHeight="1">
      <c r="B125" s="1636"/>
      <c r="C125" s="1470" t="s">
        <v>2260</v>
      </c>
      <c r="D125" s="1309" t="str">
        <f>'TPE(9410)'!C59</f>
        <v>G1103-1872-01</v>
      </c>
      <c r="E125" s="17" t="str">
        <f>'TPE(9410)'!D59</f>
        <v>82140PI000</v>
      </c>
      <c r="F125" s="17" t="str">
        <f>'TPE(9410)'!E59</f>
        <v>NE1a Door Side FR RH</v>
      </c>
      <c r="G125" s="2">
        <f>'TPE(9410)'!F59</f>
        <v>4379</v>
      </c>
      <c r="H125" s="219">
        <f>'TPE(9410)'!AL59</f>
        <v>2</v>
      </c>
      <c r="I125" s="219">
        <f t="shared" si="13"/>
        <v>8758</v>
      </c>
      <c r="J125" s="1850"/>
      <c r="K125" s="1638"/>
      <c r="L125"/>
      <c r="M125"/>
      <c r="N125"/>
      <c r="O125"/>
      <c r="P125"/>
    </row>
    <row r="126" spans="2:16" ht="14.25" customHeight="1">
      <c r="B126" s="1636"/>
      <c r="C126" s="1470" t="s">
        <v>2260</v>
      </c>
      <c r="D126" s="1309" t="str">
        <f>'TPE(9410)'!C60</f>
        <v>G1103-1874-01</v>
      </c>
      <c r="E126" s="17" t="str">
        <f>'TPE(9410)'!D60</f>
        <v>83140PI000</v>
      </c>
      <c r="F126" s="17" t="str">
        <f>'TPE(9410)'!E60</f>
        <v>NE1a Door Side RR RH</v>
      </c>
      <c r="G126" s="2">
        <f>'TPE(9410)'!F60</f>
        <v>4898</v>
      </c>
      <c r="H126" s="219">
        <f>'TPE(9410)'!AL60</f>
        <v>4</v>
      </c>
      <c r="I126" s="219">
        <f t="shared" si="13"/>
        <v>19592</v>
      </c>
      <c r="J126" s="1850"/>
      <c r="K126" s="1638"/>
      <c r="L126"/>
      <c r="M126"/>
      <c r="N126"/>
      <c r="O126"/>
      <c r="P126"/>
    </row>
    <row r="127" spans="2:16" ht="14.25" customHeight="1">
      <c r="B127" s="1636"/>
      <c r="C127" s="1470" t="s">
        <v>2261</v>
      </c>
      <c r="D127" s="1309" t="str">
        <f>'TPE(9410)'!C61</f>
        <v>G1125-0082-01</v>
      </c>
      <c r="E127" s="17" t="str">
        <f>'TPE(9410)'!D61</f>
        <v>831A0TD000</v>
      </c>
      <c r="F127" s="17" t="str">
        <f>'TPE(9410)'!E61</f>
        <v xml:space="preserve">ME1a Center Pillar Seal RR LH </v>
      </c>
      <c r="G127" s="2">
        <f>'TPE(9410)'!F61</f>
        <v>1416</v>
      </c>
      <c r="H127" s="219">
        <f>'TPE(9410)'!AL61</f>
        <v>4</v>
      </c>
      <c r="I127" s="219">
        <f t="shared" si="13"/>
        <v>5664</v>
      </c>
      <c r="J127" s="1028"/>
      <c r="K127" s="1638"/>
      <c r="L127"/>
      <c r="M127"/>
      <c r="N127"/>
      <c r="O127"/>
      <c r="P127"/>
    </row>
    <row r="128" spans="2:16" ht="14.25" customHeight="1">
      <c r="B128" s="1636"/>
      <c r="C128" s="1718" t="s">
        <v>1387</v>
      </c>
      <c r="D128" s="1725" t="str">
        <f>'[6]TPE(9410)'!C55</f>
        <v>G1110-0171-01</v>
      </c>
      <c r="E128" s="17" t="s">
        <v>1388</v>
      </c>
      <c r="F128" s="17" t="s">
        <v>1386</v>
      </c>
      <c r="G128" s="2">
        <f>'TPE(9410)'!F62</f>
        <v>1694</v>
      </c>
      <c r="H128" s="219">
        <f>'TPE(9410)'!AL62</f>
        <v>130</v>
      </c>
      <c r="I128" s="219">
        <f t="shared" si="13"/>
        <v>220220</v>
      </c>
      <c r="J128" s="2244">
        <f>I128</f>
        <v>220220</v>
      </c>
      <c r="K128" s="1638"/>
      <c r="L128"/>
      <c r="M128"/>
      <c r="N128"/>
      <c r="O128"/>
      <c r="P128"/>
    </row>
    <row r="129" spans="2:16" ht="14.25" hidden="1" customHeight="1">
      <c r="B129" s="1636"/>
      <c r="C129" s="2511" t="s">
        <v>230</v>
      </c>
      <c r="D129" s="1309"/>
      <c r="E129" s="17" t="s">
        <v>231</v>
      </c>
      <c r="F129" s="17" t="s">
        <v>182</v>
      </c>
      <c r="G129" s="218">
        <v>539</v>
      </c>
      <c r="H129" s="219">
        <f>'OWF101'!AK6</f>
        <v>0</v>
      </c>
      <c r="I129" s="219">
        <f t="shared" ref="I129:I164" si="14">SUM(G129*H129)</f>
        <v>0</v>
      </c>
      <c r="J129" s="1027">
        <f>SUM(I129:I132)</f>
        <v>0</v>
      </c>
      <c r="K129" s="1638"/>
      <c r="L129"/>
      <c r="M129"/>
      <c r="N129"/>
      <c r="O129"/>
      <c r="P129"/>
    </row>
    <row r="130" spans="2:16" ht="14.25" hidden="1" customHeight="1">
      <c r="B130" s="1636"/>
      <c r="C130" s="2512"/>
      <c r="D130" s="1309"/>
      <c r="E130" s="17" t="s">
        <v>232</v>
      </c>
      <c r="F130" s="17" t="s">
        <v>183</v>
      </c>
      <c r="G130" s="218">
        <v>539</v>
      </c>
      <c r="H130" s="219">
        <f>'OWF101'!AK7</f>
        <v>0</v>
      </c>
      <c r="I130" s="219">
        <f t="shared" si="14"/>
        <v>0</v>
      </c>
      <c r="J130" s="1850"/>
      <c r="K130" s="1638"/>
      <c r="L130"/>
      <c r="M130"/>
      <c r="N130"/>
      <c r="O130"/>
      <c r="P130"/>
    </row>
    <row r="131" spans="2:16" ht="14.25" hidden="1" customHeight="1">
      <c r="B131" s="1636"/>
      <c r="C131" s="2512"/>
      <c r="D131" s="1309"/>
      <c r="E131" s="17" t="s">
        <v>233</v>
      </c>
      <c r="F131" s="17" t="s">
        <v>184</v>
      </c>
      <c r="G131" s="218">
        <f>'OWF101'!E8</f>
        <v>541</v>
      </c>
      <c r="H131" s="219">
        <f>'OWF101'!AK8</f>
        <v>0</v>
      </c>
      <c r="I131" s="219">
        <f t="shared" si="14"/>
        <v>0</v>
      </c>
      <c r="J131" s="1850"/>
      <c r="K131" s="1638"/>
      <c r="L131"/>
      <c r="M131"/>
      <c r="N131"/>
      <c r="O131"/>
      <c r="P131"/>
    </row>
    <row r="132" spans="2:16" ht="14.25" hidden="1" customHeight="1">
      <c r="B132" s="1636"/>
      <c r="C132" s="2513"/>
      <c r="D132" s="1309"/>
      <c r="E132" s="17" t="s">
        <v>234</v>
      </c>
      <c r="F132" s="17" t="s">
        <v>185</v>
      </c>
      <c r="G132" s="218">
        <f>'OWF101'!E9</f>
        <v>562</v>
      </c>
      <c r="H132" s="219">
        <f>'OWF101'!AK9</f>
        <v>0</v>
      </c>
      <c r="I132" s="219">
        <f t="shared" si="14"/>
        <v>0</v>
      </c>
      <c r="J132" s="1028"/>
      <c r="K132" s="1638"/>
      <c r="L132"/>
      <c r="M132"/>
      <c r="N132"/>
      <c r="O132"/>
      <c r="P132"/>
    </row>
    <row r="133" spans="2:16" ht="14.25" hidden="1" customHeight="1">
      <c r="B133" s="1636"/>
      <c r="C133" s="2545" t="s">
        <v>283</v>
      </c>
      <c r="D133" s="1468"/>
      <c r="E133" s="17">
        <v>95215384</v>
      </c>
      <c r="F133" s="17" t="s">
        <v>182</v>
      </c>
      <c r="G133" s="218">
        <f>'OWF101'!E10</f>
        <v>747</v>
      </c>
      <c r="H133" s="219">
        <f>'OWF101'!AK10</f>
        <v>0</v>
      </c>
      <c r="I133" s="219">
        <f t="shared" si="14"/>
        <v>0</v>
      </c>
      <c r="J133" s="2514">
        <f>SUM(I133:I136)</f>
        <v>0</v>
      </c>
      <c r="K133" s="1638"/>
      <c r="L133"/>
      <c r="M133"/>
      <c r="N133"/>
      <c r="O133"/>
      <c r="P133"/>
    </row>
    <row r="134" spans="2:16" ht="14.25" hidden="1" customHeight="1">
      <c r="B134" s="1636"/>
      <c r="C134" s="2546"/>
      <c r="D134" s="1309"/>
      <c r="E134" s="17">
        <v>95215385</v>
      </c>
      <c r="F134" s="17" t="s">
        <v>183</v>
      </c>
      <c r="G134" s="218">
        <f>'OWF101'!E11</f>
        <v>747</v>
      </c>
      <c r="H134" s="219">
        <f>'OWF101'!AK11</f>
        <v>0</v>
      </c>
      <c r="I134" s="219">
        <f t="shared" si="14"/>
        <v>0</v>
      </c>
      <c r="J134" s="2516"/>
      <c r="K134" s="1638"/>
      <c r="L134"/>
      <c r="M134"/>
      <c r="N134"/>
      <c r="O134"/>
      <c r="P134"/>
    </row>
    <row r="135" spans="2:16" ht="14.25" hidden="1" customHeight="1">
      <c r="B135" s="1636"/>
      <c r="C135" s="2546"/>
      <c r="D135" s="1309"/>
      <c r="E135" s="17">
        <v>95971339</v>
      </c>
      <c r="F135" s="17" t="s">
        <v>184</v>
      </c>
      <c r="G135" s="218">
        <f>'OWF101'!E12</f>
        <v>706</v>
      </c>
      <c r="H135" s="219">
        <f>'OWF101'!AK12</f>
        <v>0</v>
      </c>
      <c r="I135" s="219">
        <f t="shared" si="14"/>
        <v>0</v>
      </c>
      <c r="J135" s="2516"/>
      <c r="K135" s="1638"/>
      <c r="L135"/>
      <c r="M135"/>
      <c r="N135"/>
      <c r="O135"/>
      <c r="P135"/>
    </row>
    <row r="136" spans="2:16" ht="14.25" hidden="1" customHeight="1">
      <c r="B136" s="1636"/>
      <c r="C136" s="2547"/>
      <c r="D136" s="1309"/>
      <c r="E136" s="17">
        <v>95971340</v>
      </c>
      <c r="F136" s="17" t="s">
        <v>185</v>
      </c>
      <c r="G136" s="218">
        <f>'OWF101'!E13</f>
        <v>706</v>
      </c>
      <c r="H136" s="219">
        <f>'OWF101'!AK13</f>
        <v>0</v>
      </c>
      <c r="I136" s="219">
        <f t="shared" si="14"/>
        <v>0</v>
      </c>
      <c r="J136" s="2515"/>
      <c r="K136" s="1638"/>
      <c r="L136"/>
      <c r="M136"/>
      <c r="N136"/>
      <c r="O136"/>
      <c r="P136"/>
    </row>
    <row r="137" spans="2:16" ht="14.25" hidden="1" customHeight="1">
      <c r="B137" s="1636"/>
      <c r="C137" s="2511" t="s">
        <v>22</v>
      </c>
      <c r="D137" s="1309"/>
      <c r="E137" s="17">
        <v>95297763</v>
      </c>
      <c r="F137" s="17" t="s">
        <v>182</v>
      </c>
      <c r="G137" s="2">
        <f>'OWF101'!E14</f>
        <v>863</v>
      </c>
      <c r="H137" s="219">
        <f>'OWF101'!AK14</f>
        <v>0</v>
      </c>
      <c r="I137" s="219">
        <f t="shared" ref="I137:I144" si="15">G137*H137</f>
        <v>0</v>
      </c>
      <c r="J137" s="2514">
        <f>SUM(I137:I140)</f>
        <v>0</v>
      </c>
      <c r="K137" s="1638"/>
      <c r="L137"/>
      <c r="M137"/>
      <c r="N137"/>
      <c r="O137"/>
      <c r="P137"/>
    </row>
    <row r="138" spans="2:16" ht="14.25" hidden="1" customHeight="1">
      <c r="B138" s="1636"/>
      <c r="C138" s="2512"/>
      <c r="D138" s="1309"/>
      <c r="E138" s="17">
        <v>95297764</v>
      </c>
      <c r="F138" s="17" t="s">
        <v>183</v>
      </c>
      <c r="G138" s="2">
        <f>'OWF101'!E15</f>
        <v>863</v>
      </c>
      <c r="H138" s="219">
        <f>'OWF101'!AK15</f>
        <v>0</v>
      </c>
      <c r="I138" s="219">
        <f t="shared" si="15"/>
        <v>0</v>
      </c>
      <c r="J138" s="2516"/>
      <c r="K138" s="1638"/>
      <c r="L138"/>
      <c r="M138"/>
      <c r="N138"/>
      <c r="O138"/>
      <c r="P138"/>
    </row>
    <row r="139" spans="2:16" ht="14.25" hidden="1" customHeight="1">
      <c r="B139" s="1636"/>
      <c r="C139" s="2512"/>
      <c r="D139" s="1309"/>
      <c r="E139" s="17">
        <v>42348903</v>
      </c>
      <c r="F139" s="17" t="s">
        <v>184</v>
      </c>
      <c r="G139" s="2">
        <f>'OWF101'!E16</f>
        <v>831</v>
      </c>
      <c r="H139" s="219">
        <f>'OWF101'!AK16</f>
        <v>0</v>
      </c>
      <c r="I139" s="219">
        <f t="shared" si="15"/>
        <v>0</v>
      </c>
      <c r="J139" s="2516"/>
      <c r="K139" s="1638"/>
      <c r="L139"/>
      <c r="M139"/>
      <c r="N139"/>
      <c r="O139"/>
      <c r="P139"/>
    </row>
    <row r="140" spans="2:16" ht="14.25" hidden="1" customHeight="1">
      <c r="B140" s="1636"/>
      <c r="C140" s="2513"/>
      <c r="D140" s="1309"/>
      <c r="E140" s="17">
        <v>42348904</v>
      </c>
      <c r="F140" s="17" t="s">
        <v>185</v>
      </c>
      <c r="G140" s="2">
        <f>'OWF101'!E17</f>
        <v>831</v>
      </c>
      <c r="H140" s="219">
        <f>'OWF101'!AK17</f>
        <v>0</v>
      </c>
      <c r="I140" s="219">
        <f t="shared" si="15"/>
        <v>0</v>
      </c>
      <c r="J140" s="2515"/>
      <c r="K140" s="1638"/>
      <c r="L140"/>
      <c r="M140"/>
      <c r="N140"/>
      <c r="O140"/>
      <c r="P140"/>
    </row>
    <row r="141" spans="2:16" ht="14.25" hidden="1" customHeight="1">
      <c r="B141" s="1636"/>
      <c r="C141" s="2545" t="s">
        <v>244</v>
      </c>
      <c r="D141" s="1468"/>
      <c r="E141" s="17">
        <v>95319954</v>
      </c>
      <c r="F141" s="17" t="s">
        <v>182</v>
      </c>
      <c r="G141" s="2">
        <f>'OWF101'!E20</f>
        <v>749</v>
      </c>
      <c r="H141" s="219">
        <f>'OWF101'!AK20</f>
        <v>0</v>
      </c>
      <c r="I141" s="219">
        <f t="shared" si="15"/>
        <v>0</v>
      </c>
      <c r="J141" s="2514">
        <f>SUM(I141:I144)</f>
        <v>0</v>
      </c>
      <c r="K141" s="1638"/>
      <c r="L141"/>
      <c r="M141"/>
      <c r="N141"/>
      <c r="O141"/>
      <c r="P141"/>
    </row>
    <row r="142" spans="2:16" ht="14.25" hidden="1" customHeight="1">
      <c r="B142" s="1636"/>
      <c r="C142" s="2546"/>
      <c r="D142" s="1468"/>
      <c r="E142" s="17">
        <v>95319955</v>
      </c>
      <c r="F142" s="17" t="s">
        <v>183</v>
      </c>
      <c r="G142" s="2">
        <f>'OWF101'!E21</f>
        <v>708</v>
      </c>
      <c r="H142" s="219">
        <f>'OWF101'!AK21</f>
        <v>0</v>
      </c>
      <c r="I142" s="219">
        <f t="shared" si="15"/>
        <v>0</v>
      </c>
      <c r="J142" s="2516"/>
      <c r="K142" s="1638"/>
      <c r="L142"/>
      <c r="M142"/>
      <c r="N142"/>
      <c r="O142"/>
      <c r="P142"/>
    </row>
    <row r="143" spans="2:16" ht="14.25" hidden="1" customHeight="1">
      <c r="B143" s="1636"/>
      <c r="C143" s="2546"/>
      <c r="D143" s="1468"/>
      <c r="E143" s="17">
        <v>42348901</v>
      </c>
      <c r="F143" s="17" t="s">
        <v>184</v>
      </c>
      <c r="G143" s="2">
        <f>'OWF101'!E22</f>
        <v>668</v>
      </c>
      <c r="H143" s="219">
        <f>'OWF101'!AK22</f>
        <v>0</v>
      </c>
      <c r="I143" s="219">
        <f t="shared" si="15"/>
        <v>0</v>
      </c>
      <c r="J143" s="2516"/>
      <c r="K143" s="1638"/>
      <c r="L143"/>
      <c r="M143"/>
      <c r="N143"/>
      <c r="O143"/>
      <c r="P143"/>
    </row>
    <row r="144" spans="2:16" ht="14.25" hidden="1" customHeight="1" thickBot="1">
      <c r="B144" s="1637"/>
      <c r="C144" s="2549"/>
      <c r="D144" s="1469"/>
      <c r="E144" s="51">
        <v>42348902</v>
      </c>
      <c r="F144" s="51" t="s">
        <v>185</v>
      </c>
      <c r="G144" s="336">
        <f>'OWF101'!E23</f>
        <v>668</v>
      </c>
      <c r="H144" s="220">
        <f>'OWF101'!AK23</f>
        <v>0</v>
      </c>
      <c r="I144" s="220">
        <f t="shared" si="15"/>
        <v>0</v>
      </c>
      <c r="J144" s="2542"/>
      <c r="K144" s="1639"/>
      <c r="L144"/>
      <c r="M144"/>
      <c r="N144"/>
      <c r="O144"/>
      <c r="P144"/>
    </row>
    <row r="145" spans="2:16" ht="17.399999999999999">
      <c r="B145" s="2519" t="s">
        <v>229</v>
      </c>
      <c r="C145" s="2521" t="s">
        <v>210</v>
      </c>
      <c r="D145" s="1746" t="s">
        <v>2236</v>
      </c>
      <c r="E145" s="48" t="s">
        <v>211</v>
      </c>
      <c r="F145" s="48" t="s">
        <v>182</v>
      </c>
      <c r="G145" s="595">
        <f>'TNC(tncol)'!E6</f>
        <v>2629</v>
      </c>
      <c r="H145" s="217">
        <f>'TNC(tncol)'!AK6</f>
        <v>0</v>
      </c>
      <c r="I145" s="217">
        <f t="shared" si="14"/>
        <v>0</v>
      </c>
      <c r="J145" s="2537">
        <f>SUM(I145:I148)</f>
        <v>0</v>
      </c>
      <c r="K145" s="2245"/>
      <c r="L145"/>
      <c r="M145"/>
      <c r="N145"/>
      <c r="O145"/>
      <c r="P145"/>
    </row>
    <row r="146" spans="2:16" ht="17.399999999999999">
      <c r="B146" s="2519"/>
      <c r="C146" s="2522"/>
      <c r="D146" s="1746"/>
      <c r="E146" s="48" t="s">
        <v>9</v>
      </c>
      <c r="F146" s="17" t="s">
        <v>183</v>
      </c>
      <c r="G146" s="2">
        <f>'TNC(tncol)'!E7</f>
        <v>2629</v>
      </c>
      <c r="H146" s="219">
        <f>'TNC(tncol)'!AK7</f>
        <v>0</v>
      </c>
      <c r="I146" s="219">
        <f t="shared" si="14"/>
        <v>0</v>
      </c>
      <c r="J146" s="2537"/>
      <c r="K146" s="2245"/>
      <c r="L146"/>
      <c r="M146"/>
      <c r="N146"/>
      <c r="O146"/>
      <c r="P146"/>
    </row>
    <row r="147" spans="2:16" ht="17.399999999999999">
      <c r="B147" s="2519"/>
      <c r="C147" s="2522"/>
      <c r="D147" s="1746"/>
      <c r="E147" s="48" t="s">
        <v>213</v>
      </c>
      <c r="F147" s="17" t="s">
        <v>184</v>
      </c>
      <c r="G147" s="2">
        <f>'TNC(tncol)'!E8</f>
        <v>2756</v>
      </c>
      <c r="H147" s="219">
        <f>'TNC(tncol)'!AK8</f>
        <v>0</v>
      </c>
      <c r="I147" s="219">
        <f t="shared" si="14"/>
        <v>0</v>
      </c>
      <c r="J147" s="2537"/>
      <c r="K147" s="2245"/>
      <c r="L147"/>
      <c r="M147"/>
      <c r="N147"/>
      <c r="O147"/>
      <c r="P147"/>
    </row>
    <row r="148" spans="2:16" ht="18" thickBot="1">
      <c r="B148" s="2520"/>
      <c r="C148" s="2523"/>
      <c r="D148" s="1748"/>
      <c r="E148" s="51" t="s">
        <v>215</v>
      </c>
      <c r="F148" s="51" t="s">
        <v>185</v>
      </c>
      <c r="G148" s="335">
        <f>'TNC(tncol)'!E9</f>
        <v>2756</v>
      </c>
      <c r="H148" s="225">
        <f>'TNC(tncol)'!AK9</f>
        <v>0</v>
      </c>
      <c r="I148" s="220">
        <f t="shared" si="14"/>
        <v>0</v>
      </c>
      <c r="J148" s="2538"/>
      <c r="K148" s="2245"/>
      <c r="L148"/>
      <c r="M148"/>
      <c r="N148"/>
      <c r="O148"/>
      <c r="P148"/>
    </row>
    <row r="149" spans="2:16" ht="16.5" customHeight="1">
      <c r="B149" s="2519" t="s">
        <v>229</v>
      </c>
      <c r="C149" s="2521" t="s">
        <v>216</v>
      </c>
      <c r="D149" s="1746"/>
      <c r="E149" s="48" t="s">
        <v>11</v>
      </c>
      <c r="F149" s="35" t="s">
        <v>182</v>
      </c>
      <c r="G149" s="216">
        <f>'TNC(tncol)'!E10</f>
        <v>4980</v>
      </c>
      <c r="H149" s="224">
        <f>'TNC(tncol)'!AK10</f>
        <v>0</v>
      </c>
      <c r="I149" s="217">
        <f t="shared" si="14"/>
        <v>0</v>
      </c>
      <c r="J149" s="1866"/>
      <c r="K149" s="2245"/>
      <c r="L149"/>
      <c r="M149"/>
      <c r="N149"/>
      <c r="O149"/>
      <c r="P149"/>
    </row>
    <row r="150" spans="2:16" ht="16.5" customHeight="1">
      <c r="B150" s="2519"/>
      <c r="C150" s="2522"/>
      <c r="D150" s="1746"/>
      <c r="E150" s="48" t="s">
        <v>217</v>
      </c>
      <c r="F150" s="17" t="s">
        <v>183</v>
      </c>
      <c r="G150" s="218">
        <f>'TNC(tncol)'!E11</f>
        <v>5021</v>
      </c>
      <c r="H150" s="219">
        <f>'TNC(tncol)'!AK11</f>
        <v>0</v>
      </c>
      <c r="I150" s="219">
        <f t="shared" si="14"/>
        <v>0</v>
      </c>
      <c r="J150" s="1866"/>
      <c r="K150" s="2245"/>
      <c r="L150"/>
      <c r="M150"/>
      <c r="N150"/>
      <c r="O150"/>
      <c r="P150"/>
    </row>
    <row r="151" spans="2:16" ht="17.399999999999999">
      <c r="B151" s="2519"/>
      <c r="C151" s="2522"/>
      <c r="D151" s="1746" t="s">
        <v>1805</v>
      </c>
      <c r="E151" s="48" t="s">
        <v>12</v>
      </c>
      <c r="F151" s="17" t="s">
        <v>184</v>
      </c>
      <c r="G151" s="218">
        <f>'TNC(tncol)'!E12</f>
        <v>4356</v>
      </c>
      <c r="H151" s="219">
        <f>'TNC(tncol)'!AK12</f>
        <v>0</v>
      </c>
      <c r="I151" s="219">
        <f t="shared" si="14"/>
        <v>0</v>
      </c>
      <c r="J151" s="1866">
        <f>I151</f>
        <v>0</v>
      </c>
      <c r="K151" s="2245"/>
      <c r="L151"/>
      <c r="M151"/>
      <c r="N151"/>
      <c r="O151"/>
      <c r="P151"/>
    </row>
    <row r="152" spans="2:16" ht="18" thickBot="1">
      <c r="B152" s="2520"/>
      <c r="C152" s="2523"/>
      <c r="D152" s="1723"/>
      <c r="E152" s="128" t="s">
        <v>218</v>
      </c>
      <c r="F152" s="51" t="s">
        <v>185</v>
      </c>
      <c r="G152" s="227">
        <f>'TNC(tncol)'!E13</f>
        <v>4337</v>
      </c>
      <c r="H152" s="220">
        <f>'TNC(tncol)'!AK13</f>
        <v>0</v>
      </c>
      <c r="I152" s="220">
        <f t="shared" si="14"/>
        <v>0</v>
      </c>
      <c r="J152" s="1417"/>
      <c r="K152" s="2245"/>
      <c r="L152"/>
      <c r="M152"/>
      <c r="N152"/>
      <c r="O152"/>
      <c r="P152"/>
    </row>
    <row r="153" spans="2:16" ht="17.399999999999999">
      <c r="B153" s="2539" t="s">
        <v>229</v>
      </c>
      <c r="C153" s="2540" t="s">
        <v>219</v>
      </c>
      <c r="D153" s="1749" t="s">
        <v>2245</v>
      </c>
      <c r="E153" s="1745" t="s">
        <v>463</v>
      </c>
      <c r="F153" s="35" t="s">
        <v>486</v>
      </c>
      <c r="G153" s="216">
        <f>'TNC(tncol)'!E14</f>
        <v>2615</v>
      </c>
      <c r="H153" s="222">
        <f>'TNC(tncol)'!AK14</f>
        <v>12</v>
      </c>
      <c r="I153" s="217">
        <f t="shared" si="14"/>
        <v>31380</v>
      </c>
      <c r="J153" s="2273">
        <f>SUM(I153:I156)</f>
        <v>35414</v>
      </c>
      <c r="K153" s="2245">
        <f>SUM(J145:J164)</f>
        <v>52910</v>
      </c>
      <c r="L153"/>
      <c r="M153"/>
      <c r="N153"/>
      <c r="O153"/>
      <c r="P153"/>
    </row>
    <row r="154" spans="2:16" ht="17.399999999999999">
      <c r="B154" s="2519"/>
      <c r="C154" s="2522"/>
      <c r="D154" s="1747"/>
      <c r="E154" s="17" t="s">
        <v>464</v>
      </c>
      <c r="F154" s="17" t="s">
        <v>487</v>
      </c>
      <c r="G154" s="218">
        <f>'TNC(tncol)'!E15</f>
        <v>2615</v>
      </c>
      <c r="H154" s="219">
        <f>'TNC(tncol)'!AK15</f>
        <v>0</v>
      </c>
      <c r="I154" s="219">
        <f t="shared" si="14"/>
        <v>0</v>
      </c>
      <c r="J154" s="1866"/>
      <c r="K154" s="2245"/>
      <c r="L154"/>
      <c r="M154"/>
      <c r="N154"/>
      <c r="O154"/>
      <c r="P154"/>
    </row>
    <row r="155" spans="2:16" ht="17.399999999999999">
      <c r="B155" s="2519"/>
      <c r="C155" s="2522"/>
      <c r="D155" s="1747" t="s">
        <v>2246</v>
      </c>
      <c r="E155" s="17" t="s">
        <v>465</v>
      </c>
      <c r="F155" s="17" t="s">
        <v>488</v>
      </c>
      <c r="G155" s="218">
        <v>4034</v>
      </c>
      <c r="H155" s="219">
        <f>'TNC(tncol)'!AK16</f>
        <v>1</v>
      </c>
      <c r="I155" s="219">
        <f t="shared" si="14"/>
        <v>4034</v>
      </c>
      <c r="J155" s="1866"/>
      <c r="K155" s="2245"/>
      <c r="L155"/>
      <c r="M155"/>
      <c r="N155"/>
      <c r="O155"/>
      <c r="P155"/>
    </row>
    <row r="156" spans="2:16" ht="17.399999999999999">
      <c r="B156" s="2519"/>
      <c r="C156" s="2522"/>
      <c r="D156" s="1750"/>
      <c r="E156" s="212" t="s">
        <v>466</v>
      </c>
      <c r="F156" s="212" t="s">
        <v>489</v>
      </c>
      <c r="G156" s="218">
        <f>'TNC(tncol)'!E17</f>
        <v>4053</v>
      </c>
      <c r="H156" s="224">
        <f>'TNC(tncol)'!AK17</f>
        <v>0</v>
      </c>
      <c r="I156" s="219">
        <f t="shared" si="14"/>
        <v>0</v>
      </c>
      <c r="J156" s="1866"/>
      <c r="K156" s="2245"/>
      <c r="L156"/>
      <c r="M156"/>
      <c r="N156"/>
      <c r="O156"/>
      <c r="P156"/>
    </row>
    <row r="157" spans="2:16" ht="17.399999999999999">
      <c r="B157" s="2519"/>
      <c r="C157" s="2522" t="s">
        <v>491</v>
      </c>
      <c r="D157" s="1747"/>
      <c r="E157" s="17" t="s">
        <v>467</v>
      </c>
      <c r="F157" s="17" t="s">
        <v>488</v>
      </c>
      <c r="G157" s="218">
        <f>'TNC(tncol)'!E18</f>
        <v>3887</v>
      </c>
      <c r="H157" s="219">
        <f>'TNC(tncol)'!AK18</f>
        <v>0</v>
      </c>
      <c r="I157" s="219">
        <f t="shared" si="14"/>
        <v>0</v>
      </c>
      <c r="J157" s="1416">
        <f>SUM(I157:I158)</f>
        <v>0</v>
      </c>
      <c r="K157" s="2245"/>
      <c r="L157"/>
      <c r="M157"/>
      <c r="N157"/>
      <c r="O157"/>
      <c r="P157"/>
    </row>
    <row r="158" spans="2:16" ht="18" thickBot="1">
      <c r="B158" s="2520"/>
      <c r="C158" s="2541"/>
      <c r="D158" s="1750"/>
      <c r="E158" s="212" t="s">
        <v>468</v>
      </c>
      <c r="F158" s="212" t="s">
        <v>489</v>
      </c>
      <c r="G158" s="221">
        <f>'TNC(tncol)'!E19</f>
        <v>3863</v>
      </c>
      <c r="H158" s="228">
        <f>'TNC(tncol)'!AK19</f>
        <v>0</v>
      </c>
      <c r="I158" s="220">
        <f t="shared" si="14"/>
        <v>0</v>
      </c>
      <c r="J158" s="1417"/>
      <c r="K158" s="2245"/>
      <c r="L158"/>
      <c r="M158"/>
      <c r="N158"/>
      <c r="O158"/>
      <c r="P158"/>
    </row>
    <row r="159" spans="2:16" ht="17.399999999999999">
      <c r="B159" s="2539" t="s">
        <v>229</v>
      </c>
      <c r="C159" s="2540" t="s">
        <v>13</v>
      </c>
      <c r="D159" s="1749"/>
      <c r="E159" s="1745" t="s">
        <v>226</v>
      </c>
      <c r="F159" s="35" t="s">
        <v>486</v>
      </c>
      <c r="G159" s="216">
        <f>'TNC(tncol)'!E20</f>
        <v>1469</v>
      </c>
      <c r="H159" s="222">
        <f>'TNC(tncol)'!AK20</f>
        <v>0</v>
      </c>
      <c r="I159" s="222">
        <f t="shared" si="14"/>
        <v>0</v>
      </c>
      <c r="J159" s="2273">
        <f>SUM(I159:I162)</f>
        <v>17496</v>
      </c>
      <c r="K159" s="2245"/>
      <c r="L159"/>
      <c r="M159"/>
      <c r="N159"/>
      <c r="O159"/>
      <c r="P159"/>
    </row>
    <row r="160" spans="2:16" ht="17.399999999999999">
      <c r="B160" s="2519"/>
      <c r="C160" s="2522"/>
      <c r="D160" s="1747" t="s">
        <v>2273</v>
      </c>
      <c r="E160" s="17" t="s">
        <v>14</v>
      </c>
      <c r="F160" s="17" t="s">
        <v>487</v>
      </c>
      <c r="G160" s="218">
        <f>'TNC(tncol)'!E21</f>
        <v>1531</v>
      </c>
      <c r="H160" s="219">
        <f>'TNC(tncol)'!AK21</f>
        <v>6</v>
      </c>
      <c r="I160" s="219">
        <f t="shared" si="14"/>
        <v>9186</v>
      </c>
      <c r="J160" s="1866"/>
      <c r="K160" s="2245"/>
      <c r="L160"/>
      <c r="M160"/>
      <c r="N160"/>
      <c r="O160"/>
      <c r="P160"/>
    </row>
    <row r="161" spans="2:16" ht="18" customHeight="1">
      <c r="B161" s="2519"/>
      <c r="C161" s="2522"/>
      <c r="D161" s="1747"/>
      <c r="E161" s="17" t="s">
        <v>15</v>
      </c>
      <c r="F161" s="17" t="s">
        <v>488</v>
      </c>
      <c r="G161" s="218">
        <f>'TNC(tncol)'!E22</f>
        <v>1655</v>
      </c>
      <c r="H161" s="219">
        <f>'TNC(tncol)'!AK22</f>
        <v>0</v>
      </c>
      <c r="I161" s="219">
        <f t="shared" si="14"/>
        <v>0</v>
      </c>
      <c r="J161" s="1866"/>
      <c r="K161" s="2245"/>
      <c r="L161"/>
      <c r="M161"/>
      <c r="N161"/>
      <c r="O161"/>
      <c r="P161"/>
    </row>
    <row r="162" spans="2:16" ht="17.399999999999999">
      <c r="B162" s="2519"/>
      <c r="C162" s="2522"/>
      <c r="D162" s="1750" t="s">
        <v>2274</v>
      </c>
      <c r="E162" s="212" t="s">
        <v>16</v>
      </c>
      <c r="F162" s="212" t="s">
        <v>489</v>
      </c>
      <c r="G162" s="218">
        <f>'TNC(tncol)'!E23</f>
        <v>1662</v>
      </c>
      <c r="H162" s="224">
        <f>'TNC(tncol)'!AK23</f>
        <v>5</v>
      </c>
      <c r="I162" s="219">
        <f t="shared" si="14"/>
        <v>8310</v>
      </c>
      <c r="J162" s="1866"/>
      <c r="K162" s="2245"/>
      <c r="L162"/>
      <c r="M162"/>
      <c r="N162"/>
      <c r="O162"/>
      <c r="P162"/>
    </row>
    <row r="163" spans="2:16" ht="17.399999999999999">
      <c r="B163" s="2519"/>
      <c r="C163" s="2522" t="s">
        <v>284</v>
      </c>
      <c r="D163" s="1747"/>
      <c r="E163" s="17" t="s">
        <v>227</v>
      </c>
      <c r="F163" s="17" t="s">
        <v>488</v>
      </c>
      <c r="G163" s="218">
        <f>'TNC(tncol)'!E24</f>
        <v>1679</v>
      </c>
      <c r="H163" s="219">
        <f>'TNC(tncol)'!AK24</f>
        <v>0</v>
      </c>
      <c r="I163" s="219">
        <f t="shared" si="14"/>
        <v>0</v>
      </c>
      <c r="J163" s="2536">
        <f>SUM(I163:I164)</f>
        <v>0</v>
      </c>
      <c r="K163" s="2245"/>
      <c r="L163"/>
      <c r="M163"/>
      <c r="N163"/>
      <c r="O163"/>
      <c r="P163"/>
    </row>
    <row r="164" spans="2:16" ht="18" thickBot="1">
      <c r="B164" s="2520"/>
      <c r="C164" s="2523"/>
      <c r="D164" s="1748"/>
      <c r="E164" s="51" t="s">
        <v>228</v>
      </c>
      <c r="F164" s="51" t="s">
        <v>489</v>
      </c>
      <c r="G164" s="1189">
        <f>'TNC(tncol)'!E25</f>
        <v>1679</v>
      </c>
      <c r="H164" s="220">
        <f>'TNC(tncol)'!AK25</f>
        <v>0</v>
      </c>
      <c r="I164" s="220">
        <f t="shared" si="14"/>
        <v>0</v>
      </c>
      <c r="J164" s="2537"/>
      <c r="K164" s="2246"/>
      <c r="L164"/>
      <c r="M164"/>
      <c r="N164"/>
      <c r="O164"/>
      <c r="P164"/>
    </row>
    <row r="165" spans="2:16" ht="18" thickBot="1">
      <c r="B165" s="229"/>
      <c r="C165" s="229"/>
      <c r="D165" s="229"/>
      <c r="E165" s="229"/>
      <c r="F165" s="229"/>
      <c r="G165" s="2531" t="s">
        <v>285</v>
      </c>
      <c r="H165" s="2532"/>
      <c r="I165" s="2532"/>
      <c r="J165" s="1851">
        <f>SUM(J6:J164)</f>
        <v>1939272518</v>
      </c>
      <c r="K165" s="2525">
        <f>SUM(K5:K164)</f>
        <v>2873777826</v>
      </c>
      <c r="L165"/>
      <c r="M165"/>
      <c r="N165"/>
      <c r="O165"/>
      <c r="P165"/>
    </row>
    <row r="166" spans="2:16" ht="18" thickBot="1">
      <c r="B166" s="229"/>
      <c r="C166" s="230"/>
      <c r="D166" s="230"/>
      <c r="E166" s="231"/>
      <c r="F166" s="232"/>
      <c r="G166" s="2528" t="s">
        <v>286</v>
      </c>
      <c r="H166" s="2529"/>
      <c r="I166" s="2530"/>
      <c r="J166" s="1537">
        <f>'PCM 07월'!AL180</f>
        <v>934505308</v>
      </c>
      <c r="K166" s="2526"/>
      <c r="L166"/>
      <c r="M166"/>
      <c r="N166"/>
      <c r="O166"/>
      <c r="P166"/>
    </row>
    <row r="167" spans="2:16" ht="26.4" customHeight="1" thickBot="1">
      <c r="B167" s="229"/>
      <c r="C167" s="229"/>
      <c r="D167" s="229"/>
      <c r="E167" s="229"/>
      <c r="F167" s="233"/>
      <c r="G167" s="2533" t="s">
        <v>7</v>
      </c>
      <c r="H167" s="2534"/>
      <c r="I167" s="2535"/>
      <c r="J167" s="2287">
        <f>SUM(J165:J166)</f>
        <v>2873777826</v>
      </c>
      <c r="K167" s="2527"/>
      <c r="L167"/>
      <c r="M167"/>
      <c r="N167"/>
      <c r="O167"/>
      <c r="P167"/>
    </row>
    <row r="168" spans="2:16" ht="17.399999999999999">
      <c r="K168" s="1265"/>
      <c r="L168"/>
      <c r="M168"/>
      <c r="N168"/>
      <c r="O168"/>
      <c r="P168"/>
    </row>
    <row r="169" spans="2:16" ht="17.399999999999999">
      <c r="K169" s="1265"/>
      <c r="L169"/>
      <c r="M169"/>
      <c r="N169"/>
      <c r="O169"/>
      <c r="P169"/>
    </row>
    <row r="170" spans="2:16" ht="17.399999999999999">
      <c r="K170" s="1265"/>
      <c r="L170"/>
      <c r="M170"/>
      <c r="N170"/>
      <c r="O170"/>
      <c r="P170"/>
    </row>
    <row r="171" spans="2:16" ht="17.399999999999999">
      <c r="K171" s="1265"/>
      <c r="L171"/>
      <c r="M171"/>
      <c r="N171"/>
      <c r="O171"/>
      <c r="P171"/>
    </row>
    <row r="172" spans="2:16" ht="17.399999999999999">
      <c r="K172" s="1265"/>
      <c r="L172"/>
      <c r="M172"/>
      <c r="N172"/>
      <c r="O172"/>
      <c r="P172"/>
    </row>
    <row r="173" spans="2:16" ht="17.399999999999999">
      <c r="K173" s="1265"/>
      <c r="L173"/>
      <c r="M173"/>
      <c r="N173"/>
      <c r="O173"/>
      <c r="P173"/>
    </row>
    <row r="174" spans="2:16" ht="17.399999999999999">
      <c r="K174" s="1265"/>
      <c r="L174"/>
      <c r="M174"/>
      <c r="N174"/>
      <c r="O174"/>
      <c r="P174"/>
    </row>
    <row r="175" spans="2:16" ht="17.399999999999999">
      <c r="K175" s="1265"/>
      <c r="L175"/>
      <c r="M175"/>
      <c r="N175"/>
      <c r="O175"/>
      <c r="P175"/>
    </row>
    <row r="176" spans="2:16" ht="17.399999999999999">
      <c r="K176" s="1265"/>
      <c r="L176"/>
      <c r="M176"/>
      <c r="N176"/>
      <c r="O176"/>
      <c r="P176"/>
    </row>
    <row r="177" spans="11:16" ht="17.399999999999999">
      <c r="K177" s="1265"/>
      <c r="L177"/>
      <c r="M177"/>
      <c r="N177"/>
      <c r="O177"/>
      <c r="P177"/>
    </row>
    <row r="178" spans="11:16" ht="17.399999999999999">
      <c r="K178" s="1265"/>
      <c r="L178"/>
      <c r="M178"/>
      <c r="N178"/>
      <c r="O178"/>
      <c r="P178"/>
    </row>
    <row r="179" spans="11:16" ht="17.399999999999999">
      <c r="K179" s="1265"/>
      <c r="L179"/>
      <c r="M179"/>
      <c r="N179"/>
      <c r="O179"/>
      <c r="P179"/>
    </row>
    <row r="180" spans="11:16" ht="17.399999999999999">
      <c r="K180" s="1265"/>
      <c r="L180"/>
      <c r="M180"/>
      <c r="N180"/>
      <c r="O180"/>
      <c r="P180"/>
    </row>
    <row r="181" spans="11:16" ht="17.399999999999999">
      <c r="K181" s="1265"/>
      <c r="L181"/>
      <c r="M181"/>
      <c r="N181"/>
      <c r="O181"/>
      <c r="P181"/>
    </row>
    <row r="182" spans="11:16" ht="17.399999999999999">
      <c r="K182" s="1265"/>
      <c r="L182"/>
      <c r="M182"/>
      <c r="N182"/>
      <c r="O182"/>
      <c r="P182"/>
    </row>
    <row r="183" spans="11:16" ht="17.399999999999999">
      <c r="K183" s="1265"/>
      <c r="L183"/>
      <c r="M183"/>
      <c r="N183"/>
      <c r="O183"/>
      <c r="P183"/>
    </row>
    <row r="184" spans="11:16" ht="17.399999999999999">
      <c r="K184" s="1265"/>
      <c r="L184"/>
      <c r="M184"/>
      <c r="N184"/>
      <c r="O184"/>
      <c r="P184"/>
    </row>
    <row r="185" spans="11:16" ht="17.399999999999999">
      <c r="K185" s="1265"/>
      <c r="L185"/>
      <c r="M185"/>
      <c r="N185"/>
      <c r="O185"/>
      <c r="P185"/>
    </row>
    <row r="186" spans="11:16" ht="17.399999999999999">
      <c r="K186" s="1265"/>
      <c r="L186"/>
      <c r="M186"/>
      <c r="N186"/>
      <c r="O186"/>
      <c r="P186"/>
    </row>
    <row r="187" spans="11:16" ht="17.399999999999999">
      <c r="K187" s="1265"/>
      <c r="L187"/>
      <c r="M187"/>
      <c r="N187"/>
      <c r="O187"/>
      <c r="P187"/>
    </row>
    <row r="188" spans="11:16" ht="17.399999999999999">
      <c r="K188" s="1265"/>
      <c r="L188"/>
      <c r="M188"/>
      <c r="N188"/>
      <c r="O188"/>
      <c r="P188"/>
    </row>
    <row r="189" spans="11:16" ht="17.399999999999999">
      <c r="K189" s="1265"/>
      <c r="L189"/>
      <c r="M189"/>
      <c r="N189"/>
      <c r="O189"/>
      <c r="P189"/>
    </row>
    <row r="190" spans="11:16" ht="17.399999999999999">
      <c r="K190" s="1265"/>
      <c r="L190"/>
      <c r="M190"/>
      <c r="N190"/>
      <c r="O190"/>
      <c r="P190"/>
    </row>
    <row r="191" spans="11:16" ht="17.399999999999999">
      <c r="K191" s="1265"/>
      <c r="L191"/>
      <c r="M191"/>
      <c r="N191"/>
      <c r="O191"/>
      <c r="P191"/>
    </row>
    <row r="192" spans="11:16" ht="17.399999999999999">
      <c r="K192" s="1265"/>
      <c r="L192"/>
      <c r="M192"/>
      <c r="N192"/>
      <c r="O192"/>
      <c r="P192"/>
    </row>
    <row r="193" spans="11:16" ht="17.399999999999999">
      <c r="K193" s="1265"/>
      <c r="L193"/>
      <c r="M193"/>
      <c r="N193"/>
      <c r="O193"/>
      <c r="P193"/>
    </row>
    <row r="194" spans="11:16" ht="17.399999999999999">
      <c r="K194" s="1265"/>
      <c r="L194"/>
      <c r="M194"/>
      <c r="N194"/>
      <c r="O194"/>
      <c r="P194"/>
    </row>
    <row r="195" spans="11:16" ht="17.399999999999999">
      <c r="K195" s="1265"/>
      <c r="L195"/>
      <c r="M195"/>
      <c r="N195"/>
      <c r="O195"/>
      <c r="P195"/>
    </row>
    <row r="196" spans="11:16" ht="17.399999999999999">
      <c r="K196" s="1265"/>
      <c r="L196"/>
      <c r="M196"/>
      <c r="N196"/>
      <c r="O196"/>
      <c r="P196"/>
    </row>
    <row r="197" spans="11:16" ht="17.399999999999999">
      <c r="K197" s="1265"/>
      <c r="L197"/>
      <c r="M197"/>
      <c r="N197"/>
      <c r="O197"/>
      <c r="P197"/>
    </row>
    <row r="198" spans="11:16" ht="17.399999999999999">
      <c r="K198" s="1265"/>
      <c r="L198"/>
      <c r="M198"/>
      <c r="N198"/>
      <c r="O198"/>
      <c r="P198"/>
    </row>
    <row r="199" spans="11:16" ht="17.399999999999999">
      <c r="K199" s="1265"/>
      <c r="L199"/>
      <c r="M199"/>
      <c r="N199"/>
      <c r="O199"/>
      <c r="P199"/>
    </row>
    <row r="200" spans="11:16" ht="17.399999999999999">
      <c r="K200" s="1265"/>
      <c r="L200"/>
      <c r="M200"/>
      <c r="N200"/>
      <c r="O200"/>
      <c r="P200"/>
    </row>
    <row r="201" spans="11:16" ht="17.399999999999999">
      <c r="K201" s="1265"/>
      <c r="L201"/>
      <c r="M201"/>
      <c r="N201"/>
      <c r="O201"/>
      <c r="P201"/>
    </row>
    <row r="202" spans="11:16" ht="17.399999999999999">
      <c r="K202" s="1265"/>
      <c r="L202"/>
      <c r="M202"/>
      <c r="N202"/>
      <c r="O202"/>
      <c r="P202"/>
    </row>
    <row r="203" spans="11:16" ht="17.399999999999999">
      <c r="K203" s="1265"/>
      <c r="L203"/>
      <c r="M203"/>
      <c r="N203"/>
      <c r="O203"/>
      <c r="P203"/>
    </row>
    <row r="204" spans="11:16" ht="17.399999999999999">
      <c r="K204" s="1265"/>
      <c r="L204"/>
      <c r="M204"/>
      <c r="N204"/>
      <c r="O204"/>
      <c r="P204"/>
    </row>
    <row r="205" spans="11:16" ht="17.399999999999999">
      <c r="K205" s="1265"/>
      <c r="L205"/>
      <c r="M205"/>
      <c r="N205"/>
      <c r="O205"/>
      <c r="P205"/>
    </row>
    <row r="206" spans="11:16" ht="17.399999999999999">
      <c r="K206" s="1265"/>
      <c r="L206"/>
      <c r="M206"/>
      <c r="N206"/>
      <c r="O206"/>
      <c r="P206"/>
    </row>
    <row r="207" spans="11:16" ht="17.399999999999999">
      <c r="K207" s="1265"/>
      <c r="L207"/>
      <c r="M207"/>
      <c r="N207"/>
      <c r="O207"/>
      <c r="P207"/>
    </row>
    <row r="208" spans="11:16" ht="17.399999999999999">
      <c r="K208" s="1265"/>
      <c r="L208"/>
      <c r="M208"/>
      <c r="N208"/>
      <c r="O208"/>
      <c r="P208"/>
    </row>
    <row r="209" spans="11:16" ht="17.399999999999999">
      <c r="K209" s="1265"/>
      <c r="L209"/>
      <c r="M209"/>
      <c r="N209"/>
      <c r="O209"/>
      <c r="P209"/>
    </row>
    <row r="210" spans="11:16" ht="17.399999999999999">
      <c r="K210" s="1265"/>
      <c r="L210"/>
      <c r="M210"/>
      <c r="N210"/>
      <c r="O210"/>
      <c r="P210"/>
    </row>
    <row r="211" spans="11:16" ht="17.399999999999999">
      <c r="K211" s="1265"/>
      <c r="L211"/>
      <c r="M211"/>
      <c r="N211"/>
      <c r="O211"/>
      <c r="P211"/>
    </row>
    <row r="212" spans="11:16" ht="17.399999999999999">
      <c r="K212" s="1265"/>
      <c r="L212"/>
      <c r="M212"/>
      <c r="N212"/>
      <c r="O212"/>
      <c r="P212"/>
    </row>
    <row r="213" spans="11:16" ht="17.399999999999999">
      <c r="K213" s="1265"/>
      <c r="L213"/>
      <c r="M213"/>
      <c r="N213"/>
      <c r="O213"/>
      <c r="P213"/>
    </row>
    <row r="214" spans="11:16" ht="17.399999999999999">
      <c r="K214" s="1265"/>
      <c r="L214"/>
      <c r="M214"/>
      <c r="N214"/>
      <c r="O214"/>
      <c r="P214"/>
    </row>
    <row r="215" spans="11:16" ht="17.399999999999999">
      <c r="K215" s="1265"/>
      <c r="L215"/>
      <c r="M215"/>
      <c r="N215"/>
      <c r="O215"/>
      <c r="P215"/>
    </row>
    <row r="216" spans="11:16" ht="17.399999999999999">
      <c r="K216" s="1265"/>
      <c r="L216"/>
      <c r="M216"/>
      <c r="N216"/>
      <c r="O216"/>
      <c r="P216"/>
    </row>
    <row r="217" spans="11:16" ht="17.399999999999999">
      <c r="K217" s="1265"/>
      <c r="L217"/>
      <c r="M217"/>
      <c r="N217"/>
      <c r="O217"/>
      <c r="P217"/>
    </row>
    <row r="218" spans="11:16" ht="17.399999999999999">
      <c r="K218" s="1265"/>
      <c r="L218"/>
      <c r="M218"/>
      <c r="N218"/>
      <c r="O218"/>
      <c r="P218"/>
    </row>
    <row r="219" spans="11:16" ht="17.399999999999999">
      <c r="K219" s="1265"/>
      <c r="L219"/>
      <c r="M219"/>
      <c r="N219"/>
      <c r="O219"/>
      <c r="P219"/>
    </row>
    <row r="220" spans="11:16" ht="17.399999999999999">
      <c r="K220" s="1265"/>
      <c r="L220"/>
      <c r="M220"/>
      <c r="N220"/>
      <c r="O220"/>
      <c r="P220"/>
    </row>
    <row r="221" spans="11:16" ht="17.399999999999999">
      <c r="K221" s="1265"/>
      <c r="L221"/>
      <c r="M221"/>
      <c r="N221"/>
      <c r="O221"/>
      <c r="P221"/>
    </row>
    <row r="222" spans="11:16" ht="17.399999999999999">
      <c r="K222" s="1265"/>
      <c r="L222"/>
      <c r="M222"/>
      <c r="N222"/>
      <c r="O222"/>
      <c r="P222"/>
    </row>
    <row r="223" spans="11:16" ht="17.399999999999999">
      <c r="K223" s="1265"/>
      <c r="L223"/>
      <c r="M223"/>
      <c r="N223"/>
      <c r="O223"/>
      <c r="P223"/>
    </row>
    <row r="224" spans="11:16" ht="17.399999999999999">
      <c r="K224" s="1265"/>
      <c r="L224"/>
      <c r="M224"/>
      <c r="N224"/>
      <c r="O224"/>
      <c r="P224"/>
    </row>
    <row r="225" spans="11:16" ht="17.399999999999999">
      <c r="K225" s="1265"/>
      <c r="L225"/>
      <c r="M225"/>
      <c r="N225"/>
      <c r="O225"/>
      <c r="P225"/>
    </row>
    <row r="226" spans="11:16" ht="17.399999999999999">
      <c r="K226" s="1265"/>
      <c r="L226"/>
      <c r="M226"/>
      <c r="N226"/>
      <c r="O226"/>
      <c r="P226"/>
    </row>
    <row r="227" spans="11:16" ht="17.399999999999999">
      <c r="K227" s="1265"/>
      <c r="L227"/>
      <c r="M227"/>
      <c r="N227"/>
      <c r="O227"/>
      <c r="P227"/>
    </row>
    <row r="228" spans="11:16" ht="17.399999999999999">
      <c r="K228" s="1265"/>
      <c r="L228"/>
      <c r="M228"/>
      <c r="N228"/>
      <c r="O228"/>
      <c r="P228"/>
    </row>
    <row r="229" spans="11:16" ht="17.399999999999999">
      <c r="K229" s="1265"/>
      <c r="L229"/>
      <c r="M229"/>
      <c r="N229"/>
      <c r="O229"/>
      <c r="P229"/>
    </row>
    <row r="230" spans="11:16" ht="17.399999999999999">
      <c r="K230" s="1265"/>
      <c r="L230"/>
      <c r="M230"/>
      <c r="N230"/>
      <c r="O230"/>
      <c r="P230"/>
    </row>
    <row r="231" spans="11:16" ht="17.399999999999999">
      <c r="K231" s="1265"/>
      <c r="L231"/>
      <c r="M231"/>
      <c r="N231"/>
      <c r="O231"/>
      <c r="P231"/>
    </row>
    <row r="232" spans="11:16" ht="17.399999999999999">
      <c r="K232" s="1265"/>
      <c r="L232"/>
      <c r="M232"/>
      <c r="N232"/>
      <c r="O232"/>
      <c r="P232"/>
    </row>
    <row r="233" spans="11:16" ht="17.399999999999999">
      <c r="K233" s="1265"/>
      <c r="L233"/>
      <c r="M233"/>
      <c r="N233"/>
      <c r="O233"/>
      <c r="P233"/>
    </row>
    <row r="234" spans="11:16" ht="17.399999999999999">
      <c r="K234" s="1265"/>
      <c r="L234"/>
      <c r="M234"/>
      <c r="N234"/>
      <c r="O234"/>
      <c r="P234"/>
    </row>
    <row r="235" spans="11:16" ht="17.399999999999999">
      <c r="K235" s="1265"/>
      <c r="L235"/>
      <c r="M235"/>
      <c r="N235"/>
      <c r="O235"/>
      <c r="P235"/>
    </row>
    <row r="236" spans="11:16" ht="17.399999999999999">
      <c r="K236" s="1265"/>
      <c r="L236"/>
      <c r="M236"/>
      <c r="N236"/>
      <c r="O236"/>
      <c r="P236"/>
    </row>
    <row r="237" spans="11:16" ht="17.399999999999999">
      <c r="K237" s="1265"/>
      <c r="L237"/>
      <c r="M237"/>
      <c r="N237"/>
      <c r="O237"/>
      <c r="P237"/>
    </row>
    <row r="238" spans="11:16" ht="17.399999999999999">
      <c r="K238" s="1265"/>
      <c r="L238"/>
      <c r="M238"/>
      <c r="N238"/>
      <c r="O238"/>
      <c r="P238"/>
    </row>
    <row r="239" spans="11:16" ht="17.399999999999999">
      <c r="K239" s="1265"/>
      <c r="L239"/>
      <c r="M239"/>
      <c r="N239"/>
      <c r="O239"/>
      <c r="P239"/>
    </row>
    <row r="240" spans="11:16" ht="17.399999999999999">
      <c r="K240" s="1265"/>
      <c r="L240"/>
      <c r="M240"/>
      <c r="N240"/>
      <c r="O240"/>
      <c r="P240"/>
    </row>
    <row r="241" spans="11:16" ht="17.399999999999999">
      <c r="K241" s="1265"/>
      <c r="L241"/>
      <c r="M241"/>
      <c r="N241"/>
      <c r="O241"/>
      <c r="P241"/>
    </row>
    <row r="242" spans="11:16" ht="17.399999999999999">
      <c r="K242" s="1265"/>
      <c r="L242"/>
      <c r="M242"/>
      <c r="N242"/>
      <c r="O242"/>
      <c r="P242"/>
    </row>
    <row r="243" spans="11:16" ht="17.399999999999999">
      <c r="K243" s="1265"/>
      <c r="L243"/>
      <c r="M243"/>
      <c r="N243"/>
      <c r="O243"/>
      <c r="P243"/>
    </row>
    <row r="244" spans="11:16" ht="17.399999999999999">
      <c r="K244" s="1265"/>
      <c r="L244"/>
      <c r="M244"/>
      <c r="N244"/>
      <c r="O244"/>
      <c r="P244"/>
    </row>
    <row r="245" spans="11:16" ht="17.399999999999999">
      <c r="K245" s="1265"/>
      <c r="L245"/>
      <c r="M245"/>
      <c r="N245"/>
      <c r="O245"/>
      <c r="P245"/>
    </row>
    <row r="246" spans="11:16" ht="17.399999999999999">
      <c r="K246" s="1265"/>
      <c r="L246"/>
      <c r="M246"/>
      <c r="N246"/>
      <c r="O246"/>
      <c r="P246"/>
    </row>
    <row r="247" spans="11:16" ht="17.399999999999999">
      <c r="K247" s="1265"/>
      <c r="L247"/>
      <c r="M247"/>
      <c r="N247"/>
      <c r="O247"/>
      <c r="P247"/>
    </row>
    <row r="248" spans="11:16" ht="17.399999999999999">
      <c r="K248" s="1265"/>
      <c r="L248"/>
      <c r="M248"/>
      <c r="N248"/>
      <c r="O248"/>
      <c r="P248"/>
    </row>
    <row r="249" spans="11:16" ht="17.399999999999999">
      <c r="K249" s="1265"/>
      <c r="L249"/>
      <c r="M249"/>
      <c r="N249"/>
      <c r="O249"/>
      <c r="P249"/>
    </row>
    <row r="250" spans="11:16" ht="17.399999999999999">
      <c r="K250" s="1265"/>
      <c r="L250"/>
      <c r="M250"/>
      <c r="N250"/>
      <c r="O250"/>
      <c r="P250"/>
    </row>
    <row r="251" spans="11:16" ht="17.399999999999999">
      <c r="K251" s="1265"/>
      <c r="L251"/>
      <c r="M251"/>
      <c r="N251"/>
      <c r="O251"/>
      <c r="P251"/>
    </row>
    <row r="252" spans="11:16" ht="17.399999999999999">
      <c r="K252" s="1265"/>
      <c r="L252"/>
      <c r="M252"/>
      <c r="N252"/>
      <c r="O252"/>
      <c r="P252"/>
    </row>
    <row r="253" spans="11:16" ht="17.399999999999999">
      <c r="K253" s="1265"/>
      <c r="L253"/>
      <c r="M253"/>
      <c r="N253"/>
      <c r="O253"/>
      <c r="P253"/>
    </row>
    <row r="254" spans="11:16" ht="17.399999999999999">
      <c r="K254" s="1265"/>
      <c r="L254"/>
      <c r="M254"/>
      <c r="N254"/>
      <c r="O254"/>
      <c r="P254"/>
    </row>
    <row r="255" spans="11:16" ht="17.399999999999999">
      <c r="K255" s="1265"/>
      <c r="L255"/>
      <c r="M255"/>
      <c r="N255"/>
      <c r="O255"/>
      <c r="P255"/>
    </row>
    <row r="256" spans="11:16" ht="17.399999999999999">
      <c r="K256" s="1265"/>
      <c r="L256"/>
      <c r="M256"/>
      <c r="N256"/>
      <c r="O256"/>
      <c r="P256"/>
    </row>
    <row r="257" spans="11:16" ht="17.399999999999999">
      <c r="K257" s="1265"/>
      <c r="L257"/>
      <c r="M257"/>
      <c r="N257"/>
      <c r="O257"/>
      <c r="P257"/>
    </row>
    <row r="258" spans="11:16" ht="17.399999999999999">
      <c r="K258" s="1265"/>
      <c r="L258"/>
      <c r="M258"/>
      <c r="N258"/>
      <c r="O258"/>
      <c r="P258"/>
    </row>
    <row r="259" spans="11:16" ht="17.399999999999999">
      <c r="K259" s="1265"/>
      <c r="L259"/>
      <c r="M259"/>
      <c r="N259"/>
      <c r="O259"/>
      <c r="P259"/>
    </row>
    <row r="260" spans="11:16" ht="17.399999999999999">
      <c r="K260" s="1265"/>
      <c r="L260"/>
      <c r="M260"/>
      <c r="N260"/>
      <c r="O260"/>
      <c r="P260"/>
    </row>
    <row r="261" spans="11:16" ht="17.399999999999999">
      <c r="K261" s="1265"/>
      <c r="L261"/>
      <c r="M261"/>
      <c r="N261"/>
      <c r="O261"/>
      <c r="P261"/>
    </row>
    <row r="262" spans="11:16" ht="17.399999999999999">
      <c r="K262" s="1265"/>
      <c r="L262"/>
      <c r="M262"/>
      <c r="N262"/>
      <c r="O262"/>
      <c r="P262"/>
    </row>
    <row r="263" spans="11:16" ht="17.399999999999999">
      <c r="K263" s="1265"/>
      <c r="L263"/>
      <c r="M263"/>
      <c r="N263"/>
      <c r="O263"/>
      <c r="P263"/>
    </row>
    <row r="264" spans="11:16" ht="17.399999999999999">
      <c r="K264" s="1265"/>
      <c r="L264"/>
      <c r="M264"/>
      <c r="N264"/>
      <c r="O264"/>
      <c r="P264"/>
    </row>
    <row r="265" spans="11:16" ht="17.399999999999999">
      <c r="K265" s="1265"/>
      <c r="L265"/>
      <c r="M265"/>
      <c r="N265"/>
      <c r="O265"/>
      <c r="P265"/>
    </row>
    <row r="266" spans="11:16" ht="17.399999999999999">
      <c r="K266" s="1265"/>
      <c r="L266"/>
      <c r="M266"/>
      <c r="N266"/>
      <c r="O266"/>
      <c r="P266"/>
    </row>
    <row r="267" spans="11:16" ht="17.399999999999999">
      <c r="K267" s="1265"/>
      <c r="L267"/>
      <c r="M267"/>
      <c r="N267"/>
      <c r="O267"/>
      <c r="P267"/>
    </row>
    <row r="268" spans="11:16" ht="17.399999999999999">
      <c r="K268" s="1265"/>
      <c r="L268"/>
      <c r="M268"/>
      <c r="N268"/>
      <c r="O268"/>
      <c r="P268"/>
    </row>
    <row r="269" spans="11:16" ht="17.399999999999999">
      <c r="K269" s="1265"/>
      <c r="L269"/>
      <c r="M269"/>
      <c r="N269"/>
      <c r="O269"/>
      <c r="P269"/>
    </row>
    <row r="270" spans="11:16" ht="17.399999999999999">
      <c r="K270" s="1265"/>
      <c r="L270"/>
      <c r="M270"/>
      <c r="N270"/>
      <c r="O270"/>
      <c r="P270"/>
    </row>
    <row r="271" spans="11:16" ht="17.399999999999999">
      <c r="K271" s="1265"/>
      <c r="L271"/>
      <c r="M271"/>
      <c r="N271"/>
      <c r="O271"/>
      <c r="P271"/>
    </row>
    <row r="272" spans="11:16" ht="17.399999999999999">
      <c r="K272" s="1265"/>
      <c r="L272"/>
      <c r="M272"/>
      <c r="N272"/>
      <c r="O272"/>
      <c r="P272"/>
    </row>
    <row r="273" spans="11:16" ht="17.399999999999999">
      <c r="K273" s="1265"/>
      <c r="L273"/>
      <c r="M273"/>
      <c r="N273"/>
      <c r="O273"/>
      <c r="P273"/>
    </row>
    <row r="274" spans="11:16" ht="17.399999999999999">
      <c r="K274" s="1265"/>
      <c r="L274"/>
      <c r="M274"/>
      <c r="N274"/>
      <c r="O274"/>
      <c r="P274"/>
    </row>
    <row r="275" spans="11:16" ht="17.399999999999999">
      <c r="K275" s="1265"/>
      <c r="L275"/>
      <c r="M275"/>
      <c r="N275"/>
      <c r="O275"/>
      <c r="P275"/>
    </row>
    <row r="276" spans="11:16" ht="17.399999999999999">
      <c r="K276" s="1265"/>
      <c r="L276"/>
      <c r="M276"/>
      <c r="N276"/>
      <c r="O276"/>
      <c r="P276"/>
    </row>
    <row r="277" spans="11:16" ht="17.399999999999999">
      <c r="K277" s="1265"/>
      <c r="L277"/>
      <c r="M277"/>
      <c r="N277"/>
      <c r="O277"/>
      <c r="P277"/>
    </row>
    <row r="278" spans="11:16" ht="17.399999999999999">
      <c r="K278" s="1265"/>
      <c r="L278"/>
      <c r="M278"/>
      <c r="N278"/>
      <c r="O278"/>
      <c r="P278"/>
    </row>
    <row r="279" spans="11:16" ht="17.399999999999999">
      <c r="K279" s="1265"/>
      <c r="L279"/>
      <c r="M279"/>
      <c r="N279"/>
      <c r="O279"/>
      <c r="P279"/>
    </row>
    <row r="280" spans="11:16" ht="17.399999999999999">
      <c r="K280" s="1265"/>
      <c r="L280"/>
      <c r="M280"/>
      <c r="N280"/>
      <c r="O280"/>
      <c r="P280"/>
    </row>
    <row r="281" spans="11:16" ht="17.399999999999999">
      <c r="K281" s="1265"/>
      <c r="L281"/>
      <c r="M281"/>
      <c r="N281"/>
      <c r="O281"/>
      <c r="P281"/>
    </row>
    <row r="282" spans="11:16" ht="17.399999999999999">
      <c r="K282" s="1265"/>
      <c r="L282"/>
      <c r="M282"/>
      <c r="N282"/>
      <c r="O282"/>
      <c r="P282"/>
    </row>
    <row r="283" spans="11:16" ht="17.399999999999999">
      <c r="K283" s="1265"/>
      <c r="L283"/>
      <c r="M283"/>
      <c r="N283"/>
      <c r="O283"/>
      <c r="P283"/>
    </row>
    <row r="284" spans="11:16" ht="17.399999999999999">
      <c r="K284" s="1265"/>
      <c r="L284"/>
      <c r="M284"/>
      <c r="N284"/>
      <c r="O284"/>
      <c r="P284"/>
    </row>
    <row r="285" spans="11:16" ht="17.399999999999999">
      <c r="K285" s="1265"/>
      <c r="L285"/>
      <c r="M285"/>
      <c r="N285"/>
      <c r="O285"/>
      <c r="P285"/>
    </row>
    <row r="286" spans="11:16" ht="17.399999999999999">
      <c r="K286" s="1265"/>
      <c r="L286"/>
      <c r="M286"/>
      <c r="N286"/>
      <c r="O286"/>
      <c r="P286"/>
    </row>
    <row r="287" spans="11:16" ht="17.399999999999999">
      <c r="K287" s="1265"/>
      <c r="L287"/>
      <c r="M287"/>
      <c r="N287"/>
      <c r="O287"/>
      <c r="P287"/>
    </row>
    <row r="288" spans="11:16" ht="17.399999999999999">
      <c r="K288" s="1265"/>
      <c r="L288"/>
      <c r="M288"/>
      <c r="N288"/>
      <c r="O288"/>
      <c r="P288"/>
    </row>
    <row r="289" spans="11:16" ht="17.399999999999999">
      <c r="K289" s="1265"/>
      <c r="L289"/>
      <c r="M289"/>
      <c r="N289"/>
      <c r="O289"/>
      <c r="P289"/>
    </row>
    <row r="290" spans="11:16" ht="17.399999999999999">
      <c r="K290" s="1265"/>
      <c r="L290"/>
      <c r="M290"/>
      <c r="N290"/>
      <c r="O290"/>
      <c r="P290"/>
    </row>
    <row r="291" spans="11:16" ht="17.399999999999999">
      <c r="K291" s="1265"/>
      <c r="L291"/>
      <c r="M291"/>
      <c r="N291"/>
      <c r="O291"/>
      <c r="P291"/>
    </row>
    <row r="292" spans="11:16" ht="17.399999999999999">
      <c r="K292" s="1265"/>
      <c r="L292"/>
      <c r="M292"/>
      <c r="N292"/>
      <c r="O292"/>
      <c r="P292"/>
    </row>
    <row r="293" spans="11:16" ht="17.399999999999999">
      <c r="K293" s="1265"/>
      <c r="L293"/>
      <c r="M293"/>
      <c r="N293"/>
      <c r="O293"/>
      <c r="P293"/>
    </row>
    <row r="294" spans="11:16" ht="17.399999999999999">
      <c r="K294" s="1265"/>
      <c r="L294"/>
      <c r="M294"/>
      <c r="N294"/>
      <c r="O294"/>
      <c r="P294"/>
    </row>
    <row r="295" spans="11:16" ht="17.399999999999999">
      <c r="K295" s="1265"/>
      <c r="L295"/>
      <c r="M295"/>
      <c r="N295"/>
      <c r="O295"/>
      <c r="P295"/>
    </row>
    <row r="296" spans="11:16" ht="17.399999999999999">
      <c r="K296" s="1265"/>
      <c r="L296"/>
      <c r="M296"/>
      <c r="N296"/>
      <c r="O296"/>
      <c r="P296"/>
    </row>
    <row r="297" spans="11:16" ht="17.399999999999999">
      <c r="K297" s="1265"/>
      <c r="L297"/>
      <c r="M297"/>
      <c r="N297"/>
      <c r="O297"/>
      <c r="P297"/>
    </row>
    <row r="298" spans="11:16" ht="17.399999999999999">
      <c r="K298" s="1265"/>
      <c r="L298"/>
      <c r="M298"/>
      <c r="N298"/>
      <c r="O298"/>
      <c r="P298"/>
    </row>
    <row r="299" spans="11:16" ht="17.399999999999999">
      <c r="K299" s="1265"/>
      <c r="L299"/>
      <c r="M299"/>
      <c r="N299"/>
      <c r="O299"/>
      <c r="P299"/>
    </row>
    <row r="300" spans="11:16" ht="17.399999999999999">
      <c r="K300" s="1265"/>
      <c r="L300"/>
      <c r="M300"/>
      <c r="N300"/>
      <c r="O300"/>
      <c r="P300"/>
    </row>
    <row r="301" spans="11:16" ht="17.399999999999999">
      <c r="K301" s="1265"/>
      <c r="L301"/>
      <c r="M301"/>
      <c r="N301"/>
      <c r="O301"/>
      <c r="P301"/>
    </row>
    <row r="302" spans="11:16" ht="17.399999999999999">
      <c r="K302" s="1265"/>
      <c r="L302"/>
      <c r="M302"/>
      <c r="N302"/>
      <c r="O302"/>
      <c r="P302"/>
    </row>
    <row r="303" spans="11:16" ht="17.399999999999999">
      <c r="K303" s="1265"/>
      <c r="L303"/>
      <c r="M303"/>
      <c r="N303"/>
      <c r="O303"/>
      <c r="P303"/>
    </row>
    <row r="304" spans="11:16" ht="17.399999999999999">
      <c r="K304" s="1265"/>
      <c r="L304"/>
      <c r="M304"/>
      <c r="N304"/>
      <c r="O304"/>
      <c r="P304"/>
    </row>
    <row r="305" spans="11:16" ht="17.399999999999999">
      <c r="K305" s="1265"/>
      <c r="L305"/>
      <c r="M305"/>
      <c r="N305"/>
      <c r="O305"/>
      <c r="P305"/>
    </row>
    <row r="306" spans="11:16" ht="17.399999999999999">
      <c r="K306" s="1265"/>
      <c r="L306"/>
      <c r="M306"/>
      <c r="N306"/>
      <c r="O306"/>
      <c r="P306"/>
    </row>
    <row r="307" spans="11:16" ht="17.399999999999999">
      <c r="K307" s="1265"/>
      <c r="L307"/>
      <c r="M307"/>
      <c r="N307"/>
      <c r="O307"/>
      <c r="P307"/>
    </row>
    <row r="308" spans="11:16" ht="17.399999999999999">
      <c r="K308" s="1265"/>
      <c r="L308"/>
      <c r="M308"/>
      <c r="N308"/>
      <c r="O308"/>
      <c r="P308"/>
    </row>
    <row r="309" spans="11:16" ht="17.399999999999999">
      <c r="K309" s="1265"/>
      <c r="L309"/>
      <c r="M309"/>
      <c r="N309"/>
      <c r="O309"/>
      <c r="P309"/>
    </row>
    <row r="310" spans="11:16" ht="17.399999999999999">
      <c r="K310" s="1265"/>
      <c r="L310"/>
      <c r="M310"/>
      <c r="N310"/>
      <c r="O310"/>
      <c r="P310"/>
    </row>
    <row r="311" spans="11:16" ht="17.399999999999999">
      <c r="K311" s="1265"/>
      <c r="L311"/>
      <c r="M311"/>
      <c r="N311"/>
      <c r="O311"/>
      <c r="P311"/>
    </row>
    <row r="312" spans="11:16" ht="17.399999999999999">
      <c r="K312" s="1265"/>
      <c r="L312"/>
      <c r="M312"/>
      <c r="N312"/>
      <c r="O312"/>
      <c r="P312"/>
    </row>
    <row r="313" spans="11:16" ht="17.399999999999999">
      <c r="K313" s="1265"/>
      <c r="L313"/>
      <c r="M313"/>
      <c r="N313"/>
      <c r="O313"/>
      <c r="P313"/>
    </row>
    <row r="314" spans="11:16" ht="17.399999999999999">
      <c r="K314" s="1265"/>
      <c r="L314"/>
      <c r="M314"/>
      <c r="N314"/>
      <c r="O314"/>
      <c r="P314"/>
    </row>
    <row r="315" spans="11:16" ht="17.399999999999999">
      <c r="K315" s="1265"/>
      <c r="L315"/>
      <c r="M315"/>
      <c r="N315"/>
      <c r="O315"/>
      <c r="P315"/>
    </row>
    <row r="316" spans="11:16" ht="17.399999999999999">
      <c r="K316" s="1265"/>
      <c r="L316"/>
      <c r="M316"/>
      <c r="N316"/>
      <c r="O316"/>
      <c r="P316"/>
    </row>
    <row r="317" spans="11:16" ht="17.399999999999999">
      <c r="K317" s="1265"/>
      <c r="L317"/>
      <c r="M317"/>
      <c r="N317"/>
      <c r="O317"/>
      <c r="P317"/>
    </row>
    <row r="318" spans="11:16" ht="17.399999999999999">
      <c r="K318" s="1265"/>
      <c r="L318"/>
      <c r="M318"/>
      <c r="N318"/>
      <c r="O318"/>
      <c r="P318"/>
    </row>
    <row r="319" spans="11:16" ht="17.399999999999999">
      <c r="K319" s="1265"/>
      <c r="L319"/>
      <c r="M319"/>
      <c r="N319"/>
      <c r="O319"/>
      <c r="P319"/>
    </row>
    <row r="320" spans="11:16" ht="17.399999999999999">
      <c r="K320" s="1265"/>
      <c r="L320"/>
      <c r="M320"/>
      <c r="N320"/>
      <c r="O320"/>
      <c r="P320"/>
    </row>
    <row r="321" spans="11:16" ht="17.399999999999999">
      <c r="K321" s="1265"/>
      <c r="L321"/>
      <c r="M321"/>
      <c r="N321"/>
      <c r="O321"/>
      <c r="P321"/>
    </row>
    <row r="322" spans="11:16" ht="17.399999999999999">
      <c r="K322" s="1265"/>
      <c r="L322"/>
      <c r="M322"/>
      <c r="N322"/>
      <c r="O322"/>
      <c r="P322"/>
    </row>
    <row r="323" spans="11:16" ht="17.399999999999999">
      <c r="K323" s="1265"/>
      <c r="L323"/>
      <c r="M323"/>
      <c r="N323"/>
      <c r="O323"/>
      <c r="P323"/>
    </row>
    <row r="324" spans="11:16" ht="17.399999999999999">
      <c r="K324" s="1265"/>
      <c r="L324"/>
      <c r="M324"/>
      <c r="N324"/>
      <c r="O324"/>
      <c r="P324"/>
    </row>
    <row r="325" spans="11:16" ht="17.399999999999999">
      <c r="K325" s="1265"/>
      <c r="L325"/>
      <c r="M325"/>
      <c r="N325"/>
      <c r="O325"/>
      <c r="P325"/>
    </row>
    <row r="326" spans="11:16" ht="17.399999999999999">
      <c r="K326" s="1265"/>
      <c r="L326"/>
      <c r="M326"/>
      <c r="N326"/>
      <c r="O326"/>
      <c r="P326"/>
    </row>
    <row r="327" spans="11:16" ht="17.399999999999999">
      <c r="K327" s="1265"/>
      <c r="L327"/>
      <c r="M327"/>
      <c r="N327"/>
      <c r="O327"/>
      <c r="P327"/>
    </row>
    <row r="328" spans="11:16" ht="17.399999999999999">
      <c r="K328" s="1265"/>
      <c r="L328"/>
      <c r="M328"/>
      <c r="N328"/>
      <c r="O328"/>
      <c r="P328"/>
    </row>
    <row r="329" spans="11:16" ht="17.399999999999999">
      <c r="K329" s="1265"/>
      <c r="L329"/>
      <c r="M329"/>
      <c r="N329"/>
      <c r="O329"/>
      <c r="P329"/>
    </row>
    <row r="330" spans="11:16" ht="17.399999999999999">
      <c r="K330" s="1265"/>
      <c r="L330"/>
      <c r="M330"/>
      <c r="N330"/>
      <c r="O330"/>
      <c r="P330"/>
    </row>
    <row r="331" spans="11:16" ht="17.399999999999999">
      <c r="K331" s="1265"/>
      <c r="L331"/>
      <c r="M331"/>
      <c r="N331"/>
      <c r="O331"/>
      <c r="P331"/>
    </row>
    <row r="332" spans="11:16" ht="17.399999999999999">
      <c r="K332" s="1265"/>
      <c r="L332"/>
      <c r="M332"/>
      <c r="N332"/>
      <c r="O332"/>
      <c r="P332"/>
    </row>
    <row r="333" spans="11:16" ht="17.399999999999999">
      <c r="K333" s="1265"/>
      <c r="L333"/>
      <c r="M333"/>
      <c r="N333"/>
      <c r="O333"/>
      <c r="P333"/>
    </row>
    <row r="334" spans="11:16" ht="17.399999999999999">
      <c r="K334" s="1265"/>
      <c r="L334"/>
      <c r="M334"/>
      <c r="N334"/>
      <c r="O334"/>
      <c r="P334"/>
    </row>
    <row r="335" spans="11:16" ht="17.399999999999999">
      <c r="K335" s="1265"/>
      <c r="L335"/>
      <c r="M335"/>
      <c r="N335"/>
      <c r="O335"/>
      <c r="P335"/>
    </row>
    <row r="336" spans="11:16" ht="17.399999999999999">
      <c r="K336" s="1265"/>
      <c r="L336"/>
      <c r="M336"/>
      <c r="N336"/>
      <c r="O336"/>
      <c r="P336"/>
    </row>
    <row r="337" spans="11:16" ht="17.399999999999999">
      <c r="K337" s="1265"/>
      <c r="L337"/>
      <c r="M337"/>
      <c r="N337"/>
      <c r="O337"/>
      <c r="P337"/>
    </row>
    <row r="338" spans="11:16" ht="17.399999999999999">
      <c r="K338" s="1265"/>
      <c r="L338"/>
      <c r="M338"/>
      <c r="N338"/>
      <c r="O338"/>
      <c r="P338"/>
    </row>
    <row r="339" spans="11:16" ht="17.399999999999999">
      <c r="K339" s="1265"/>
      <c r="L339"/>
      <c r="M339"/>
      <c r="N339"/>
      <c r="O339"/>
      <c r="P339"/>
    </row>
    <row r="340" spans="11:16" ht="17.399999999999999">
      <c r="K340" s="1265"/>
      <c r="L340"/>
      <c r="M340"/>
      <c r="N340"/>
      <c r="O340"/>
      <c r="P340"/>
    </row>
    <row r="341" spans="11:16" ht="17.399999999999999">
      <c r="K341" s="1265"/>
      <c r="L341"/>
      <c r="M341"/>
      <c r="N341"/>
      <c r="O341"/>
      <c r="P341"/>
    </row>
    <row r="342" spans="11:16" ht="17.399999999999999">
      <c r="K342" s="1265"/>
      <c r="L342"/>
      <c r="M342"/>
      <c r="N342"/>
      <c r="O342"/>
      <c r="P342"/>
    </row>
    <row r="343" spans="11:16" ht="17.399999999999999">
      <c r="K343" s="1265"/>
      <c r="L343"/>
      <c r="M343"/>
      <c r="N343"/>
      <c r="O343"/>
      <c r="P343"/>
    </row>
    <row r="344" spans="11:16" ht="17.399999999999999">
      <c r="K344" s="1265"/>
      <c r="L344"/>
      <c r="M344"/>
      <c r="N344"/>
      <c r="O344"/>
      <c r="P344"/>
    </row>
    <row r="345" spans="11:16" ht="17.399999999999999">
      <c r="K345" s="1265"/>
      <c r="L345"/>
      <c r="M345"/>
      <c r="N345"/>
      <c r="O345"/>
      <c r="P345"/>
    </row>
    <row r="346" spans="11:16" ht="17.399999999999999">
      <c r="K346" s="1265"/>
      <c r="L346"/>
      <c r="M346"/>
      <c r="N346"/>
      <c r="O346"/>
      <c r="P346"/>
    </row>
    <row r="347" spans="11:16" ht="17.399999999999999">
      <c r="K347" s="1265"/>
      <c r="L347"/>
      <c r="M347"/>
      <c r="N347"/>
      <c r="O347"/>
      <c r="P347"/>
    </row>
    <row r="348" spans="11:16" ht="17.399999999999999">
      <c r="K348" s="1265"/>
      <c r="L348"/>
      <c r="M348"/>
      <c r="N348"/>
      <c r="O348"/>
      <c r="P348"/>
    </row>
    <row r="349" spans="11:16" ht="17.399999999999999">
      <c r="K349" s="1265"/>
      <c r="L349"/>
      <c r="M349"/>
      <c r="N349"/>
      <c r="O349"/>
      <c r="P349"/>
    </row>
    <row r="350" spans="11:16" ht="17.399999999999999">
      <c r="K350" s="1265"/>
      <c r="L350"/>
      <c r="M350"/>
      <c r="N350"/>
      <c r="O350"/>
      <c r="P350"/>
    </row>
    <row r="351" spans="11:16" ht="17.399999999999999">
      <c r="K351" s="1265"/>
      <c r="L351"/>
      <c r="M351"/>
      <c r="N351"/>
      <c r="O351"/>
      <c r="P351"/>
    </row>
    <row r="352" spans="11:16" ht="17.399999999999999">
      <c r="K352" s="1265"/>
      <c r="L352"/>
      <c r="M352"/>
      <c r="N352"/>
      <c r="O352"/>
      <c r="P352"/>
    </row>
    <row r="353" spans="11:16" ht="17.399999999999999">
      <c r="K353" s="1265"/>
      <c r="L353"/>
      <c r="M353"/>
      <c r="N353"/>
      <c r="O353"/>
      <c r="P353"/>
    </row>
    <row r="354" spans="11:16" ht="17.399999999999999">
      <c r="K354" s="1265"/>
      <c r="L354"/>
      <c r="M354"/>
      <c r="N354"/>
      <c r="O354"/>
      <c r="P354"/>
    </row>
    <row r="355" spans="11:16" ht="17.399999999999999">
      <c r="K355" s="1265"/>
      <c r="L355"/>
      <c r="M355"/>
      <c r="N355"/>
      <c r="O355"/>
      <c r="P355"/>
    </row>
    <row r="356" spans="11:16" ht="17.399999999999999">
      <c r="K356" s="1265"/>
      <c r="L356"/>
      <c r="M356"/>
      <c r="N356"/>
      <c r="O356"/>
      <c r="P356"/>
    </row>
    <row r="357" spans="11:16" ht="17.399999999999999">
      <c r="K357" s="1265"/>
      <c r="L357"/>
      <c r="M357"/>
      <c r="N357"/>
      <c r="O357"/>
      <c r="P357"/>
    </row>
    <row r="358" spans="11:16" ht="17.399999999999999">
      <c r="K358" s="1265"/>
      <c r="L358"/>
      <c r="M358"/>
      <c r="N358"/>
      <c r="O358"/>
      <c r="P358"/>
    </row>
    <row r="359" spans="11:16" ht="17.399999999999999">
      <c r="K359" s="1265"/>
      <c r="L359"/>
      <c r="M359"/>
      <c r="N359"/>
      <c r="O359"/>
      <c r="P359"/>
    </row>
    <row r="360" spans="11:16" ht="17.399999999999999">
      <c r="K360" s="1265"/>
      <c r="L360"/>
      <c r="M360"/>
      <c r="N360"/>
      <c r="O360"/>
      <c r="P360"/>
    </row>
    <row r="361" spans="11:16" ht="17.399999999999999">
      <c r="K361" s="1265"/>
      <c r="L361"/>
      <c r="M361"/>
      <c r="N361"/>
      <c r="O361"/>
      <c r="P361"/>
    </row>
    <row r="362" spans="11:16" ht="17.399999999999999">
      <c r="K362" s="1265"/>
      <c r="L362"/>
      <c r="M362"/>
      <c r="N362"/>
      <c r="O362"/>
      <c r="P362"/>
    </row>
    <row r="363" spans="11:16" ht="17.399999999999999">
      <c r="K363" s="1265"/>
      <c r="L363"/>
      <c r="M363"/>
      <c r="N363"/>
      <c r="O363"/>
      <c r="P363"/>
    </row>
    <row r="364" spans="11:16" ht="17.399999999999999">
      <c r="K364" s="1265"/>
      <c r="L364"/>
      <c r="M364"/>
      <c r="N364"/>
      <c r="O364"/>
      <c r="P364"/>
    </row>
    <row r="365" spans="11:16" ht="17.399999999999999">
      <c r="K365" s="1265"/>
      <c r="L365"/>
      <c r="M365"/>
      <c r="N365"/>
      <c r="O365"/>
      <c r="P365"/>
    </row>
    <row r="366" spans="11:16" ht="17.399999999999999">
      <c r="K366" s="1265"/>
      <c r="L366"/>
      <c r="M366"/>
      <c r="N366"/>
      <c r="O366"/>
      <c r="P366"/>
    </row>
    <row r="367" spans="11:16" ht="17.399999999999999">
      <c r="K367" s="1265"/>
      <c r="L367"/>
      <c r="M367"/>
      <c r="N367"/>
      <c r="O367"/>
      <c r="P367"/>
    </row>
    <row r="368" spans="11:16" ht="17.399999999999999">
      <c r="K368" s="1265"/>
      <c r="L368"/>
      <c r="M368"/>
      <c r="N368"/>
      <c r="O368"/>
      <c r="P368"/>
    </row>
    <row r="369" spans="11:16" ht="17.399999999999999">
      <c r="K369" s="1265"/>
      <c r="L369"/>
      <c r="M369"/>
      <c r="N369"/>
      <c r="O369"/>
      <c r="P369"/>
    </row>
    <row r="370" spans="11:16" ht="17.399999999999999">
      <c r="K370" s="1265"/>
      <c r="L370"/>
      <c r="M370"/>
      <c r="N370"/>
      <c r="O370"/>
      <c r="P370"/>
    </row>
    <row r="371" spans="11:16" ht="17.399999999999999">
      <c r="K371" s="1265"/>
      <c r="L371"/>
      <c r="M371"/>
      <c r="N371"/>
      <c r="O371"/>
      <c r="P371"/>
    </row>
    <row r="372" spans="11:16" ht="17.399999999999999">
      <c r="K372" s="1265"/>
      <c r="L372"/>
      <c r="M372"/>
      <c r="N372"/>
      <c r="O372"/>
      <c r="P372"/>
    </row>
    <row r="373" spans="11:16" ht="17.399999999999999">
      <c r="K373" s="1265"/>
      <c r="L373"/>
      <c r="M373"/>
      <c r="N373"/>
      <c r="O373"/>
      <c r="P373"/>
    </row>
    <row r="374" spans="11:16" ht="17.399999999999999">
      <c r="K374" s="1265"/>
      <c r="L374"/>
      <c r="M374"/>
      <c r="N374"/>
      <c r="O374"/>
      <c r="P374"/>
    </row>
    <row r="375" spans="11:16" ht="17.399999999999999">
      <c r="K375" s="1265"/>
      <c r="L375"/>
      <c r="M375"/>
      <c r="N375"/>
      <c r="O375"/>
      <c r="P375"/>
    </row>
    <row r="376" spans="11:16" ht="17.399999999999999">
      <c r="K376" s="1265"/>
      <c r="L376"/>
      <c r="M376"/>
      <c r="N376"/>
      <c r="O376"/>
      <c r="P376"/>
    </row>
    <row r="377" spans="11:16" ht="17.399999999999999">
      <c r="K377" s="1265"/>
      <c r="L377"/>
      <c r="M377"/>
      <c r="N377"/>
      <c r="O377"/>
      <c r="P377"/>
    </row>
    <row r="378" spans="11:16" ht="17.399999999999999">
      <c r="K378" s="1265"/>
      <c r="L378"/>
      <c r="M378"/>
      <c r="N378"/>
      <c r="O378"/>
      <c r="P378"/>
    </row>
    <row r="379" spans="11:16" ht="17.399999999999999">
      <c r="K379" s="1265"/>
      <c r="L379"/>
      <c r="M379"/>
      <c r="N379"/>
      <c r="O379"/>
      <c r="P379"/>
    </row>
    <row r="380" spans="11:16" ht="17.399999999999999">
      <c r="K380" s="1265"/>
      <c r="L380"/>
      <c r="M380"/>
      <c r="N380"/>
      <c r="O380"/>
      <c r="P380"/>
    </row>
    <row r="381" spans="11:16" ht="17.399999999999999">
      <c r="K381" s="1265"/>
      <c r="L381"/>
      <c r="M381"/>
      <c r="N381"/>
      <c r="O381"/>
      <c r="P381"/>
    </row>
    <row r="382" spans="11:16" ht="17.399999999999999">
      <c r="K382" s="1265"/>
      <c r="L382"/>
      <c r="M382"/>
      <c r="N382"/>
      <c r="O382"/>
      <c r="P382"/>
    </row>
    <row r="383" spans="11:16" ht="17.399999999999999">
      <c r="K383" s="1265"/>
      <c r="L383"/>
      <c r="M383"/>
      <c r="N383"/>
      <c r="O383"/>
      <c r="P383"/>
    </row>
    <row r="384" spans="11:16" ht="17.399999999999999">
      <c r="K384" s="1265"/>
      <c r="L384"/>
      <c r="M384"/>
      <c r="N384"/>
      <c r="O384"/>
      <c r="P384"/>
    </row>
    <row r="385" spans="11:16" ht="17.399999999999999">
      <c r="K385" s="1265"/>
      <c r="L385"/>
      <c r="M385"/>
      <c r="N385"/>
      <c r="O385"/>
      <c r="P385"/>
    </row>
    <row r="386" spans="11:16" ht="17.399999999999999">
      <c r="K386" s="1265"/>
      <c r="L386"/>
      <c r="M386"/>
      <c r="N386"/>
      <c r="O386"/>
      <c r="P386"/>
    </row>
    <row r="387" spans="11:16" ht="17.399999999999999">
      <c r="K387" s="1265"/>
      <c r="L387"/>
      <c r="M387"/>
      <c r="N387"/>
      <c r="O387"/>
      <c r="P387"/>
    </row>
    <row r="388" spans="11:16" ht="17.399999999999999">
      <c r="K388" s="1265"/>
      <c r="L388"/>
      <c r="M388"/>
      <c r="N388"/>
      <c r="O388"/>
      <c r="P388"/>
    </row>
    <row r="389" spans="11:16" ht="17.399999999999999">
      <c r="K389" s="1265"/>
      <c r="L389"/>
      <c r="M389"/>
      <c r="N389"/>
      <c r="O389"/>
      <c r="P389"/>
    </row>
    <row r="390" spans="11:16" ht="17.399999999999999">
      <c r="K390" s="1265"/>
      <c r="L390"/>
      <c r="M390"/>
      <c r="N390"/>
      <c r="O390"/>
      <c r="P390"/>
    </row>
    <row r="391" spans="11:16" ht="17.399999999999999">
      <c r="K391" s="1265"/>
      <c r="L391"/>
      <c r="M391"/>
      <c r="N391"/>
      <c r="O391"/>
      <c r="P391"/>
    </row>
    <row r="392" spans="11:16" ht="17.399999999999999">
      <c r="K392" s="1265"/>
      <c r="L392"/>
      <c r="M392"/>
      <c r="N392"/>
      <c r="O392"/>
      <c r="P392"/>
    </row>
    <row r="393" spans="11:16" ht="17.399999999999999">
      <c r="K393" s="1265"/>
      <c r="L393"/>
      <c r="M393"/>
      <c r="N393"/>
      <c r="O393"/>
      <c r="P393"/>
    </row>
    <row r="394" spans="11:16" ht="17.399999999999999">
      <c r="K394" s="1265"/>
      <c r="L394"/>
      <c r="M394"/>
      <c r="N394"/>
      <c r="O394"/>
      <c r="P394"/>
    </row>
    <row r="395" spans="11:16" ht="17.399999999999999">
      <c r="K395" s="1265"/>
      <c r="L395"/>
      <c r="M395"/>
      <c r="N395"/>
      <c r="O395"/>
      <c r="P395"/>
    </row>
    <row r="396" spans="11:16" ht="17.399999999999999">
      <c r="K396" s="1265"/>
      <c r="L396"/>
      <c r="M396"/>
      <c r="N396"/>
      <c r="O396"/>
      <c r="P396"/>
    </row>
    <row r="397" spans="11:16" ht="17.399999999999999">
      <c r="K397" s="1265"/>
      <c r="L397"/>
      <c r="M397"/>
      <c r="N397"/>
      <c r="O397"/>
      <c r="P397"/>
    </row>
    <row r="398" spans="11:16" ht="17.399999999999999">
      <c r="K398" s="1265"/>
      <c r="L398"/>
      <c r="M398"/>
      <c r="N398"/>
      <c r="O398"/>
      <c r="P398"/>
    </row>
    <row r="399" spans="11:16" ht="17.399999999999999">
      <c r="K399" s="1265"/>
      <c r="L399"/>
      <c r="M399"/>
      <c r="N399"/>
      <c r="O399"/>
      <c r="P399"/>
    </row>
    <row r="400" spans="11:16" ht="17.399999999999999">
      <c r="K400" s="1265"/>
      <c r="L400"/>
      <c r="M400"/>
      <c r="N400"/>
      <c r="O400"/>
      <c r="P400"/>
    </row>
    <row r="401" spans="11:16" ht="17.399999999999999">
      <c r="K401" s="1265"/>
      <c r="L401"/>
      <c r="M401"/>
      <c r="N401"/>
      <c r="O401"/>
      <c r="P401"/>
    </row>
    <row r="402" spans="11:16" ht="17.399999999999999">
      <c r="K402" s="1265"/>
      <c r="L402"/>
      <c r="M402"/>
      <c r="N402"/>
      <c r="O402"/>
      <c r="P402"/>
    </row>
    <row r="403" spans="11:16" ht="17.399999999999999">
      <c r="K403" s="1265"/>
      <c r="L403"/>
      <c r="M403"/>
      <c r="N403"/>
      <c r="O403"/>
      <c r="P403"/>
    </row>
    <row r="404" spans="11:16" ht="17.399999999999999">
      <c r="K404" s="1265"/>
      <c r="L404"/>
      <c r="M404"/>
      <c r="N404"/>
      <c r="O404"/>
      <c r="P404"/>
    </row>
    <row r="405" spans="11:16" ht="17.399999999999999">
      <c r="K405" s="1265"/>
      <c r="L405"/>
      <c r="M405"/>
      <c r="N405"/>
      <c r="O405"/>
      <c r="P405"/>
    </row>
    <row r="406" spans="11:16" ht="17.399999999999999">
      <c r="K406" s="1265"/>
      <c r="L406"/>
      <c r="M406"/>
      <c r="N406"/>
      <c r="O406"/>
      <c r="P406"/>
    </row>
    <row r="407" spans="11:16" ht="17.399999999999999">
      <c r="K407" s="1265"/>
      <c r="L407"/>
      <c r="M407"/>
      <c r="N407"/>
      <c r="O407"/>
      <c r="P407"/>
    </row>
    <row r="408" spans="11:16" ht="17.399999999999999">
      <c r="K408" s="1265"/>
      <c r="L408"/>
      <c r="M408"/>
      <c r="N408"/>
      <c r="O408"/>
      <c r="P408"/>
    </row>
    <row r="409" spans="11:16" ht="17.399999999999999">
      <c r="K409" s="1265"/>
      <c r="L409"/>
      <c r="M409"/>
      <c r="N409"/>
      <c r="O409"/>
      <c r="P409"/>
    </row>
    <row r="410" spans="11:16" ht="17.399999999999999">
      <c r="K410" s="1265"/>
      <c r="L410"/>
      <c r="M410"/>
      <c r="N410"/>
      <c r="O410"/>
      <c r="P410"/>
    </row>
    <row r="411" spans="11:16" ht="17.399999999999999">
      <c r="K411" s="1265"/>
      <c r="L411"/>
      <c r="M411"/>
      <c r="N411"/>
      <c r="O411"/>
      <c r="P411"/>
    </row>
    <row r="412" spans="11:16" ht="17.399999999999999">
      <c r="K412" s="1265"/>
      <c r="L412"/>
      <c r="M412"/>
      <c r="N412"/>
      <c r="O412"/>
      <c r="P412"/>
    </row>
    <row r="413" spans="11:16" ht="17.399999999999999">
      <c r="K413" s="1265"/>
      <c r="L413"/>
      <c r="M413"/>
      <c r="N413"/>
      <c r="O413"/>
      <c r="P413"/>
    </row>
    <row r="414" spans="11:16" ht="17.399999999999999">
      <c r="K414" s="1265"/>
      <c r="L414"/>
      <c r="M414"/>
      <c r="N414"/>
      <c r="O414"/>
      <c r="P414"/>
    </row>
    <row r="415" spans="11:16" ht="17.399999999999999">
      <c r="K415" s="1265"/>
      <c r="L415"/>
      <c r="M415"/>
      <c r="N415"/>
      <c r="O415"/>
      <c r="P415"/>
    </row>
    <row r="416" spans="11:16" ht="17.399999999999999">
      <c r="K416" s="1265"/>
      <c r="L416"/>
      <c r="M416"/>
      <c r="N416"/>
      <c r="O416"/>
      <c r="P416"/>
    </row>
    <row r="417" spans="11:16" ht="17.399999999999999">
      <c r="K417" s="1265"/>
      <c r="L417"/>
      <c r="M417"/>
      <c r="N417"/>
      <c r="O417"/>
      <c r="P417"/>
    </row>
    <row r="418" spans="11:16" ht="17.399999999999999">
      <c r="K418" s="1265"/>
      <c r="L418"/>
      <c r="M418"/>
      <c r="N418"/>
      <c r="O418"/>
      <c r="P418"/>
    </row>
    <row r="419" spans="11:16" ht="17.399999999999999">
      <c r="K419" s="1265"/>
      <c r="L419"/>
      <c r="M419"/>
      <c r="N419"/>
      <c r="O419"/>
      <c r="P419"/>
    </row>
    <row r="420" spans="11:16" ht="17.399999999999999">
      <c r="K420" s="1265"/>
      <c r="L420"/>
      <c r="M420"/>
      <c r="N420"/>
      <c r="O420"/>
      <c r="P420"/>
    </row>
    <row r="421" spans="11:16" ht="17.399999999999999">
      <c r="K421" s="1265"/>
      <c r="L421"/>
      <c r="M421"/>
      <c r="N421"/>
      <c r="O421"/>
      <c r="P421"/>
    </row>
    <row r="422" spans="11:16" ht="17.399999999999999">
      <c r="K422" s="1265"/>
      <c r="L422"/>
      <c r="M422"/>
      <c r="N422"/>
      <c r="O422"/>
      <c r="P422"/>
    </row>
    <row r="423" spans="11:16" ht="17.399999999999999">
      <c r="K423" s="1265"/>
      <c r="L423"/>
      <c r="M423"/>
      <c r="N423"/>
      <c r="O423"/>
      <c r="P423"/>
    </row>
    <row r="424" spans="11:16" ht="17.399999999999999">
      <c r="K424" s="1265"/>
      <c r="L424"/>
      <c r="M424"/>
      <c r="N424"/>
      <c r="O424"/>
      <c r="P424"/>
    </row>
    <row r="425" spans="11:16" ht="17.399999999999999">
      <c r="K425" s="1265"/>
      <c r="L425"/>
      <c r="M425"/>
      <c r="N425"/>
      <c r="O425"/>
      <c r="P425"/>
    </row>
    <row r="426" spans="11:16" ht="17.399999999999999">
      <c r="K426" s="1265"/>
      <c r="L426"/>
      <c r="M426"/>
      <c r="N426"/>
      <c r="O426"/>
      <c r="P426"/>
    </row>
    <row r="427" spans="11:16" ht="17.399999999999999">
      <c r="K427" s="1265"/>
      <c r="L427"/>
      <c r="M427"/>
      <c r="N427"/>
      <c r="O427"/>
      <c r="P427"/>
    </row>
    <row r="428" spans="11:16" ht="17.399999999999999">
      <c r="K428" s="1265"/>
      <c r="L428"/>
      <c r="M428"/>
      <c r="N428"/>
      <c r="O428"/>
      <c r="P428"/>
    </row>
    <row r="429" spans="11:16" ht="17.399999999999999">
      <c r="K429" s="1265"/>
      <c r="L429"/>
      <c r="M429"/>
      <c r="N429"/>
      <c r="O429"/>
      <c r="P429"/>
    </row>
    <row r="430" spans="11:16" ht="17.399999999999999">
      <c r="K430" s="1265"/>
      <c r="L430"/>
      <c r="M430"/>
      <c r="N430"/>
      <c r="O430"/>
      <c r="P430"/>
    </row>
    <row r="431" spans="11:16" ht="17.399999999999999">
      <c r="K431" s="1265"/>
      <c r="L431"/>
      <c r="M431"/>
      <c r="N431"/>
      <c r="O431"/>
      <c r="P431"/>
    </row>
    <row r="432" spans="11:16" ht="17.399999999999999">
      <c r="K432" s="1265"/>
      <c r="L432"/>
      <c r="M432"/>
      <c r="N432"/>
      <c r="O432"/>
      <c r="P432"/>
    </row>
    <row r="433" spans="11:16" ht="17.399999999999999">
      <c r="K433" s="1265"/>
      <c r="L433"/>
      <c r="M433"/>
      <c r="N433"/>
      <c r="O433"/>
      <c r="P433"/>
    </row>
    <row r="434" spans="11:16" ht="17.399999999999999">
      <c r="K434" s="1265"/>
      <c r="L434"/>
      <c r="M434"/>
      <c r="N434"/>
      <c r="O434"/>
      <c r="P434"/>
    </row>
    <row r="435" spans="11:16" ht="17.399999999999999">
      <c r="K435" s="1265"/>
      <c r="L435"/>
      <c r="M435"/>
      <c r="N435"/>
      <c r="O435"/>
      <c r="P435"/>
    </row>
    <row r="436" spans="11:16" ht="17.399999999999999">
      <c r="K436" s="1265"/>
      <c r="L436"/>
      <c r="M436"/>
      <c r="N436"/>
      <c r="O436"/>
      <c r="P436"/>
    </row>
    <row r="437" spans="11:16" ht="17.399999999999999">
      <c r="K437" s="1265"/>
      <c r="L437"/>
      <c r="M437"/>
      <c r="N437"/>
      <c r="O437"/>
      <c r="P437"/>
    </row>
    <row r="438" spans="11:16" ht="17.399999999999999">
      <c r="K438" s="1265"/>
      <c r="L438"/>
      <c r="M438"/>
      <c r="N438"/>
      <c r="O438"/>
      <c r="P438"/>
    </row>
    <row r="439" spans="11:16" ht="17.399999999999999">
      <c r="K439" s="1265"/>
      <c r="L439"/>
      <c r="M439"/>
      <c r="N439"/>
      <c r="O439"/>
      <c r="P439"/>
    </row>
    <row r="440" spans="11:16" ht="17.399999999999999">
      <c r="K440" s="1265"/>
      <c r="L440"/>
      <c r="M440"/>
      <c r="N440"/>
      <c r="O440"/>
      <c r="P440"/>
    </row>
    <row r="441" spans="11:16" ht="17.399999999999999">
      <c r="K441" s="1265"/>
      <c r="L441"/>
      <c r="M441"/>
      <c r="N441"/>
      <c r="O441"/>
      <c r="P441"/>
    </row>
    <row r="442" spans="11:16" ht="17.399999999999999">
      <c r="K442" s="1265"/>
      <c r="L442"/>
      <c r="M442"/>
      <c r="N442"/>
      <c r="O442"/>
      <c r="P442"/>
    </row>
    <row r="443" spans="11:16" ht="17.399999999999999">
      <c r="K443" s="1265"/>
      <c r="L443"/>
      <c r="M443"/>
      <c r="N443"/>
      <c r="O443"/>
      <c r="P443"/>
    </row>
    <row r="444" spans="11:16" ht="17.399999999999999">
      <c r="K444" s="1265"/>
      <c r="L444"/>
      <c r="M444"/>
      <c r="N444"/>
      <c r="O444"/>
      <c r="P444"/>
    </row>
    <row r="445" spans="11:16" ht="17.399999999999999">
      <c r="K445" s="1265"/>
      <c r="L445"/>
      <c r="M445"/>
      <c r="N445"/>
      <c r="O445"/>
      <c r="P445"/>
    </row>
    <row r="446" spans="11:16" ht="17.399999999999999">
      <c r="K446" s="1265"/>
      <c r="L446"/>
      <c r="M446"/>
      <c r="N446"/>
      <c r="O446"/>
      <c r="P446"/>
    </row>
    <row r="447" spans="11:16" ht="17.399999999999999">
      <c r="K447" s="1265"/>
      <c r="L447"/>
      <c r="M447"/>
      <c r="N447"/>
      <c r="O447"/>
      <c r="P447"/>
    </row>
    <row r="448" spans="11:16" ht="17.399999999999999">
      <c r="K448" s="1265"/>
      <c r="L448"/>
      <c r="M448"/>
      <c r="N448"/>
      <c r="O448"/>
      <c r="P448"/>
    </row>
    <row r="449" spans="11:16" ht="17.399999999999999">
      <c r="K449" s="1265"/>
      <c r="L449"/>
      <c r="M449"/>
      <c r="N449"/>
      <c r="O449"/>
      <c r="P449"/>
    </row>
    <row r="450" spans="11:16" ht="17.399999999999999">
      <c r="K450" s="1265"/>
      <c r="L450"/>
      <c r="M450"/>
      <c r="N450"/>
      <c r="O450"/>
      <c r="P450"/>
    </row>
    <row r="451" spans="11:16" ht="17.399999999999999">
      <c r="K451" s="1265"/>
      <c r="L451"/>
      <c r="M451"/>
      <c r="N451"/>
      <c r="O451"/>
      <c r="P451"/>
    </row>
    <row r="452" spans="11:16" ht="17.399999999999999">
      <c r="K452" s="1265"/>
      <c r="L452"/>
      <c r="M452"/>
      <c r="N452"/>
      <c r="O452"/>
      <c r="P452"/>
    </row>
    <row r="453" spans="11:16" ht="17.399999999999999">
      <c r="K453" s="1265"/>
      <c r="L453"/>
      <c r="M453"/>
      <c r="N453"/>
      <c r="O453"/>
      <c r="P453"/>
    </row>
    <row r="454" spans="11:16" ht="17.399999999999999">
      <c r="K454" s="1265"/>
      <c r="L454"/>
      <c r="M454"/>
      <c r="N454"/>
      <c r="O454"/>
      <c r="P454"/>
    </row>
    <row r="455" spans="11:16" ht="17.399999999999999">
      <c r="K455" s="1265"/>
      <c r="L455"/>
      <c r="M455"/>
      <c r="N455"/>
      <c r="O455"/>
      <c r="P455"/>
    </row>
    <row r="456" spans="11:16" ht="17.399999999999999">
      <c r="K456" s="1265"/>
      <c r="L456"/>
      <c r="M456"/>
      <c r="N456"/>
      <c r="O456"/>
      <c r="P456"/>
    </row>
    <row r="457" spans="11:16" ht="17.399999999999999">
      <c r="K457" s="1265"/>
      <c r="L457"/>
      <c r="M457"/>
      <c r="N457"/>
      <c r="O457"/>
      <c r="P457"/>
    </row>
    <row r="458" spans="11:16" ht="17.399999999999999">
      <c r="K458" s="1265"/>
      <c r="L458"/>
      <c r="M458"/>
      <c r="N458"/>
      <c r="O458"/>
      <c r="P458"/>
    </row>
    <row r="459" spans="11:16" ht="17.399999999999999">
      <c r="K459" s="1265"/>
      <c r="L459"/>
      <c r="M459"/>
      <c r="N459"/>
      <c r="O459"/>
      <c r="P459"/>
    </row>
    <row r="460" spans="11:16" ht="17.399999999999999">
      <c r="K460" s="1265"/>
      <c r="L460"/>
      <c r="M460"/>
      <c r="N460"/>
      <c r="O460"/>
      <c r="P460"/>
    </row>
    <row r="461" spans="11:16" ht="17.399999999999999">
      <c r="K461" s="1265"/>
      <c r="L461"/>
      <c r="M461"/>
      <c r="N461"/>
      <c r="O461"/>
      <c r="P461"/>
    </row>
    <row r="462" spans="11:16" ht="17.399999999999999">
      <c r="K462" s="1265"/>
      <c r="L462"/>
      <c r="M462"/>
      <c r="N462"/>
      <c r="O462"/>
      <c r="P462"/>
    </row>
    <row r="463" spans="11:16" ht="17.399999999999999">
      <c r="K463" s="1265"/>
      <c r="L463"/>
      <c r="M463"/>
      <c r="N463"/>
      <c r="O463"/>
      <c r="P463"/>
    </row>
    <row r="464" spans="11:16" ht="17.399999999999999">
      <c r="K464" s="1265"/>
      <c r="L464"/>
      <c r="M464"/>
      <c r="N464"/>
      <c r="O464"/>
      <c r="P464"/>
    </row>
    <row r="465" spans="11:16" ht="17.399999999999999">
      <c r="K465" s="1265"/>
      <c r="L465"/>
      <c r="M465"/>
      <c r="N465"/>
      <c r="O465"/>
      <c r="P465"/>
    </row>
    <row r="466" spans="11:16" ht="17.399999999999999">
      <c r="K466" s="1265"/>
      <c r="L466"/>
      <c r="M466"/>
      <c r="N466"/>
      <c r="O466"/>
      <c r="P466"/>
    </row>
    <row r="467" spans="11:16" ht="17.399999999999999">
      <c r="K467" s="1265"/>
      <c r="L467"/>
      <c r="M467"/>
      <c r="N467"/>
      <c r="O467"/>
      <c r="P467"/>
    </row>
    <row r="468" spans="11:16" ht="17.399999999999999">
      <c r="K468" s="1265"/>
      <c r="L468"/>
      <c r="M468"/>
      <c r="N468"/>
      <c r="O468"/>
      <c r="P468"/>
    </row>
    <row r="469" spans="11:16" ht="17.399999999999999">
      <c r="K469" s="1265"/>
      <c r="L469"/>
      <c r="M469"/>
      <c r="N469"/>
      <c r="O469"/>
      <c r="P469"/>
    </row>
    <row r="470" spans="11:16" ht="17.399999999999999">
      <c r="K470" s="1265"/>
      <c r="L470"/>
      <c r="M470"/>
      <c r="N470"/>
      <c r="O470"/>
      <c r="P470"/>
    </row>
  </sheetData>
  <customSheetViews>
    <customSheetView guid="{4B6F0EB4-660D-4B5D-BC48-6CB7C10D7F9B}" showPageBreaks="1" showGridLines="0" printArea="1">
      <pane ySplit="4" topLeftCell="A5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1"/>
      <headerFooter alignWithMargins="0"/>
    </customSheetView>
    <customSheetView guid="{2118503C-FA17-40AD-A92D-3BEB91EE1F01}" showPageBreaks="1" showGridLines="0" printArea="1">
      <pane ySplit="4" topLeftCell="A128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2"/>
      <headerFooter alignWithMargins="0"/>
    </customSheetView>
    <customSheetView guid="{844B66BD-C499-418A-A656-40E7940347EA}" showPageBreaks="1" showGridLines="0" printArea="1">
      <pane ySplit="4" topLeftCell="A116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3"/>
      <headerFooter alignWithMargins="0"/>
    </customSheetView>
    <customSheetView guid="{7523CC8F-897F-48BF-94A5-CFFF399736A5}" showPageBreaks="1" showGridLines="0" printArea="1">
      <pane ySplit="4" topLeftCell="A128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4"/>
      <headerFooter alignWithMargins="0"/>
    </customSheetView>
    <customSheetView guid="{89B07EC3-7982-4908-AB99-54EB5928E5C4}" showPageBreaks="1" showGridLines="0">
      <pane ySplit="4" topLeftCell="A104" activePane="bottomLeft" state="frozen"/>
      <selection pane="bottomLeft" activeCell="B3" sqref="B3"/>
      <pageMargins left="0.15748031496062992" right="0.15748031496062992" top="0.23622047244094491" bottom="0.15748031496062992" header="0.15748031496062992" footer="0.15748031496062992"/>
      <printOptions verticalCentered="1"/>
      <pageSetup paperSize="9" scale="94" orientation="portrait" verticalDpi="300" r:id="rId5"/>
      <headerFooter alignWithMargins="0"/>
    </customSheetView>
  </customSheetViews>
  <mergeCells count="75">
    <mergeCell ref="A75:A98"/>
    <mergeCell ref="B75:B98"/>
    <mergeCell ref="N5:N7"/>
    <mergeCell ref="N8:N10"/>
    <mergeCell ref="M5:M7"/>
    <mergeCell ref="M8:M10"/>
    <mergeCell ref="A63:A72"/>
    <mergeCell ref="B6:B72"/>
    <mergeCell ref="K6:K72"/>
    <mergeCell ref="A73:A74"/>
    <mergeCell ref="C73:C74"/>
    <mergeCell ref="B73:B74"/>
    <mergeCell ref="C87:C92"/>
    <mergeCell ref="C54:C56"/>
    <mergeCell ref="C63:C64"/>
    <mergeCell ref="C93:C94"/>
    <mergeCell ref="P5:P7"/>
    <mergeCell ref="P8:P10"/>
    <mergeCell ref="C49:C53"/>
    <mergeCell ref="C6:C13"/>
    <mergeCell ref="C20:C23"/>
    <mergeCell ref="J38:J41"/>
    <mergeCell ref="C38:C41"/>
    <mergeCell ref="O5:O7"/>
    <mergeCell ref="O8:O10"/>
    <mergeCell ref="J141:J144"/>
    <mergeCell ref="J133:J136"/>
    <mergeCell ref="J137:J140"/>
    <mergeCell ref="C36:C37"/>
    <mergeCell ref="J42:J43"/>
    <mergeCell ref="C133:C136"/>
    <mergeCell ref="C137:C140"/>
    <mergeCell ref="C69:C72"/>
    <mergeCell ref="J54:J56"/>
    <mergeCell ref="C42:C43"/>
    <mergeCell ref="C44:C45"/>
    <mergeCell ref="C141:C144"/>
    <mergeCell ref="C111:C114"/>
    <mergeCell ref="C115:C116"/>
    <mergeCell ref="C129:C132"/>
    <mergeCell ref="C105:C110"/>
    <mergeCell ref="J145:J148"/>
    <mergeCell ref="C145:C148"/>
    <mergeCell ref="B159:B164"/>
    <mergeCell ref="B153:B158"/>
    <mergeCell ref="C153:C156"/>
    <mergeCell ref="C163:C164"/>
    <mergeCell ref="C159:C162"/>
    <mergeCell ref="C157:C158"/>
    <mergeCell ref="K165:K167"/>
    <mergeCell ref="G166:I166"/>
    <mergeCell ref="G165:I165"/>
    <mergeCell ref="G167:I167"/>
    <mergeCell ref="J163:J164"/>
    <mergeCell ref="C103:C104"/>
    <mergeCell ref="B149:B152"/>
    <mergeCell ref="C149:C152"/>
    <mergeCell ref="B145:B148"/>
    <mergeCell ref="C95:C98"/>
    <mergeCell ref="B2:J2"/>
    <mergeCell ref="M4:N4"/>
    <mergeCell ref="C57:C58"/>
    <mergeCell ref="C59:C62"/>
    <mergeCell ref="C117:C122"/>
    <mergeCell ref="C14:C19"/>
    <mergeCell ref="J103:J104"/>
    <mergeCell ref="J111:J114"/>
    <mergeCell ref="J115:J116"/>
    <mergeCell ref="C24:C31"/>
    <mergeCell ref="C32:C33"/>
    <mergeCell ref="C34:C35"/>
    <mergeCell ref="C77:C78"/>
    <mergeCell ref="C75:C76"/>
    <mergeCell ref="C79:C86"/>
    <mergeCell ref="C99:C102"/>
  </mergeCells>
  <phoneticPr fontId="8" type="noConversion"/>
  <printOptions verticalCentered="1"/>
  <pageMargins left="0.15748031496062992" right="0.15748031496062992" top="0.23622047244094491" bottom="0.15748031496062992" header="0.15748031496062992" footer="0.15748031496062992"/>
  <pageSetup paperSize="9" scale="94" orientation="portrait" verticalDpi="300" r:id="rId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BE448"/>
  <sheetViews>
    <sheetView topLeftCell="A21" workbookViewId="0">
      <selection activeCell="C50" sqref="C50"/>
    </sheetView>
  </sheetViews>
  <sheetFormatPr defaultColWidth="9" defaultRowHeight="14.4"/>
  <cols>
    <col min="1" max="1" width="6.8984375" style="278" customWidth="1"/>
    <col min="2" max="2" width="10.3984375" style="244" customWidth="1"/>
    <col min="3" max="3" width="33.5" style="244" customWidth="1"/>
    <col min="4" max="4" width="4.59765625" style="244" customWidth="1"/>
    <col min="5" max="5" width="12.8984375" style="913" customWidth="1"/>
    <col min="6" max="6" width="8.8984375" style="244" customWidth="1"/>
    <col min="7" max="7" width="11.69921875" style="490" customWidth="1"/>
    <col min="8" max="8" width="11.5" style="490" customWidth="1"/>
    <col min="9" max="9" width="19.59765625" style="985" bestFit="1" customWidth="1"/>
    <col min="10" max="10" width="18" style="244" customWidth="1"/>
    <col min="11" max="11" width="19.19921875" style="961" customWidth="1"/>
    <col min="12" max="12" width="17.09765625" style="244" customWidth="1"/>
    <col min="13" max="13" width="15.59765625" style="235" bestFit="1" customWidth="1"/>
    <col min="14" max="14" width="7.3984375" style="235" customWidth="1"/>
    <col min="15" max="15" width="8.19921875" style="235" customWidth="1"/>
    <col min="16" max="17" width="5.5" style="235" customWidth="1"/>
    <col min="18" max="18" width="17.5" style="1035" customWidth="1"/>
    <col min="19" max="19" width="4.59765625" style="1035" customWidth="1"/>
    <col min="20" max="20" width="35.8984375" style="1035" customWidth="1"/>
    <col min="21" max="21" width="9" style="1036" customWidth="1"/>
    <col min="22" max="22" width="11.3984375" style="1036" customWidth="1"/>
    <col min="23" max="23" width="5.5" style="235" customWidth="1"/>
    <col min="24" max="24" width="14.19921875" style="235" customWidth="1"/>
    <col min="25" max="25" width="5.59765625" style="235" customWidth="1"/>
    <col min="26" max="26" width="37.8984375" style="235" bestFit="1" customWidth="1"/>
    <col min="27" max="28" width="15.59765625" style="235" customWidth="1"/>
    <col min="29" max="29" width="3.3984375" style="235" customWidth="1"/>
    <col min="30" max="30" width="10.5" style="244" bestFit="1" customWidth="1"/>
    <col min="31" max="31" width="15.59765625" style="235" customWidth="1"/>
    <col min="32" max="32" width="3.5" style="235" customWidth="1"/>
    <col min="33" max="33" width="15.09765625" style="235" bestFit="1" customWidth="1"/>
    <col min="34" max="34" width="9" style="235" bestFit="1" customWidth="1"/>
    <col min="35" max="35" width="8.09765625" style="235" bestFit="1" customWidth="1"/>
    <col min="36" max="36" width="16" style="235" bestFit="1" customWidth="1"/>
    <col min="37" max="37" width="6.69921875" style="235" customWidth="1"/>
    <col min="38" max="40" width="15.59765625" style="235" customWidth="1"/>
    <col min="41" max="42" width="17.19921875" style="362" customWidth="1"/>
    <col min="43" max="45" width="12.59765625" style="244" customWidth="1"/>
    <col min="46" max="46" width="15.69921875" style="244" bestFit="1" customWidth="1"/>
    <col min="47" max="47" width="13.69921875" style="244" customWidth="1"/>
    <col min="48" max="48" width="13.09765625" style="244" customWidth="1"/>
    <col min="49" max="50" width="6.3984375" style="244" customWidth="1"/>
    <col min="51" max="51" width="9" style="244"/>
    <col min="52" max="16384" width="9" style="235"/>
  </cols>
  <sheetData>
    <row r="1" spans="1:51" ht="25.2" thickBot="1">
      <c r="A1" s="2333" t="s">
        <v>2174</v>
      </c>
      <c r="B1" s="2333"/>
      <c r="C1" s="2333"/>
      <c r="D1" s="2333"/>
      <c r="E1" s="2333"/>
      <c r="F1" s="2333"/>
      <c r="G1" s="2333"/>
      <c r="H1" s="2333"/>
      <c r="I1" s="2333"/>
      <c r="J1" s="2333"/>
      <c r="K1" s="945"/>
      <c r="L1" s="350"/>
      <c r="P1" s="1057"/>
      <c r="Q1" s="1057"/>
      <c r="R1" s="1058"/>
      <c r="S1" s="1058"/>
      <c r="T1" s="1058"/>
      <c r="U1" s="1059"/>
      <c r="V1" s="1059"/>
      <c r="W1" s="1057"/>
      <c r="X1" s="1057"/>
      <c r="Y1" s="1057"/>
      <c r="Z1" s="1057"/>
      <c r="AA1" s="1057"/>
      <c r="AB1" s="1057"/>
      <c r="AC1" s="1057"/>
      <c r="AD1" s="1057"/>
      <c r="AN1" s="488"/>
      <c r="AO1" s="489"/>
      <c r="AP1" s="489"/>
      <c r="AQ1" s="490"/>
      <c r="AR1" s="490"/>
      <c r="AS1" s="490"/>
      <c r="AT1" s="490"/>
      <c r="AU1" s="490"/>
    </row>
    <row r="2" spans="1:51" s="238" customFormat="1" ht="16.5" customHeight="1" thickBot="1">
      <c r="A2" s="895" t="s">
        <v>31</v>
      </c>
      <c r="B2" s="896" t="s">
        <v>23</v>
      </c>
      <c r="C2" s="897" t="s">
        <v>24</v>
      </c>
      <c r="D2" s="896" t="s">
        <v>25</v>
      </c>
      <c r="E2" s="902" t="s">
        <v>78</v>
      </c>
      <c r="F2" s="876" t="s">
        <v>26</v>
      </c>
      <c r="G2" s="898" t="s">
        <v>289</v>
      </c>
      <c r="H2" s="899" t="s">
        <v>290</v>
      </c>
      <c r="I2" s="974" t="s">
        <v>291</v>
      </c>
      <c r="J2" s="876" t="s">
        <v>862</v>
      </c>
      <c r="K2" s="946" t="s">
        <v>2189</v>
      </c>
      <c r="L2" s="876" t="s">
        <v>861</v>
      </c>
      <c r="M2" s="355"/>
      <c r="N2" s="355"/>
      <c r="O2" s="355"/>
      <c r="P2" s="355"/>
      <c r="Q2" s="355"/>
      <c r="R2" s="1037" t="s">
        <v>1109</v>
      </c>
      <c r="S2" s="1037" t="s">
        <v>1110</v>
      </c>
      <c r="T2" s="1037" t="s">
        <v>1111</v>
      </c>
      <c r="U2" s="1037" t="s">
        <v>290</v>
      </c>
      <c r="V2" s="1037" t="s">
        <v>291</v>
      </c>
      <c r="W2" s="355"/>
      <c r="X2" s="355"/>
      <c r="Y2" s="355"/>
      <c r="Z2" s="355"/>
      <c r="AA2" s="355"/>
      <c r="AB2" s="355"/>
      <c r="AC2" s="355"/>
      <c r="AD2" s="352"/>
      <c r="AE2" s="355"/>
      <c r="AF2" s="355"/>
      <c r="AG2" s="355"/>
      <c r="AH2" s="355"/>
      <c r="AI2" s="355"/>
      <c r="AJ2" s="355"/>
      <c r="AK2" s="355"/>
      <c r="AL2" s="355"/>
      <c r="AM2" s="355"/>
      <c r="AN2" s="359"/>
      <c r="AO2" s="357" t="s">
        <v>544</v>
      </c>
      <c r="AP2" s="357" t="s">
        <v>545</v>
      </c>
      <c r="AQ2" s="360" t="s">
        <v>548</v>
      </c>
      <c r="AR2" s="360" t="s">
        <v>549</v>
      </c>
      <c r="AS2" s="364"/>
      <c r="AT2" s="364"/>
      <c r="AU2" s="492"/>
      <c r="AV2" s="352"/>
      <c r="AW2" s="352"/>
      <c r="AX2" s="352"/>
      <c r="AY2" s="352"/>
    </row>
    <row r="3" spans="1:51" s="238" customFormat="1" ht="16.5" customHeight="1">
      <c r="A3" s="2343" t="s">
        <v>935</v>
      </c>
      <c r="B3" s="1397" t="s">
        <v>901</v>
      </c>
      <c r="C3" s="1398" t="s">
        <v>903</v>
      </c>
      <c r="D3" s="1397" t="s">
        <v>32</v>
      </c>
      <c r="E3" s="2339" t="s">
        <v>905</v>
      </c>
      <c r="F3" s="2337" t="s">
        <v>943</v>
      </c>
      <c r="G3" s="900">
        <v>169</v>
      </c>
      <c r="H3" s="900">
        <f>원자재매입내역!AL7</f>
        <v>24000</v>
      </c>
      <c r="I3" s="900">
        <f t="shared" ref="I3:I8" si="0">G3*H3</f>
        <v>4056000</v>
      </c>
      <c r="J3" s="2073">
        <f>SUM(I3:I4)</f>
        <v>8112000</v>
      </c>
      <c r="K3" s="962">
        <v>8112000</v>
      </c>
      <c r="L3" s="963">
        <f>J3-K3</f>
        <v>0</v>
      </c>
      <c r="M3" s="355"/>
      <c r="N3" s="355"/>
      <c r="O3" s="355"/>
      <c r="P3" s="355"/>
      <c r="Q3" s="355"/>
      <c r="R3" s="1038" t="s">
        <v>905</v>
      </c>
      <c r="S3" s="1038">
        <f>COUNTIF($R$3:R3,R3)</f>
        <v>1</v>
      </c>
      <c r="T3" s="1038" t="str">
        <f t="shared" ref="T3:T66" si="1">C3</f>
        <v>UPR Bracket LH</v>
      </c>
      <c r="U3" s="1037">
        <f>H3</f>
        <v>24000</v>
      </c>
      <c r="V3" s="1037">
        <f>I3</f>
        <v>4056000</v>
      </c>
      <c r="W3" s="355"/>
      <c r="X3" s="1039" t="s">
        <v>1112</v>
      </c>
      <c r="Y3" s="1040"/>
      <c r="Z3" s="1039" t="s">
        <v>1113</v>
      </c>
      <c r="AA3" s="355"/>
      <c r="AB3" s="355"/>
      <c r="AC3" s="355"/>
      <c r="AD3" s="352"/>
      <c r="AE3" s="355"/>
      <c r="AF3" s="355"/>
      <c r="AG3" s="355"/>
      <c r="AH3" s="355"/>
      <c r="AI3" s="355"/>
      <c r="AJ3" s="355"/>
      <c r="AK3" s="355"/>
      <c r="AL3" s="355"/>
      <c r="AM3" s="355"/>
      <c r="AN3" s="359"/>
      <c r="AO3" s="357"/>
      <c r="AP3" s="357"/>
      <c r="AQ3" s="360"/>
      <c r="AR3" s="360"/>
      <c r="AS3" s="364"/>
      <c r="AT3" s="364"/>
      <c r="AU3" s="492"/>
      <c r="AV3" s="352"/>
      <c r="AW3" s="352"/>
      <c r="AX3" s="352"/>
      <c r="AY3" s="352"/>
    </row>
    <row r="4" spans="1:51" s="238" customFormat="1" ht="16.5" customHeight="1">
      <c r="A4" s="2344"/>
      <c r="B4" s="909" t="s">
        <v>902</v>
      </c>
      <c r="C4" s="1227" t="s">
        <v>904</v>
      </c>
      <c r="D4" s="909" t="s">
        <v>32</v>
      </c>
      <c r="E4" s="2303"/>
      <c r="F4" s="2338"/>
      <c r="G4" s="853">
        <v>169</v>
      </c>
      <c r="H4" s="853">
        <f>원자재매입내역!AL8</f>
        <v>24000</v>
      </c>
      <c r="I4" s="853">
        <f t="shared" si="0"/>
        <v>4056000</v>
      </c>
      <c r="J4" s="2074"/>
      <c r="K4" s="948"/>
      <c r="L4" s="1152"/>
      <c r="M4"/>
      <c r="N4" s="355"/>
      <c r="O4" s="355"/>
      <c r="P4" s="355"/>
      <c r="Q4" s="355"/>
      <c r="R4" s="1038" t="s">
        <v>905</v>
      </c>
      <c r="S4" s="1038">
        <f>COUNTIF($R$3:R4,R4)</f>
        <v>2</v>
      </c>
      <c r="T4" s="1038" t="str">
        <f t="shared" si="1"/>
        <v>UPR Bracket RH</v>
      </c>
      <c r="U4" s="1037">
        <f t="shared" ref="U4:V19" si="2">H4</f>
        <v>24000</v>
      </c>
      <c r="V4" s="1037">
        <f t="shared" si="2"/>
        <v>4056000</v>
      </c>
      <c r="W4" s="355"/>
      <c r="X4" s="1041" t="s">
        <v>1115</v>
      </c>
      <c r="Y4" s="1042"/>
      <c r="Z4" s="1041">
        <f>SUM(AB7:AB164)</f>
        <v>495795757.44</v>
      </c>
      <c r="AA4" s="355"/>
      <c r="AB4" s="355"/>
      <c r="AC4" s="355"/>
      <c r="AD4" s="352"/>
      <c r="AE4" s="355"/>
      <c r="AF4" s="355"/>
      <c r="AG4" s="355"/>
      <c r="AH4" s="355"/>
      <c r="AI4" s="355"/>
      <c r="AJ4" s="355"/>
      <c r="AK4" s="355"/>
      <c r="AL4" s="355"/>
      <c r="AM4" s="355"/>
      <c r="AN4" s="359"/>
      <c r="AO4" s="357"/>
      <c r="AP4" s="357"/>
      <c r="AQ4" s="360"/>
      <c r="AR4" s="360"/>
      <c r="AS4" s="364"/>
      <c r="AT4" s="364"/>
      <c r="AU4" s="492"/>
      <c r="AV4" s="352"/>
      <c r="AW4" s="352"/>
      <c r="AX4" s="352"/>
      <c r="AY4" s="352"/>
    </row>
    <row r="5" spans="1:51" s="238" customFormat="1" ht="16.5" customHeight="1">
      <c r="A5" s="2344"/>
      <c r="B5" s="909" t="s">
        <v>906</v>
      </c>
      <c r="C5" s="1227" t="s">
        <v>907</v>
      </c>
      <c r="D5" s="909" t="s">
        <v>47</v>
      </c>
      <c r="E5" s="2303"/>
      <c r="F5" s="2353" t="s">
        <v>1064</v>
      </c>
      <c r="G5" s="854">
        <v>2492</v>
      </c>
      <c r="H5" s="703">
        <f>부자재매입내역!AL143</f>
        <v>23052</v>
      </c>
      <c r="I5" s="703">
        <f t="shared" si="0"/>
        <v>57445584</v>
      </c>
      <c r="J5" s="2119">
        <f>SUM(I5:I8)</f>
        <v>119518532</v>
      </c>
      <c r="K5" s="947">
        <v>120281364</v>
      </c>
      <c r="L5" s="964">
        <f>J5-K5</f>
        <v>-762832</v>
      </c>
      <c r="M5" s="1024">
        <f>J5+J112</f>
        <v>204842532</v>
      </c>
      <c r="N5" s="355"/>
      <c r="O5" s="355"/>
      <c r="P5" s="355"/>
      <c r="Q5" s="355"/>
      <c r="R5" s="1038" t="s">
        <v>905</v>
      </c>
      <c r="S5" s="1038">
        <f>COUNTIF($R$3:R5,R5)</f>
        <v>3</v>
      </c>
      <c r="T5" s="1038" t="str">
        <f t="shared" si="1"/>
        <v>9BQC PRI LH</v>
      </c>
      <c r="U5" s="1037">
        <f t="shared" si="2"/>
        <v>23052</v>
      </c>
      <c r="V5" s="1037">
        <f t="shared" si="2"/>
        <v>57445584</v>
      </c>
      <c r="W5" s="355"/>
      <c r="X5" s="355"/>
      <c r="Y5" s="355"/>
      <c r="Z5" s="355"/>
      <c r="AA5" s="355"/>
      <c r="AB5" s="355"/>
      <c r="AC5" s="355"/>
      <c r="AD5"/>
      <c r="AE5"/>
      <c r="AF5" s="355"/>
      <c r="AG5" s="1844" t="s">
        <v>2027</v>
      </c>
      <c r="AH5" s="1845" t="s">
        <v>2028</v>
      </c>
      <c r="AI5" s="1846" t="s">
        <v>2029</v>
      </c>
      <c r="AJ5" s="1846" t="s">
        <v>2030</v>
      </c>
      <c r="AK5" s="355" t="s">
        <v>2031</v>
      </c>
      <c r="AL5" s="355"/>
      <c r="AM5" s="355"/>
      <c r="AN5" s="359"/>
      <c r="AO5" s="357"/>
      <c r="AP5" s="357"/>
      <c r="AQ5" s="360"/>
      <c r="AR5" s="360"/>
      <c r="AS5" s="364"/>
      <c r="AT5" s="364"/>
      <c r="AU5" s="492"/>
      <c r="AV5" s="352"/>
      <c r="AW5" s="352"/>
      <c r="AX5" s="352"/>
      <c r="AY5" s="352"/>
    </row>
    <row r="6" spans="1:51" s="238" customFormat="1" ht="16.5" customHeight="1">
      <c r="A6" s="2344"/>
      <c r="B6" s="909" t="s">
        <v>909</v>
      </c>
      <c r="C6" s="1227" t="s">
        <v>910</v>
      </c>
      <c r="D6" s="909" t="s">
        <v>47</v>
      </c>
      <c r="E6" s="2303"/>
      <c r="F6" s="2353"/>
      <c r="G6" s="854">
        <v>2492</v>
      </c>
      <c r="H6" s="703">
        <f>부자재매입내역!AL144</f>
        <v>23039</v>
      </c>
      <c r="I6" s="703">
        <f t="shared" si="0"/>
        <v>57413188</v>
      </c>
      <c r="J6" s="2120"/>
      <c r="K6" s="949"/>
      <c r="L6" s="1153"/>
      <c r="M6"/>
      <c r="N6" s="355"/>
      <c r="O6" s="355"/>
      <c r="P6" s="355"/>
      <c r="Q6" s="355"/>
      <c r="R6" s="1038" t="s">
        <v>905</v>
      </c>
      <c r="S6" s="1038">
        <f>COUNTIF($R$3:R6,R6)</f>
        <v>4</v>
      </c>
      <c r="T6" s="1038" t="str">
        <f t="shared" si="1"/>
        <v>9BQC PRI RH</v>
      </c>
      <c r="U6" s="1037">
        <f t="shared" si="2"/>
        <v>23039</v>
      </c>
      <c r="V6" s="1037">
        <f t="shared" si="2"/>
        <v>57413188</v>
      </c>
      <c r="W6" s="355"/>
      <c r="X6" s="1043" t="s">
        <v>1112</v>
      </c>
      <c r="Y6" s="1044" t="s">
        <v>1110</v>
      </c>
      <c r="Z6" s="1044" t="s">
        <v>1111</v>
      </c>
      <c r="AA6" s="1834" t="s">
        <v>290</v>
      </c>
      <c r="AB6" s="1835" t="s">
        <v>291</v>
      </c>
      <c r="AC6" s="355"/>
      <c r="AD6" s="1063" t="s">
        <v>1112</v>
      </c>
      <c r="AE6" s="1068" t="s">
        <v>1120</v>
      </c>
      <c r="AF6" s="355"/>
      <c r="AG6" s="355" t="s">
        <v>2032</v>
      </c>
      <c r="AH6" s="355">
        <v>111764</v>
      </c>
      <c r="AI6" s="355">
        <f>SUM('[4]TPE(9410)'!AL42:AL43)</f>
        <v>21800</v>
      </c>
      <c r="AJ6" s="355">
        <f>AI6*AH6</f>
        <v>2436455200</v>
      </c>
      <c r="AK6" s="355"/>
      <c r="AL6" s="355"/>
      <c r="AM6" s="355"/>
      <c r="AN6" s="359"/>
      <c r="AO6" s="357"/>
      <c r="AP6" s="357"/>
      <c r="AQ6" s="360"/>
      <c r="AR6" s="360"/>
      <c r="AS6" s="364"/>
      <c r="AT6" s="364"/>
      <c r="AU6" s="492"/>
      <c r="AV6" s="352"/>
      <c r="AW6" s="352"/>
      <c r="AX6" s="352"/>
      <c r="AY6" s="352"/>
    </row>
    <row r="7" spans="1:51" s="238" customFormat="1" ht="16.5" customHeight="1">
      <c r="A7" s="2344"/>
      <c r="B7" s="909" t="s">
        <v>911</v>
      </c>
      <c r="C7" s="1227" t="s">
        <v>912</v>
      </c>
      <c r="D7" s="909" t="s">
        <v>47</v>
      </c>
      <c r="E7" s="2303"/>
      <c r="F7" s="2353"/>
      <c r="G7" s="854">
        <v>2120</v>
      </c>
      <c r="H7" s="703">
        <f>부자재매입내역!AL145</f>
        <v>1099</v>
      </c>
      <c r="I7" s="703">
        <f t="shared" si="0"/>
        <v>2329880</v>
      </c>
      <c r="J7" s="2120"/>
      <c r="K7" s="949"/>
      <c r="L7" s="1153"/>
      <c r="M7"/>
      <c r="N7" s="355"/>
      <c r="O7" s="355"/>
      <c r="P7" s="355"/>
      <c r="Q7" s="355"/>
      <c r="R7" s="1038" t="s">
        <v>905</v>
      </c>
      <c r="S7" s="1038">
        <f>COUNTIF($R$3:R7,R7)</f>
        <v>5</v>
      </c>
      <c r="T7" s="1038" t="str">
        <f t="shared" si="1"/>
        <v>9BQC TNTD LH</v>
      </c>
      <c r="U7" s="1037">
        <f t="shared" si="2"/>
        <v>1099</v>
      </c>
      <c r="V7" s="1037">
        <f t="shared" si="2"/>
        <v>2329880</v>
      </c>
      <c r="W7" s="355"/>
      <c r="X7" s="1043" t="str">
        <f t="shared" ref="X7:X12" si="3">$X$4</f>
        <v>압출 PCM</v>
      </c>
      <c r="Y7" s="1044">
        <f>ROW()-6</f>
        <v>1</v>
      </c>
      <c r="Z7" s="1044" t="str">
        <f t="array" ref="Z7">IFERROR(INDEX($T$3:$T$373,MATCH(1,($X7=$R$3:$R$373)*($Y7=$S$3:$S$373),0))," ")</f>
        <v>0.45*30</v>
      </c>
      <c r="AA7" s="1044">
        <f t="array" ref="AA7">IFERROR(INDEX($U$3:$U$373,MATCH(1,($X7=$R$3:$R$373)*($Y7=$S$3:$S$373),0))," ")</f>
        <v>0</v>
      </c>
      <c r="AB7" s="1045">
        <f t="array" ref="AB7">IFERROR(INDEX($V$3:$V$373,MATCH(1,($X7=$R$3:$R$373)*($Y7=$S$3:$S$373),0))," ")</f>
        <v>0</v>
      </c>
      <c r="AC7" s="355"/>
      <c r="AD7" s="1061" t="s">
        <v>905</v>
      </c>
      <c r="AE7" s="1062">
        <f>SUMIF($R$3:$R$373,AD7,$V$3:$V$373)</f>
        <v>377430294.24134421</v>
      </c>
      <c r="AF7" s="355"/>
      <c r="AG7" s="355" t="s">
        <v>2033</v>
      </c>
      <c r="AH7" s="355">
        <v>59326</v>
      </c>
      <c r="AI7" s="355">
        <f>SUM('[4]TPE(9410)'!AL44:AL47)</f>
        <v>20480</v>
      </c>
      <c r="AJ7" s="355">
        <f>AI7*AH7</f>
        <v>1214996480</v>
      </c>
      <c r="AK7" s="355"/>
      <c r="AL7" s="355"/>
      <c r="AM7" s="355"/>
      <c r="AN7" s="359"/>
      <c r="AO7" s="357"/>
      <c r="AP7" s="357"/>
      <c r="AQ7" s="360"/>
      <c r="AR7" s="360"/>
      <c r="AS7" s="364"/>
      <c r="AT7" s="364"/>
      <c r="AU7" s="492"/>
      <c r="AV7" s="352"/>
      <c r="AW7" s="352"/>
      <c r="AX7" s="352"/>
      <c r="AY7" s="352"/>
    </row>
    <row r="8" spans="1:51" s="238" customFormat="1" ht="16.5" customHeight="1">
      <c r="A8" s="2344"/>
      <c r="B8" s="909" t="s">
        <v>913</v>
      </c>
      <c r="C8" s="1227" t="s">
        <v>914</v>
      </c>
      <c r="D8" s="909" t="s">
        <v>47</v>
      </c>
      <c r="E8" s="2303"/>
      <c r="F8" s="2353"/>
      <c r="G8" s="854">
        <v>2120</v>
      </c>
      <c r="H8" s="703">
        <f>부자재매입내역!AL146</f>
        <v>1099</v>
      </c>
      <c r="I8" s="703">
        <f t="shared" si="0"/>
        <v>2329880</v>
      </c>
      <c r="J8" s="2074"/>
      <c r="K8" s="948"/>
      <c r="L8" s="1152"/>
      <c r="M8" s="2161" t="s">
        <v>2253</v>
      </c>
      <c r="N8" s="355"/>
      <c r="O8" s="355"/>
      <c r="P8" s="355"/>
      <c r="Q8" s="355"/>
      <c r="R8" s="1038" t="s">
        <v>905</v>
      </c>
      <c r="S8" s="1038">
        <f>COUNTIF($R$3:R8,R8)</f>
        <v>6</v>
      </c>
      <c r="T8" s="1038" t="str">
        <f t="shared" si="1"/>
        <v>9BQC TNTD RH</v>
      </c>
      <c r="U8" s="1037">
        <f t="shared" si="2"/>
        <v>1099</v>
      </c>
      <c r="V8" s="1037">
        <f t="shared" si="2"/>
        <v>2329880</v>
      </c>
      <c r="W8" s="355"/>
      <c r="X8" s="1043" t="str">
        <f t="shared" si="3"/>
        <v>압출 PCM</v>
      </c>
      <c r="Y8" s="1044">
        <f t="shared" ref="Y8:Y71" si="4">ROW()-6</f>
        <v>2</v>
      </c>
      <c r="Z8" s="1044" t="str">
        <f t="array" ref="Z8">IFERROR(INDEX($T$3:$T$373,MATCH(1,($X8=$R$3:$R$373)*($Y8=$S$3:$S$373),0))," ")</f>
        <v>0.5*30</v>
      </c>
      <c r="AA8" s="1044">
        <f t="array" ref="AA8">IFERROR(INDEX($U$3:$U$373,MATCH(1,($X8=$R$3:$R$373)*($Y8=$S$3:$S$373),0))," ")</f>
        <v>0</v>
      </c>
      <c r="AB8" s="1045">
        <f t="array" ref="AB8">IFERROR(INDEX($V$3:$V$373,MATCH(1,($X8=$R$3:$R$373)*($Y8=$S$3:$S$373),0))," ")</f>
        <v>0</v>
      </c>
      <c r="AC8" s="355"/>
      <c r="AD8" s="1046" t="s">
        <v>180</v>
      </c>
      <c r="AE8" s="1060">
        <f>SUMIF($R$3:$R$373,AD8,$V$3:$V$373)</f>
        <v>118126129.75865579</v>
      </c>
      <c r="AF8" s="355"/>
      <c r="AG8" s="1847" t="s">
        <v>2034</v>
      </c>
      <c r="AH8" s="355"/>
      <c r="AI8" s="355"/>
      <c r="AJ8" s="1847">
        <f>SUM(AJ6:AJ7)</f>
        <v>3651451680</v>
      </c>
      <c r="AK8" s="1848">
        <f>AJ8/(SUM($AJ$8,$AJ$14))</f>
        <v>0.59593608585751401</v>
      </c>
      <c r="AL8" s="355"/>
      <c r="AM8" s="355"/>
      <c r="AN8" s="359"/>
      <c r="AO8" s="357"/>
      <c r="AP8" s="357"/>
      <c r="AQ8" s="360"/>
      <c r="AR8" s="360"/>
      <c r="AS8" s="364"/>
      <c r="AT8" s="364"/>
      <c r="AU8" s="492"/>
      <c r="AV8" s="352"/>
      <c r="AW8" s="352"/>
      <c r="AX8" s="352"/>
      <c r="AY8" s="352"/>
    </row>
    <row r="9" spans="1:51" s="238" customFormat="1" ht="16.5" customHeight="1">
      <c r="A9" s="2344"/>
      <c r="B9" s="1149">
        <v>42823723</v>
      </c>
      <c r="C9" s="1227" t="s">
        <v>1003</v>
      </c>
      <c r="D9" s="1399" t="s">
        <v>32</v>
      </c>
      <c r="E9" s="2303"/>
      <c r="F9" s="2354" t="s">
        <v>941</v>
      </c>
      <c r="G9" s="854">
        <v>1972</v>
      </c>
      <c r="H9" s="853">
        <f>부자재매입내역!AL218</f>
        <v>21474</v>
      </c>
      <c r="I9" s="853">
        <f t="shared" ref="I9:I14" si="5">H9*G9</f>
        <v>42346728</v>
      </c>
      <c r="J9" s="2184">
        <f>SUM(I9:I10)</f>
        <v>84719092</v>
      </c>
      <c r="K9" s="947">
        <v>106790404</v>
      </c>
      <c r="L9" s="964">
        <f>J9-K9</f>
        <v>-22071312</v>
      </c>
      <c r="M9" s="355">
        <v>82399198</v>
      </c>
      <c r="N9" s="355" t="s">
        <v>2251</v>
      </c>
      <c r="O9" s="355"/>
      <c r="P9" s="355"/>
      <c r="Q9" s="355"/>
      <c r="R9" s="1038" t="s">
        <v>905</v>
      </c>
      <c r="S9" s="1038">
        <f>COUNTIF($R$3:R9,R9)</f>
        <v>7</v>
      </c>
      <c r="T9" s="1038" t="str">
        <f t="shared" si="1"/>
        <v>9BQC D/V BAR LH</v>
      </c>
      <c r="U9" s="1037">
        <f t="shared" si="2"/>
        <v>21474</v>
      </c>
      <c r="V9" s="1037">
        <f t="shared" si="2"/>
        <v>42346728</v>
      </c>
      <c r="W9" s="355"/>
      <c r="X9" s="1043" t="str">
        <f t="shared" si="3"/>
        <v>압출 PCM</v>
      </c>
      <c r="Y9" s="1044">
        <f t="shared" si="4"/>
        <v>3</v>
      </c>
      <c r="Z9" s="1044" t="str">
        <f t="array" ref="Z9">IFERROR(INDEX($T$3:$T$373,MATCH(1,($X9=$R$3:$R$373)*($Y9=$S$3:$S$373),0))," ")</f>
        <v>0.5*21.3</v>
      </c>
      <c r="AA9" s="1044">
        <f t="array" ref="AA9">IFERROR(INDEX($U$3:$U$373,MATCH(1,($X9=$R$3:$R$373)*($Y9=$S$3:$S$373),0))," ")</f>
        <v>0</v>
      </c>
      <c r="AB9" s="1045">
        <f t="array" ref="AB9">IFERROR(INDEX($V$3:$V$373,MATCH(1,($X9=$R$3:$R$373)*($Y9=$S$3:$S$373),0))," ")</f>
        <v>0</v>
      </c>
      <c r="AC9" s="355"/>
      <c r="AD9" s="1064" t="s">
        <v>1114</v>
      </c>
      <c r="AE9" s="1065">
        <f>SUMIF($R$3:$R$373,AD9,$V$3:$V$373)</f>
        <v>495795757.44</v>
      </c>
      <c r="AF9" s="355"/>
      <c r="AG9" s="355"/>
      <c r="AH9" s="355"/>
      <c r="AI9" s="355"/>
      <c r="AJ9" s="355"/>
      <c r="AK9" s="355"/>
      <c r="AL9" s="355"/>
      <c r="AM9" s="355"/>
      <c r="AN9" s="359"/>
      <c r="AO9" s="357"/>
      <c r="AP9" s="357"/>
      <c r="AQ9" s="360"/>
      <c r="AR9" s="360"/>
      <c r="AS9" s="364"/>
      <c r="AT9" s="364"/>
      <c r="AU9" s="492"/>
      <c r="AV9" s="352"/>
      <c r="AW9" s="352"/>
      <c r="AX9" s="352"/>
      <c r="AY9" s="352"/>
    </row>
    <row r="10" spans="1:51" s="238" customFormat="1" ht="14.25" customHeight="1">
      <c r="A10" s="2344"/>
      <c r="B10" s="1149">
        <v>42823724</v>
      </c>
      <c r="C10" s="1227" t="s">
        <v>1004</v>
      </c>
      <c r="D10" s="1399" t="s">
        <v>32</v>
      </c>
      <c r="E10" s="2303"/>
      <c r="F10" s="2338"/>
      <c r="G10" s="854">
        <v>1972</v>
      </c>
      <c r="H10" s="853">
        <f>부자재매입내역!AL219</f>
        <v>21487</v>
      </c>
      <c r="I10" s="853">
        <f t="shared" si="5"/>
        <v>42372364</v>
      </c>
      <c r="J10" s="2185"/>
      <c r="K10" s="948"/>
      <c r="L10" s="1152"/>
      <c r="M10" s="1050">
        <f>J9-M9</f>
        <v>2319894</v>
      </c>
      <c r="N10" s="355" t="s">
        <v>2252</v>
      </c>
      <c r="O10" s="355"/>
      <c r="P10" s="355"/>
      <c r="Q10" s="355"/>
      <c r="R10" s="1038" t="s">
        <v>905</v>
      </c>
      <c r="S10" s="1038">
        <f>COUNTIF($R$3:R10,R10)</f>
        <v>8</v>
      </c>
      <c r="T10" s="1038" t="str">
        <f t="shared" si="1"/>
        <v>9BQC D/V BAR RH</v>
      </c>
      <c r="U10" s="1037">
        <f t="shared" si="2"/>
        <v>21487</v>
      </c>
      <c r="V10" s="1037">
        <f t="shared" si="2"/>
        <v>42372364</v>
      </c>
      <c r="W10" s="355"/>
      <c r="X10" s="1043" t="str">
        <f t="shared" si="3"/>
        <v>압출 PCM</v>
      </c>
      <c r="Y10" s="1044">
        <f t="shared" si="4"/>
        <v>4</v>
      </c>
      <c r="Z10" s="1044" t="str">
        <f t="array" ref="Z10">IFERROR(INDEX($T$3:$T$373,MATCH(1,($X10=$R$3:$R$373)*($Y10=$S$3:$S$373),0))," ")</f>
        <v>0.5*34</v>
      </c>
      <c r="AA10" s="1044">
        <f t="array" ref="AA10">IFERROR(INDEX($U$3:$U$373,MATCH(1,($X10=$R$3:$R$373)*($Y10=$S$3:$S$373),0))," ")</f>
        <v>0</v>
      </c>
      <c r="AB10" s="1045">
        <f t="array" ref="AB10">IFERROR(INDEX($V$3:$V$373,MATCH(1,($X10=$R$3:$R$373)*($Y10=$S$3:$S$373),0))," ")</f>
        <v>0</v>
      </c>
      <c r="AC10" s="355"/>
      <c r="AD10" s="1046" t="s">
        <v>83</v>
      </c>
      <c r="AE10" s="1060">
        <f>SUMIF($R$3:$R$373,AD10,$V$3:$V$373)</f>
        <v>31907118</v>
      </c>
      <c r="AF10" s="355"/>
      <c r="AG10" s="355" t="s">
        <v>2035</v>
      </c>
      <c r="AH10" s="355">
        <v>111600</v>
      </c>
      <c r="AI10" s="355">
        <f>'[4]PCM 05월'!AK81</f>
        <v>3000</v>
      </c>
      <c r="AJ10" s="355">
        <f>AI10*AH10</f>
        <v>334800000</v>
      </c>
      <c r="AK10" s="355"/>
      <c r="AL10" s="355"/>
      <c r="AM10" s="355"/>
      <c r="AN10" s="359"/>
      <c r="AO10" s="357"/>
      <c r="AP10" s="357"/>
      <c r="AQ10" s="360"/>
      <c r="AR10" s="360"/>
      <c r="AS10" s="364"/>
      <c r="AT10" s="364"/>
      <c r="AU10" s="492"/>
      <c r="AV10" s="352"/>
      <c r="AW10" s="352"/>
      <c r="AX10" s="352"/>
      <c r="AY10" s="352"/>
    </row>
    <row r="11" spans="1:51" s="238" customFormat="1" ht="16.5" customHeight="1">
      <c r="A11" s="2344"/>
      <c r="B11" s="1149" t="s">
        <v>1007</v>
      </c>
      <c r="C11" s="1227" t="s">
        <v>1005</v>
      </c>
      <c r="D11" s="1399" t="s">
        <v>32</v>
      </c>
      <c r="E11" s="2303"/>
      <c r="F11" s="2354" t="s">
        <v>434</v>
      </c>
      <c r="G11" s="894">
        <v>9.1999999999999993</v>
      </c>
      <c r="H11" s="703">
        <f>부자재매입내역!AL220</f>
        <v>156000</v>
      </c>
      <c r="I11" s="703">
        <f t="shared" si="5"/>
        <v>1435200</v>
      </c>
      <c r="J11" s="2119">
        <f>SUM(I11:I14)</f>
        <v>2479300</v>
      </c>
      <c r="K11" s="947">
        <v>2531900</v>
      </c>
      <c r="L11" s="965"/>
      <c r="M11" s="355"/>
      <c r="N11" s="355"/>
      <c r="O11" s="355"/>
      <c r="P11" s="355"/>
      <c r="Q11" s="355"/>
      <c r="R11" s="1038" t="s">
        <v>905</v>
      </c>
      <c r="S11" s="1038">
        <f>COUNTIF($R$3:R11,R11)</f>
        <v>9</v>
      </c>
      <c r="T11" s="1038" t="str">
        <f t="shared" si="1"/>
        <v>아마쉘 PAD 5T*5W*60L</v>
      </c>
      <c r="U11" s="1037">
        <f t="shared" si="2"/>
        <v>156000</v>
      </c>
      <c r="V11" s="1037">
        <f t="shared" si="2"/>
        <v>1435200</v>
      </c>
      <c r="W11" s="355"/>
      <c r="X11" s="1043" t="str">
        <f t="shared" si="3"/>
        <v>압출 PCM</v>
      </c>
      <c r="Y11" s="1044">
        <f t="shared" si="4"/>
        <v>5</v>
      </c>
      <c r="Z11" s="1044" t="str">
        <f t="array" ref="Z11">IFERROR(INDEX($T$3:$T$373,MATCH(1,($X11=$R$3:$R$373)*($Y11=$S$3:$S$373),0))," ")</f>
        <v>압연심금 0.45*28</v>
      </c>
      <c r="AA11" s="1044">
        <f t="array" ref="AA11">IFERROR(INDEX($U$3:$U$373,MATCH(1,($X11=$R$3:$R$373)*($Y11=$S$3:$S$373),0))," ")</f>
        <v>0</v>
      </c>
      <c r="AB11" s="1045">
        <f t="array" ref="AB11">IFERROR(INDEX($V$3:$V$373,MATCH(1,($X11=$R$3:$R$373)*($Y11=$S$3:$S$373),0))," ")</f>
        <v>0</v>
      </c>
      <c r="AC11" s="355"/>
      <c r="AD11" s="1046" t="s">
        <v>2017</v>
      </c>
      <c r="AE11" s="1060">
        <f>SUMIF($R$3:$R$373,AD11,$V$3:$V$373)</f>
        <v>701170578.96000004</v>
      </c>
      <c r="AF11" s="355"/>
      <c r="AG11" s="355" t="s">
        <v>2036</v>
      </c>
      <c r="AH11" s="355">
        <v>135049.79999999999</v>
      </c>
      <c r="AI11" s="355">
        <f>SUM('[4]TPE(9410)'!AL16:AL17)</f>
        <v>9120</v>
      </c>
      <c r="AJ11" s="355">
        <f>AI11*AH11</f>
        <v>1231654176</v>
      </c>
      <c r="AK11" s="355"/>
      <c r="AL11" s="355"/>
      <c r="AM11" s="355"/>
      <c r="AN11" s="359"/>
      <c r="AO11" s="357"/>
      <c r="AP11" s="357"/>
      <c r="AQ11" s="360"/>
      <c r="AR11" s="360"/>
      <c r="AS11" s="364"/>
      <c r="AT11" s="364"/>
      <c r="AU11" s="492"/>
      <c r="AV11" s="352"/>
      <c r="AW11" s="352"/>
      <c r="AX11" s="352"/>
      <c r="AY11" s="352"/>
    </row>
    <row r="12" spans="1:51" s="238" customFormat="1" ht="16.5" customHeight="1">
      <c r="A12" s="2344"/>
      <c r="B12" s="1149" t="s">
        <v>1143</v>
      </c>
      <c r="C12" s="1227" t="s">
        <v>1006</v>
      </c>
      <c r="D12" s="1399" t="s">
        <v>32</v>
      </c>
      <c r="E12" s="2303"/>
      <c r="F12" s="2355"/>
      <c r="G12" s="1150">
        <v>19.7</v>
      </c>
      <c r="H12" s="703">
        <f>부자재매입내역!AL221</f>
        <v>53000</v>
      </c>
      <c r="I12" s="703">
        <f t="shared" si="5"/>
        <v>1044100</v>
      </c>
      <c r="J12" s="2120"/>
      <c r="K12" s="949"/>
      <c r="L12" s="901"/>
      <c r="M12" s="355"/>
      <c r="N12" s="355"/>
      <c r="O12" s="355"/>
      <c r="P12" s="355"/>
      <c r="Q12" s="355"/>
      <c r="R12" s="1038" t="s">
        <v>905</v>
      </c>
      <c r="S12" s="1038">
        <f>COUNTIF($R$3:R12,R12)</f>
        <v>10</v>
      </c>
      <c r="T12" s="1038" t="str">
        <f t="shared" si="1"/>
        <v>아마쉘 PAD 7T*10W*50L</v>
      </c>
      <c r="U12" s="1037">
        <f t="shared" si="2"/>
        <v>53000</v>
      </c>
      <c r="V12" s="1037">
        <f t="shared" si="2"/>
        <v>1044100</v>
      </c>
      <c r="W12" s="355"/>
      <c r="X12" s="1043" t="str">
        <f t="shared" si="3"/>
        <v>압출 PCM</v>
      </c>
      <c r="Y12" s="1044">
        <f t="shared" si="4"/>
        <v>6</v>
      </c>
      <c r="Z12" s="1044" t="str">
        <f t="array" ref="Z12">IFERROR(INDEX($T$3:$T$373,MATCH(1,($X12=$R$3:$R$373)*($Y12=$S$3:$S$373),0))," ")</f>
        <v>46MM WIRE CARRIER(05R-159)</v>
      </c>
      <c r="AA12" s="1044">
        <f t="array" ref="AA12">IFERROR(INDEX($U$3:$U$373,MATCH(1,($X12=$R$3:$R$373)*($Y12=$S$3:$S$373),0))," ")</f>
        <v>48550</v>
      </c>
      <c r="AB12" s="1045">
        <f t="array" ref="AB12">IFERROR(INDEX($V$3:$V$373,MATCH(1,($X12=$R$3:$R$373)*($Y12=$S$3:$S$373),0))," ")</f>
        <v>15730200</v>
      </c>
      <c r="AC12" s="355"/>
      <c r="AD12" s="1066" t="s">
        <v>1119</v>
      </c>
      <c r="AE12" s="1067">
        <f>SUM(AE6:AE11)</f>
        <v>1724429878.4000001</v>
      </c>
      <c r="AF12" s="355"/>
      <c r="AG12" s="355" t="s">
        <v>2037</v>
      </c>
      <c r="AH12" s="355">
        <v>103335</v>
      </c>
      <c r="AI12" s="355">
        <f>SUM('[4]TPE(9410)'!AL18:AL19)</f>
        <v>8800</v>
      </c>
      <c r="AJ12" s="355">
        <f>AI12*AH12</f>
        <v>909348000</v>
      </c>
      <c r="AK12" s="355"/>
      <c r="AL12" s="355"/>
      <c r="AM12" s="355"/>
      <c r="AN12" s="359"/>
      <c r="AO12" s="357"/>
      <c r="AP12" s="357"/>
      <c r="AQ12" s="360"/>
      <c r="AR12" s="360"/>
      <c r="AS12" s="364"/>
      <c r="AT12" s="364"/>
      <c r="AU12" s="492"/>
      <c r="AV12" s="352"/>
      <c r="AW12" s="352"/>
      <c r="AX12" s="352"/>
      <c r="AY12" s="352"/>
    </row>
    <row r="13" spans="1:51" s="238" customFormat="1" ht="16.5" customHeight="1" thickBot="1">
      <c r="A13" s="2344"/>
      <c r="B13" s="1400"/>
      <c r="C13" s="1401" t="s">
        <v>1448</v>
      </c>
      <c r="D13" s="1399" t="s">
        <v>32</v>
      </c>
      <c r="E13" s="2303"/>
      <c r="F13" s="2355"/>
      <c r="G13" s="1402">
        <v>15.8</v>
      </c>
      <c r="H13" s="703">
        <f>부자재매입내역!AL222</f>
        <v>0</v>
      </c>
      <c r="I13" s="703">
        <f t="shared" si="5"/>
        <v>0</v>
      </c>
      <c r="J13" s="2120"/>
      <c r="K13" s="949"/>
      <c r="L13" s="901"/>
      <c r="M13" s="355"/>
      <c r="N13" s="355"/>
      <c r="O13" s="355"/>
      <c r="P13" s="355"/>
      <c r="Q13" s="355"/>
      <c r="R13" s="1038" t="s">
        <v>905</v>
      </c>
      <c r="S13" s="1038">
        <f>COUNTIF($R$3:R13,R13)</f>
        <v>11</v>
      </c>
      <c r="T13" s="1038" t="str">
        <f t="shared" si="1"/>
        <v>아마쉘 PAD 1.5*20*20</v>
      </c>
      <c r="U13" s="1037">
        <f t="shared" si="2"/>
        <v>0</v>
      </c>
      <c r="V13" s="1037">
        <f t="shared" si="2"/>
        <v>0</v>
      </c>
      <c r="W13" s="355"/>
      <c r="X13" s="1043" t="str">
        <f>$X$4</f>
        <v>압출 PCM</v>
      </c>
      <c r="Y13" s="1044">
        <f t="shared" si="4"/>
        <v>7</v>
      </c>
      <c r="Z13" s="1044" t="str">
        <f t="array" ref="Z13">IFERROR(INDEX($T$3:$T$373,MATCH(1,($X13=$R$3:$R$373)*($Y13=$S$3:$S$373),0))," ")</f>
        <v>W60712$2</v>
      </c>
      <c r="AA13" s="1044">
        <f t="array" ref="AA13">IFERROR(INDEX($U$3:$U$373,MATCH(1,($X13=$R$3:$R$373)*($Y13=$S$3:$S$373),0))," ")</f>
        <v>41872</v>
      </c>
      <c r="AB13" s="1045">
        <f t="array" ref="AB13">IFERROR(INDEX($V$3:$V$373,MATCH(1,($X13=$R$3:$R$373)*($Y13=$S$3:$S$373),0))," ")</f>
        <v>146970720</v>
      </c>
      <c r="AC13" s="355"/>
      <c r="AD13" s="352"/>
      <c r="AE13" s="355"/>
      <c r="AF13" s="355"/>
      <c r="AG13" s="355" t="s">
        <v>2038</v>
      </c>
      <c r="AH13" s="355">
        <v>69825</v>
      </c>
      <c r="AI13" s="355">
        <f>'[4]PCM 05월'!AK112</f>
        <v>0</v>
      </c>
      <c r="AJ13" s="355">
        <f>AI13*AH13</f>
        <v>0</v>
      </c>
      <c r="AK13" s="355"/>
      <c r="AL13" s="355"/>
      <c r="AM13" s="355"/>
      <c r="AN13" s="359"/>
      <c r="AO13" s="357"/>
      <c r="AP13" s="357"/>
      <c r="AQ13" s="360"/>
      <c r="AR13" s="360"/>
      <c r="AS13" s="364"/>
      <c r="AT13" s="364"/>
      <c r="AU13" s="492"/>
      <c r="AV13" s="352"/>
      <c r="AW13" s="352"/>
      <c r="AX13" s="352"/>
      <c r="AY13" s="352"/>
    </row>
    <row r="14" spans="1:51" s="238" customFormat="1" ht="16.5" customHeight="1" thickBot="1">
      <c r="A14" s="2345"/>
      <c r="B14" s="1151" t="s">
        <v>1449</v>
      </c>
      <c r="C14" s="1401" t="s">
        <v>1450</v>
      </c>
      <c r="D14" s="1403" t="s">
        <v>32</v>
      </c>
      <c r="E14" s="2340"/>
      <c r="F14" s="2356"/>
      <c r="G14" s="966">
        <v>12.2</v>
      </c>
      <c r="H14" s="709">
        <f>부자재매입내역!AL223</f>
        <v>0</v>
      </c>
      <c r="I14" s="709">
        <f t="shared" si="5"/>
        <v>0</v>
      </c>
      <c r="J14" s="2121"/>
      <c r="K14" s="967"/>
      <c r="L14" s="968"/>
      <c r="M14" s="355"/>
      <c r="N14" s="355"/>
      <c r="O14" s="355"/>
      <c r="P14" s="355"/>
      <c r="Q14" s="355"/>
      <c r="R14" s="1038" t="s">
        <v>905</v>
      </c>
      <c r="S14" s="1038">
        <f>COUNTIF($R$3:R14,R14)</f>
        <v>12</v>
      </c>
      <c r="T14" s="1038" t="str">
        <f t="shared" si="1"/>
        <v>아마쉘 PAD 3*6*90</v>
      </c>
      <c r="U14" s="1037">
        <f t="shared" si="2"/>
        <v>0</v>
      </c>
      <c r="V14" s="1037">
        <f t="shared" si="2"/>
        <v>0</v>
      </c>
      <c r="W14" s="355"/>
      <c r="X14" s="1043" t="str">
        <f t="shared" ref="X14:X21" si="6">$X$4</f>
        <v>압출 PCM</v>
      </c>
      <c r="Y14" s="1044">
        <f t="shared" si="4"/>
        <v>8</v>
      </c>
      <c r="Z14" s="1044" t="str">
        <f t="array" ref="Z14">IFERROR(INDEX($T$3:$T$373,MATCH(1,($X14=$R$3:$R$373)*($Y14=$S$3:$S$373),0))," ")</f>
        <v>W60712$2TA</v>
      </c>
      <c r="AA14" s="1044">
        <f t="array" ref="AA14">IFERROR(INDEX($U$3:$U$373,MATCH(1,($X14=$R$3:$R$373)*($Y14=$S$3:$S$373),0))," ")</f>
        <v>7168</v>
      </c>
      <c r="AB14" s="1045">
        <f t="array" ref="AB14">IFERROR(INDEX($V$3:$V$373,MATCH(1,($X14=$R$3:$R$373)*($Y14=$S$3:$S$373),0))," ")</f>
        <v>23941120</v>
      </c>
      <c r="AC14" s="355"/>
      <c r="AD14" s="352"/>
      <c r="AE14" s="355"/>
      <c r="AF14" s="355"/>
      <c r="AG14" s="1847" t="s">
        <v>2039</v>
      </c>
      <c r="AH14" s="355"/>
      <c r="AI14" s="355"/>
      <c r="AJ14" s="1847">
        <f>SUM(AJ10:AJ13)</f>
        <v>2475802176</v>
      </c>
      <c r="AK14" s="1848">
        <f>AJ14/(SUM($AJ$8,$AJ$14))</f>
        <v>0.40406391414248594</v>
      </c>
      <c r="AL14" s="355"/>
      <c r="AM14" s="355"/>
      <c r="AN14" s="359"/>
      <c r="AO14" s="357"/>
      <c r="AP14" s="357"/>
      <c r="AQ14" s="360"/>
      <c r="AR14" s="360"/>
      <c r="AS14" s="364"/>
      <c r="AT14" s="364"/>
      <c r="AU14" s="492"/>
      <c r="AV14" s="352"/>
      <c r="AW14" s="352"/>
      <c r="AX14" s="352"/>
      <c r="AY14" s="352"/>
    </row>
    <row r="15" spans="1:51" s="244" customFormat="1" ht="17.100000000000001" customHeight="1">
      <c r="A15" s="2301" t="s">
        <v>933</v>
      </c>
      <c r="B15" s="1142">
        <v>31020015</v>
      </c>
      <c r="C15" s="1143" t="s">
        <v>1219</v>
      </c>
      <c r="D15" s="1144" t="s">
        <v>27</v>
      </c>
      <c r="E15" s="1145" t="s">
        <v>1220</v>
      </c>
      <c r="F15" s="1146"/>
      <c r="G15" s="1147">
        <v>450</v>
      </c>
      <c r="H15" s="1147">
        <f>원자재매입내역!AL3</f>
        <v>0</v>
      </c>
      <c r="I15" s="1148">
        <f t="shared" ref="I15:I125" si="7">G15*H15</f>
        <v>0</v>
      </c>
      <c r="J15" s="1569">
        <f>SUM(I17:I18)</f>
        <v>0</v>
      </c>
      <c r="K15" s="953">
        <v>0</v>
      </c>
      <c r="L15" s="875"/>
      <c r="M15" s="355">
        <f>J15+J3</f>
        <v>8112000</v>
      </c>
      <c r="N15" s="355"/>
      <c r="O15" s="355"/>
      <c r="P15" s="355"/>
      <c r="Q15" s="355"/>
      <c r="R15" s="1038" t="s">
        <v>83</v>
      </c>
      <c r="S15" s="1038">
        <f>COUNTIF($R$3:R15,R15)</f>
        <v>1</v>
      </c>
      <c r="T15" s="1038" t="str">
        <f t="shared" si="1"/>
        <v>SUS430(0.4*51*3)</v>
      </c>
      <c r="U15" s="1037">
        <f t="shared" si="2"/>
        <v>0</v>
      </c>
      <c r="V15" s="1037">
        <f t="shared" si="2"/>
        <v>0</v>
      </c>
      <c r="W15" s="355"/>
      <c r="X15" s="1043" t="str">
        <f t="shared" si="6"/>
        <v>압출 PCM</v>
      </c>
      <c r="Y15" s="1044">
        <f t="shared" si="4"/>
        <v>9</v>
      </c>
      <c r="Z15" s="1044" t="str">
        <f t="array" ref="Z15">IFERROR(INDEX($T$3:$T$373,MATCH(1,($X15=$R$3:$R$373)*($Y15=$S$3:$S$373),0))," ")</f>
        <v>W60594BJ2</v>
      </c>
      <c r="AA15" s="1044">
        <f t="array" ref="AA15">IFERROR(INDEX($U$3:$U$373,MATCH(1,($X15=$R$3:$R$373)*($Y15=$S$3:$S$373),0))," ")</f>
        <v>13454</v>
      </c>
      <c r="AB15" s="1045">
        <f t="array" ref="AB15">IFERROR(INDEX($V$3:$V$373,MATCH(1,($X15=$R$3:$R$373)*($Y15=$S$3:$S$373),0))," ")</f>
        <v>59332140</v>
      </c>
      <c r="AC15" s="355"/>
      <c r="AD15" s="352"/>
      <c r="AE15" s="355"/>
      <c r="AF15" s="355"/>
      <c r="AG15" s="355"/>
      <c r="AH15" s="355"/>
      <c r="AI15" s="355"/>
      <c r="AJ15" s="355"/>
      <c r="AK15" s="355"/>
      <c r="AL15" s="355"/>
      <c r="AM15" s="355"/>
      <c r="AN15" s="495"/>
      <c r="AO15" s="363"/>
      <c r="AP15" s="363"/>
      <c r="AQ15" s="363"/>
      <c r="AR15" s="357"/>
      <c r="AS15" s="363"/>
      <c r="AT15" s="363"/>
      <c r="AU15" s="493"/>
      <c r="AV15" s="353"/>
      <c r="AW15" s="352"/>
      <c r="AX15" s="352"/>
    </row>
    <row r="16" spans="1:51" s="244" customFormat="1" ht="17.100000000000001" customHeight="1">
      <c r="A16" s="2302"/>
      <c r="B16" s="1142">
        <v>31020023</v>
      </c>
      <c r="C16" s="1143" t="s">
        <v>1218</v>
      </c>
      <c r="D16" s="1144" t="s">
        <v>27</v>
      </c>
      <c r="E16" s="1145"/>
      <c r="F16" s="1146"/>
      <c r="G16" s="1147">
        <v>1</v>
      </c>
      <c r="H16" s="1147">
        <f>원자재매입내역!AL4</f>
        <v>0</v>
      </c>
      <c r="I16" s="1148">
        <f t="shared" si="7"/>
        <v>0</v>
      </c>
      <c r="J16" s="1570"/>
      <c r="K16" s="951"/>
      <c r="L16" s="875"/>
      <c r="M16" s="355"/>
      <c r="N16" s="355"/>
      <c r="O16" s="355"/>
      <c r="P16" s="355"/>
      <c r="Q16" s="355"/>
      <c r="R16" s="1038" t="s">
        <v>83</v>
      </c>
      <c r="S16" s="1038">
        <f>COUNTIF($R$3:R16,R16)</f>
        <v>2</v>
      </c>
      <c r="T16" s="1038" t="str">
        <f t="shared" si="1"/>
        <v xml:space="preserve">0.6*36  </v>
      </c>
      <c r="U16" s="1037">
        <f t="shared" si="2"/>
        <v>0</v>
      </c>
      <c r="V16" s="1037">
        <f t="shared" si="2"/>
        <v>0</v>
      </c>
      <c r="W16" s="355"/>
      <c r="X16" s="1043" t="str">
        <f t="shared" si="6"/>
        <v>압출 PCM</v>
      </c>
      <c r="Y16" s="1044">
        <f t="shared" si="4"/>
        <v>10</v>
      </c>
      <c r="Z16" s="1044" t="str">
        <f t="array" ref="Z16">IFERROR(INDEX($T$3:$T$373,MATCH(1,($X16=$R$3:$R$373)*($Y16=$S$3:$S$373),0))," ")</f>
        <v>W60515</v>
      </c>
      <c r="AA16" s="1044">
        <f t="array" ref="AA16">IFERROR(INDEX($U$3:$U$373,MATCH(1,($X16=$R$3:$R$373)*($Y16=$S$3:$S$373),0))," ")</f>
        <v>0</v>
      </c>
      <c r="AB16" s="1045">
        <f t="array" ref="AB16">IFERROR(INDEX($V$3:$V$373,MATCH(1,($X16=$R$3:$R$373)*($Y16=$S$3:$S$373),0))," ")</f>
        <v>0</v>
      </c>
      <c r="AC16" s="355"/>
      <c r="AD16" s="352"/>
      <c r="AE16" s="355"/>
      <c r="AF16" s="355"/>
      <c r="AG16" s="355"/>
      <c r="AH16" s="355"/>
      <c r="AI16" s="355"/>
      <c r="AJ16" s="355"/>
      <c r="AK16" s="355"/>
      <c r="AL16" s="355"/>
      <c r="AM16" s="355"/>
      <c r="AN16" s="495"/>
      <c r="AO16" s="363"/>
      <c r="AP16" s="363"/>
      <c r="AQ16" s="363"/>
      <c r="AR16" s="357"/>
      <c r="AS16" s="363"/>
      <c r="AT16" s="363"/>
      <c r="AU16" s="493"/>
      <c r="AV16" s="353"/>
      <c r="AW16" s="352"/>
      <c r="AX16" s="352"/>
    </row>
    <row r="17" spans="1:57" s="244" customFormat="1" ht="17.100000000000001" customHeight="1">
      <c r="A17" s="2302"/>
      <c r="B17" s="1142">
        <v>31020025</v>
      </c>
      <c r="C17" s="1143" t="s">
        <v>1469</v>
      </c>
      <c r="D17" s="1144" t="s">
        <v>27</v>
      </c>
      <c r="E17" s="1145" t="s">
        <v>553</v>
      </c>
      <c r="F17" s="1146" t="s">
        <v>942</v>
      </c>
      <c r="G17" s="1147">
        <v>1350</v>
      </c>
      <c r="H17" s="1147">
        <f>원자재매입내역!AL5</f>
        <v>0</v>
      </c>
      <c r="I17" s="1148">
        <f t="shared" si="7"/>
        <v>0</v>
      </c>
      <c r="J17" s="1570"/>
      <c r="K17" s="951"/>
      <c r="L17" s="875">
        <f>K15-J15</f>
        <v>0</v>
      </c>
      <c r="M17" s="355"/>
      <c r="N17" s="355"/>
      <c r="O17" s="355"/>
      <c r="P17" s="355"/>
      <c r="Q17" s="355"/>
      <c r="R17" s="1038" t="s">
        <v>83</v>
      </c>
      <c r="S17" s="1038">
        <f>COUNTIF($R$3:R17,R17)</f>
        <v>3</v>
      </c>
      <c r="T17" s="1038" t="str">
        <f t="shared" si="1"/>
        <v>SCP1-1/2 H (0.5*50*5)</v>
      </c>
      <c r="U17" s="1037">
        <f t="shared" si="2"/>
        <v>0</v>
      </c>
      <c r="V17" s="1037">
        <f t="shared" si="2"/>
        <v>0</v>
      </c>
      <c r="W17" s="355"/>
      <c r="X17" s="1043" t="str">
        <f t="shared" si="6"/>
        <v>압출 PCM</v>
      </c>
      <c r="Y17" s="1044">
        <f t="shared" si="4"/>
        <v>11</v>
      </c>
      <c r="Z17" s="1044" t="str">
        <f t="array" ref="Z17">IFERROR(INDEX($T$3:$T$373,MATCH(1,($X17=$R$3:$R$373)*($Y17=$S$3:$S$373),0))," ")</f>
        <v>W60052</v>
      </c>
      <c r="AA17" s="1044">
        <f t="array" ref="AA17">IFERROR(INDEX($U$3:$U$373,MATCH(1,($X17=$R$3:$R$373)*($Y17=$S$3:$S$373),0))," ")</f>
        <v>7934</v>
      </c>
      <c r="AB17" s="1045">
        <f t="array" ref="AB17">IFERROR(INDEX($V$3:$V$373,MATCH(1,($X17=$R$3:$R$373)*($Y17=$S$3:$S$373),0))," ")</f>
        <v>32608740</v>
      </c>
      <c r="AC17" s="355"/>
      <c r="AD17" s="352"/>
      <c r="AF17" s="355"/>
      <c r="AG17" s="355"/>
      <c r="AH17" s="355"/>
      <c r="AI17" s="355"/>
      <c r="AJ17" s="355"/>
      <c r="AK17" s="355"/>
      <c r="AL17" s="355"/>
      <c r="AM17" s="355"/>
      <c r="AN17" s="495" t="s">
        <v>543</v>
      </c>
      <c r="AO17" s="363">
        <f>SUM('TPE(9410)'!AN9,'TPE(9410)'!AN19)</f>
        <v>46713696</v>
      </c>
      <c r="AP17" s="363" t="e">
        <f>#REF!</f>
        <v>#REF!</v>
      </c>
      <c r="AQ17" s="363">
        <f>(3000000*7)+(2000000*7)+(3200000*2)</f>
        <v>41400000</v>
      </c>
      <c r="AR17" s="357">
        <v>16</v>
      </c>
      <c r="AS17" s="363" t="e">
        <f>AO17-#REF!-AQ17</f>
        <v>#REF!</v>
      </c>
      <c r="AT17" s="363"/>
      <c r="AU17" s="493"/>
      <c r="AV17" s="353"/>
      <c r="AW17" s="352"/>
      <c r="AX17" s="352"/>
    </row>
    <row r="18" spans="1:57" s="244" customFormat="1" ht="17.100000000000001" customHeight="1">
      <c r="A18" s="2302"/>
      <c r="B18" s="870">
        <v>31020026</v>
      </c>
      <c r="C18" s="871" t="s">
        <v>551</v>
      </c>
      <c r="D18" s="872" t="s">
        <v>27</v>
      </c>
      <c r="E18" s="903" t="s">
        <v>293</v>
      </c>
      <c r="F18" s="877"/>
      <c r="G18" s="873">
        <v>1720</v>
      </c>
      <c r="H18" s="873">
        <f>원자재매입내역!AL6</f>
        <v>0</v>
      </c>
      <c r="I18" s="977">
        <f t="shared" si="7"/>
        <v>0</v>
      </c>
      <c r="J18" s="1571"/>
      <c r="K18" s="952"/>
      <c r="L18" s="929"/>
      <c r="M18" s="355"/>
      <c r="N18" s="355"/>
      <c r="O18" s="355"/>
      <c r="P18" s="355"/>
      <c r="Q18" s="355"/>
      <c r="R18" s="1038" t="s">
        <v>83</v>
      </c>
      <c r="S18" s="1038">
        <f>COUNTIF($R$3:R18,R18)</f>
        <v>4</v>
      </c>
      <c r="T18" s="1038" t="str">
        <f t="shared" si="1"/>
        <v>0.5*32(연질아연도금)</v>
      </c>
      <c r="U18" s="1037">
        <f t="shared" si="2"/>
        <v>0</v>
      </c>
      <c r="V18" s="1037">
        <f t="shared" si="2"/>
        <v>0</v>
      </c>
      <c r="W18" s="355"/>
      <c r="X18" s="1043" t="str">
        <f t="shared" si="6"/>
        <v>압출 PCM</v>
      </c>
      <c r="Y18" s="1044">
        <f t="shared" si="4"/>
        <v>12</v>
      </c>
      <c r="Z18" s="1044" t="str">
        <f t="array" ref="Z18">IFERROR(INDEX($T$3:$T$373,MATCH(1,($X18=$R$3:$R$373)*($Y18=$S$3:$S$373),0))," ")</f>
        <v>S6073RN4</v>
      </c>
      <c r="AA18" s="1044">
        <f t="array" ref="AA18">IFERROR(INDEX($U$3:$U$373,MATCH(1,($X18=$R$3:$R$373)*($Y18=$S$3:$S$373),0))," ")</f>
        <v>0</v>
      </c>
      <c r="AB18" s="1045">
        <f t="array" ref="AB18">IFERROR(INDEX($V$3:$V$373,MATCH(1,($X18=$R$3:$R$373)*($Y18=$S$3:$S$373),0))," ")</f>
        <v>0</v>
      </c>
      <c r="AC18" s="355"/>
      <c r="AD18" s="352"/>
      <c r="AE18" s="355"/>
      <c r="AF18" s="355"/>
      <c r="AG18" s="355"/>
      <c r="AH18" s="355"/>
      <c r="AI18" s="355"/>
      <c r="AJ18" s="355"/>
      <c r="AK18" s="355"/>
      <c r="AL18" s="355"/>
      <c r="AM18" s="355"/>
      <c r="AN18" s="495" t="s">
        <v>71</v>
      </c>
      <c r="AO18" s="363">
        <f>'OWF10(상품)'!AN25</f>
        <v>0</v>
      </c>
      <c r="AP18" s="363" t="e">
        <f>#REF!</f>
        <v>#REF!</v>
      </c>
      <c r="AQ18" s="363">
        <f>(2200000*6)</f>
        <v>13200000</v>
      </c>
      <c r="AR18" s="357">
        <v>6</v>
      </c>
      <c r="AS18" s="363" t="e">
        <f>AO18-#REF!-AQ18</f>
        <v>#REF!</v>
      </c>
      <c r="AT18" s="363"/>
      <c r="AU18" s="493"/>
      <c r="AV18" s="353"/>
      <c r="AW18" s="352"/>
      <c r="AX18" s="352"/>
    </row>
    <row r="19" spans="1:57" s="244" customFormat="1" ht="17.100000000000001" customHeight="1">
      <c r="A19" s="2302"/>
      <c r="B19" s="870">
        <v>12457812</v>
      </c>
      <c r="C19" s="871" t="s">
        <v>294</v>
      </c>
      <c r="D19" s="872" t="s">
        <v>28</v>
      </c>
      <c r="E19" s="903" t="s">
        <v>295</v>
      </c>
      <c r="F19" s="2348" t="s">
        <v>296</v>
      </c>
      <c r="G19" s="873">
        <v>127</v>
      </c>
      <c r="H19" s="703">
        <f>원자재매입내역!AL9</f>
        <v>0</v>
      </c>
      <c r="I19" s="975">
        <f t="shared" si="7"/>
        <v>0</v>
      </c>
      <c r="J19" s="1431">
        <f>SUM(I19:I23)</f>
        <v>0</v>
      </c>
      <c r="K19" s="950"/>
      <c r="L19" s="928">
        <f>K19-J19</f>
        <v>0</v>
      </c>
      <c r="M19" s="1080"/>
      <c r="Q19" s="355"/>
      <c r="R19" s="1038" t="s">
        <v>1115</v>
      </c>
      <c r="S19" s="1038">
        <f>COUNTIF($R$3:R19,R19)</f>
        <v>1</v>
      </c>
      <c r="T19" s="1038" t="str">
        <f t="shared" si="1"/>
        <v>0.45*30</v>
      </c>
      <c r="U19" s="1037">
        <f t="shared" si="2"/>
        <v>0</v>
      </c>
      <c r="V19" s="1037">
        <f t="shared" si="2"/>
        <v>0</v>
      </c>
      <c r="W19" s="355"/>
      <c r="X19" s="1043" t="str">
        <f t="shared" si="6"/>
        <v>압출 PCM</v>
      </c>
      <c r="Y19" s="1044">
        <f t="shared" si="4"/>
        <v>13</v>
      </c>
      <c r="Z19" s="1044" t="str">
        <f t="array" ref="Z19">IFERROR(INDEX($T$3:$T$373,MATCH(1,($X19=$R$3:$R$373)*($Y19=$S$3:$S$373),0))," ")</f>
        <v>W60921</v>
      </c>
      <c r="AA19" s="1044">
        <f t="array" ref="AA19">IFERROR(INDEX($U$3:$U$373,MATCH(1,($X19=$R$3:$R$373)*($Y19=$S$3:$S$373),0))," ")</f>
        <v>0</v>
      </c>
      <c r="AB19" s="1045">
        <f t="array" ref="AB19">IFERROR(INDEX($V$3:$V$373,MATCH(1,($X19=$R$3:$R$373)*($Y19=$S$3:$S$373),0))," ")</f>
        <v>0</v>
      </c>
      <c r="AC19" s="355"/>
      <c r="AD19" s="352"/>
      <c r="AE19" s="355"/>
      <c r="AF19" s="355"/>
      <c r="AG19" s="355"/>
      <c r="AH19" s="355"/>
      <c r="AI19" s="355"/>
      <c r="AJ19" s="355"/>
      <c r="AK19" s="355"/>
      <c r="AL19" s="355"/>
      <c r="AM19" s="355"/>
      <c r="AN19" s="495" t="s">
        <v>54</v>
      </c>
      <c r="AO19" s="363" t="e">
        <f>#REF!-#REF!+(2600*#REF!)</f>
        <v>#REF!</v>
      </c>
      <c r="AP19" s="363" t="e">
        <f>#REF!</f>
        <v>#REF!</v>
      </c>
      <c r="AQ19" s="363">
        <f>3200000*6</f>
        <v>19200000</v>
      </c>
      <c r="AR19" s="357">
        <v>6</v>
      </c>
      <c r="AS19" s="363" t="e">
        <f>AO19-#REF!-AQ19</f>
        <v>#REF!</v>
      </c>
      <c r="AT19" s="363"/>
      <c r="AU19" s="493"/>
      <c r="AV19" s="353"/>
      <c r="AW19" s="352"/>
      <c r="AX19" s="352"/>
    </row>
    <row r="20" spans="1:57" s="244" customFormat="1" ht="17.100000000000001" customHeight="1">
      <c r="A20" s="2302"/>
      <c r="B20" s="870">
        <v>12457813</v>
      </c>
      <c r="C20" s="871" t="s">
        <v>297</v>
      </c>
      <c r="D20" s="872" t="s">
        <v>28</v>
      </c>
      <c r="E20" s="903" t="s">
        <v>1083</v>
      </c>
      <c r="F20" s="2349"/>
      <c r="G20" s="873">
        <v>107</v>
      </c>
      <c r="H20" s="703">
        <f>원자재매입내역!AL10</f>
        <v>0</v>
      </c>
      <c r="I20" s="975">
        <f t="shared" si="7"/>
        <v>0</v>
      </c>
      <c r="J20" s="1432"/>
      <c r="K20" s="951"/>
      <c r="L20" s="875"/>
      <c r="M20" s="250"/>
      <c r="N20" s="355"/>
      <c r="O20" s="355"/>
      <c r="P20" s="355"/>
      <c r="Q20" s="355"/>
      <c r="R20" s="1038" t="s">
        <v>1115</v>
      </c>
      <c r="S20" s="1038">
        <f>COUNTIF($R$3:R20,R20)</f>
        <v>2</v>
      </c>
      <c r="T20" s="1038" t="str">
        <f t="shared" si="1"/>
        <v>0.5*30</v>
      </c>
      <c r="U20" s="1037">
        <f t="shared" ref="U20:V35" si="8">H20</f>
        <v>0</v>
      </c>
      <c r="V20" s="1037">
        <f t="shared" si="8"/>
        <v>0</v>
      </c>
      <c r="W20" s="355"/>
      <c r="X20" s="1043" t="str">
        <f t="shared" si="6"/>
        <v>압출 PCM</v>
      </c>
      <c r="Y20" s="1044">
        <f t="shared" si="4"/>
        <v>14</v>
      </c>
      <c r="Z20" s="1044" t="str">
        <f t="array" ref="Z20">IFERROR(INDEX($T$3:$T$373,MATCH(1,($X20=$R$3:$R$373)*($Y20=$S$3:$S$373),0))," ")</f>
        <v>S6998RT2</v>
      </c>
      <c r="AA20" s="1044">
        <f t="array" ref="AA20">IFERROR(INDEX($U$3:$U$373,MATCH(1,($X20=$R$3:$R$373)*($Y20=$S$3:$S$373),0))," ")</f>
        <v>0</v>
      </c>
      <c r="AB20" s="1045">
        <f t="array" ref="AB20">IFERROR(INDEX($V$3:$V$373,MATCH(1,($X20=$R$3:$R$373)*($Y20=$S$3:$S$373),0))," ")</f>
        <v>0</v>
      </c>
      <c r="AC20" s="355"/>
      <c r="AD20" s="352"/>
      <c r="AE20" s="358"/>
      <c r="AF20" s="355"/>
      <c r="AG20" s="355"/>
      <c r="AH20" s="355"/>
      <c r="AI20" s="355"/>
      <c r="AJ20" s="355"/>
      <c r="AK20" s="355"/>
      <c r="AL20" s="355"/>
      <c r="AM20" s="355"/>
      <c r="AN20" s="361"/>
      <c r="AO20" s="357"/>
      <c r="AP20" s="357"/>
      <c r="AQ20" s="357">
        <f>AR20*2300000</f>
        <v>13800000</v>
      </c>
      <c r="AR20" s="357">
        <v>6</v>
      </c>
      <c r="AS20" s="357">
        <f>AQ20</f>
        <v>13800000</v>
      </c>
      <c r="AT20" s="363"/>
      <c r="AU20" s="493"/>
      <c r="AV20" s="353"/>
      <c r="AW20" s="352"/>
      <c r="AX20" s="352"/>
    </row>
    <row r="21" spans="1:57" s="244" customFormat="1" ht="17.100000000000001" customHeight="1">
      <c r="A21" s="2302"/>
      <c r="B21" s="870">
        <v>12457814</v>
      </c>
      <c r="C21" s="871" t="s">
        <v>298</v>
      </c>
      <c r="D21" s="872" t="s">
        <v>28</v>
      </c>
      <c r="E21" s="903" t="s">
        <v>269</v>
      </c>
      <c r="F21" s="2349"/>
      <c r="G21" s="873">
        <v>115</v>
      </c>
      <c r="H21" s="703">
        <f>원자재매입내역!AL11</f>
        <v>0</v>
      </c>
      <c r="I21" s="975">
        <f t="shared" si="7"/>
        <v>0</v>
      </c>
      <c r="J21" s="1433"/>
      <c r="K21" s="951"/>
      <c r="L21" s="875"/>
      <c r="M21" s="355"/>
      <c r="N21" s="355"/>
      <c r="O21" s="355"/>
      <c r="P21" s="355"/>
      <c r="Q21" s="355"/>
      <c r="R21" s="1038" t="s">
        <v>1115</v>
      </c>
      <c r="S21" s="1038">
        <f>COUNTIF($R$3:R21,R21)</f>
        <v>3</v>
      </c>
      <c r="T21" s="1038" t="str">
        <f t="shared" si="1"/>
        <v>0.5*21.3</v>
      </c>
      <c r="U21" s="1037">
        <f t="shared" si="8"/>
        <v>0</v>
      </c>
      <c r="V21" s="1037">
        <f t="shared" si="8"/>
        <v>0</v>
      </c>
      <c r="W21" s="355"/>
      <c r="X21" s="1043" t="str">
        <f t="shared" si="6"/>
        <v>압출 PCM</v>
      </c>
      <c r="Y21" s="1044">
        <f t="shared" si="4"/>
        <v>15</v>
      </c>
      <c r="Z21" s="1044" t="str">
        <f t="array" ref="Z21">IFERROR(INDEX($T$3:$T$373,MATCH(1,($X21=$R$3:$R$373)*($Y21=$S$3:$S$373),0))," ")</f>
        <v>W60593$W3</v>
      </c>
      <c r="AA21" s="1044">
        <f t="array" ref="AA21">IFERROR(INDEX($U$3:$U$373,MATCH(1,($X21=$R$3:$R$373)*($Y21=$S$3:$S$373),0))," ")</f>
        <v>9110</v>
      </c>
      <c r="AB21" s="1045">
        <f t="array" ref="AB21">IFERROR(INDEX($V$3:$V$373,MATCH(1,($X21=$R$3:$R$373)*($Y21=$S$3:$S$373),0))," ")</f>
        <v>39537400</v>
      </c>
      <c r="AC21" s="355"/>
      <c r="AE21" s="355"/>
      <c r="AF21" s="355"/>
      <c r="AG21" s="355"/>
      <c r="AH21" s="355"/>
      <c r="AI21" s="355"/>
      <c r="AJ21" s="355"/>
      <c r="AK21" s="355"/>
      <c r="AL21" s="355"/>
      <c r="AM21" s="355"/>
      <c r="AN21" s="359"/>
      <c r="AO21" s="363"/>
      <c r="AP21" s="363"/>
      <c r="AQ21" s="363">
        <f>AR21*3500000</f>
        <v>31500000</v>
      </c>
      <c r="AR21" s="363">
        <v>9</v>
      </c>
      <c r="AS21" s="363">
        <f>AQ21</f>
        <v>31500000</v>
      </c>
      <c r="AT21" s="363"/>
      <c r="AU21" s="493"/>
      <c r="AV21" s="353"/>
      <c r="AW21" s="352"/>
      <c r="AX21" s="352"/>
    </row>
    <row r="22" spans="1:57" s="244" customFormat="1" ht="17.100000000000001" customHeight="1">
      <c r="A22" s="2302"/>
      <c r="B22" s="870">
        <v>12345698</v>
      </c>
      <c r="C22" s="871" t="s">
        <v>1134</v>
      </c>
      <c r="D22" s="872" t="s">
        <v>28</v>
      </c>
      <c r="E22" s="903"/>
      <c r="F22" s="2349"/>
      <c r="G22" s="873">
        <v>144</v>
      </c>
      <c r="H22" s="703">
        <f>원자재매입내역!AL12</f>
        <v>0</v>
      </c>
      <c r="I22" s="975">
        <f t="shared" si="7"/>
        <v>0</v>
      </c>
      <c r="J22" s="1433"/>
      <c r="K22" s="951"/>
      <c r="L22" s="875"/>
      <c r="M22" s="358">
        <f>J24*1.1</f>
        <v>9505141.8000000007</v>
      </c>
      <c r="N22" s="358"/>
      <c r="O22" s="358"/>
      <c r="P22" s="358"/>
      <c r="Q22" s="358"/>
      <c r="R22" s="1038" t="s">
        <v>1115</v>
      </c>
      <c r="S22" s="1038">
        <f>COUNTIF($R$3:R22,R22)</f>
        <v>4</v>
      </c>
      <c r="T22" s="1038" t="str">
        <f t="shared" si="1"/>
        <v>0.5*34</v>
      </c>
      <c r="U22" s="1037">
        <f t="shared" si="8"/>
        <v>0</v>
      </c>
      <c r="V22" s="1037">
        <f t="shared" si="8"/>
        <v>0</v>
      </c>
      <c r="W22" s="358"/>
      <c r="X22" s="1043" t="str">
        <f>$X$4</f>
        <v>압출 PCM</v>
      </c>
      <c r="Y22" s="1044">
        <f t="shared" si="4"/>
        <v>16</v>
      </c>
      <c r="Z22" s="1044" t="str">
        <f t="array" ref="Z22">IFERROR(INDEX($T$3:$T$373,MATCH(1,($X22=$R$3:$R$373)*($Y22=$S$3:$S$373),0))," ")</f>
        <v>W60054</v>
      </c>
      <c r="AA22" s="1044">
        <f t="array" ref="AA22">IFERROR(INDEX($U$3:$U$373,MATCH(1,($X22=$R$3:$R$373)*($Y22=$S$3:$S$373),0))," ")</f>
        <v>2087</v>
      </c>
      <c r="AB22" s="1045">
        <f t="array" ref="AB22">IFERROR(INDEX($V$3:$V$373,MATCH(1,($X22=$R$3:$R$373)*($Y22=$S$3:$S$373),0))," ")</f>
        <v>8076690</v>
      </c>
      <c r="AC22" s="358"/>
      <c r="AE22" s="352"/>
      <c r="AF22" s="358"/>
      <c r="AG22" s="358"/>
      <c r="AH22" s="358"/>
      <c r="AI22" s="358"/>
      <c r="AJ22" s="358"/>
      <c r="AK22" s="358"/>
      <c r="AL22" s="358"/>
      <c r="AM22" s="358"/>
      <c r="AN22" s="358"/>
      <c r="AO22" s="363" t="e">
        <f>SUM(AO17:AO21)</f>
        <v>#REF!</v>
      </c>
      <c r="AP22" s="363" t="e">
        <f>SUM(AP17:AP21)</f>
        <v>#REF!</v>
      </c>
      <c r="AQ22" s="363">
        <f>SUM(AQ17:AQ21)</f>
        <v>119100000</v>
      </c>
      <c r="AR22" s="363"/>
      <c r="AS22" s="363" t="e">
        <f>SUM(AS17:AS21)</f>
        <v>#REF!</v>
      </c>
      <c r="AT22" s="359" t="e">
        <f>AO22-#REF!-AQ22</f>
        <v>#REF!</v>
      </c>
      <c r="AU22" s="493"/>
      <c r="AV22" s="353"/>
      <c r="AW22" s="352"/>
      <c r="AX22" s="352"/>
    </row>
    <row r="23" spans="1:57" s="244" customFormat="1" ht="17.100000000000001" customHeight="1">
      <c r="A23" s="2302"/>
      <c r="B23" s="870">
        <v>31020035</v>
      </c>
      <c r="C23" s="871" t="s">
        <v>301</v>
      </c>
      <c r="D23" s="872" t="s">
        <v>28</v>
      </c>
      <c r="E23" s="903" t="s">
        <v>302</v>
      </c>
      <c r="F23" s="2350"/>
      <c r="G23" s="873">
        <v>127</v>
      </c>
      <c r="H23" s="703">
        <f>원자재매입내역!AL13</f>
        <v>0</v>
      </c>
      <c r="I23" s="975">
        <f t="shared" si="7"/>
        <v>0</v>
      </c>
      <c r="J23" s="1434"/>
      <c r="K23" s="952"/>
      <c r="L23" s="929"/>
      <c r="M23" s="355"/>
      <c r="N23" s="355"/>
      <c r="O23" s="355"/>
      <c r="P23" s="355"/>
      <c r="Q23" s="355"/>
      <c r="R23" s="1038" t="s">
        <v>1115</v>
      </c>
      <c r="S23" s="1038">
        <f>COUNTIF($R$3:R23,R23)</f>
        <v>5</v>
      </c>
      <c r="T23" s="1038" t="str">
        <f t="shared" si="1"/>
        <v>압연심금 0.45*28</v>
      </c>
      <c r="U23" s="1037">
        <f t="shared" si="8"/>
        <v>0</v>
      </c>
      <c r="V23" s="1037">
        <f t="shared" si="8"/>
        <v>0</v>
      </c>
      <c r="W23" s="355"/>
      <c r="X23" s="1043" t="str">
        <f>$X$4</f>
        <v>압출 PCM</v>
      </c>
      <c r="Y23" s="1044">
        <f t="shared" si="4"/>
        <v>17</v>
      </c>
      <c r="Z23" s="1044" t="str">
        <f t="array" ref="Z23">IFERROR(INDEX($T$3:$T$373,MATCH(1,($X23=$R$3:$R$373)*($Y23=$S$3:$S$373),0))," ")</f>
        <v>W60596</v>
      </c>
      <c r="AA23" s="1044">
        <f t="array" ref="AA23">IFERROR(INDEX($U$3:$U$373,MATCH(1,($X23=$R$3:$R$373)*($Y23=$S$3:$S$373),0))," ")</f>
        <v>0</v>
      </c>
      <c r="AB23" s="1045">
        <f t="array" ref="AB23">IFERROR(INDEX($V$3:$V$373,MATCH(1,($X23=$R$3:$R$373)*($Y23=$S$3:$S$373),0))," ")</f>
        <v>0</v>
      </c>
      <c r="AC23" s="355"/>
      <c r="AE23" s="352"/>
      <c r="AF23" s="355"/>
      <c r="AG23" s="355"/>
      <c r="AH23" s="355"/>
      <c r="AI23" s="355"/>
      <c r="AJ23" s="355"/>
      <c r="AK23" s="355"/>
      <c r="AL23" s="355"/>
      <c r="AM23" s="355"/>
      <c r="AN23" s="359"/>
      <c r="AO23" s="363"/>
      <c r="AP23" s="363"/>
      <c r="AQ23" s="359"/>
      <c r="AR23" s="359"/>
      <c r="AS23" s="359" t="s">
        <v>550</v>
      </c>
      <c r="AT23" s="363">
        <v>80000000</v>
      </c>
      <c r="AU23" s="492"/>
      <c r="AV23" s="352"/>
    </row>
    <row r="24" spans="1:57" s="244" customFormat="1" ht="17.100000000000001" customHeight="1">
      <c r="A24" s="2302"/>
      <c r="B24" s="870">
        <v>31020032</v>
      </c>
      <c r="C24" s="871" t="s">
        <v>29</v>
      </c>
      <c r="D24" s="872" t="s">
        <v>27</v>
      </c>
      <c r="E24" s="903" t="s">
        <v>57</v>
      </c>
      <c r="F24" s="874" t="s">
        <v>58</v>
      </c>
      <c r="G24" s="873">
        <v>2649</v>
      </c>
      <c r="H24" s="873">
        <f>원자재매입내역!AL14</f>
        <v>3262</v>
      </c>
      <c r="I24" s="977">
        <f t="shared" si="7"/>
        <v>8641038</v>
      </c>
      <c r="J24" s="2083">
        <f>I24</f>
        <v>8641038</v>
      </c>
      <c r="K24" s="950">
        <v>10890039</v>
      </c>
      <c r="L24" s="928">
        <f>J24-K24</f>
        <v>-2249001</v>
      </c>
      <c r="M24" s="2152"/>
      <c r="N24"/>
      <c r="O24" s="352"/>
      <c r="P24" s="352"/>
      <c r="Q24" s="352"/>
      <c r="R24" s="1038" t="s">
        <v>83</v>
      </c>
      <c r="S24" s="1038">
        <f>COUNTIF($R$3:R24,R24)</f>
        <v>5</v>
      </c>
      <c r="T24" s="1038" t="str">
        <f t="shared" si="1"/>
        <v>심금STS430A 0.4*45.5</v>
      </c>
      <c r="U24" s="1037">
        <f t="shared" si="8"/>
        <v>3262</v>
      </c>
      <c r="V24" s="1037">
        <f t="shared" si="8"/>
        <v>8641038</v>
      </c>
      <c r="W24" s="352"/>
      <c r="X24" s="1043" t="str">
        <f>$X$4</f>
        <v>압출 PCM</v>
      </c>
      <c r="Y24" s="1044">
        <f t="shared" si="4"/>
        <v>18</v>
      </c>
      <c r="Z24" s="1044" t="str">
        <f t="array" ref="Z24">IFERROR(INDEX($T$3:$T$373,MATCH(1,($X24=$R$3:$R$373)*($Y24=$S$3:$S$373),0))," ")</f>
        <v>W60713</v>
      </c>
      <c r="AA24" s="1044">
        <f t="array" ref="AA24">IFERROR(INDEX($U$3:$U$373,MATCH(1,($X24=$R$3:$R$373)*($Y24=$S$3:$S$373),0))," ")</f>
        <v>0</v>
      </c>
      <c r="AB24" s="1045">
        <f t="array" ref="AB24">IFERROR(INDEX($V$3:$V$373,MATCH(1,($X24=$R$3:$R$373)*($Y24=$S$3:$S$373),0))," ")</f>
        <v>0</v>
      </c>
      <c r="AC24" s="352"/>
      <c r="AE24" s="356"/>
      <c r="AF24" s="352"/>
      <c r="AG24" s="352"/>
      <c r="AH24" s="352"/>
      <c r="AI24" s="352"/>
      <c r="AJ24" s="352"/>
      <c r="AK24" s="352"/>
      <c r="AL24" s="352"/>
      <c r="AM24" s="352"/>
      <c r="AN24" s="364"/>
      <c r="AO24" s="363"/>
      <c r="AP24" s="363"/>
      <c r="AQ24" s="364"/>
      <c r="AR24" s="364"/>
      <c r="AS24" s="364"/>
      <c r="AT24" s="359" t="e">
        <f>AT22-AT23</f>
        <v>#REF!</v>
      </c>
      <c r="AU24" s="492"/>
      <c r="AV24" s="352"/>
    </row>
    <row r="25" spans="1:57" s="244" customFormat="1" ht="20.25" customHeight="1" thickBot="1">
      <c r="A25" s="1775"/>
      <c r="B25" s="1821" t="s">
        <v>1375</v>
      </c>
      <c r="C25" s="1822" t="s">
        <v>1376</v>
      </c>
      <c r="D25" s="1823" t="s">
        <v>28</v>
      </c>
      <c r="E25" s="1824" t="s">
        <v>1377</v>
      </c>
      <c r="F25" s="1825" t="s">
        <v>1378</v>
      </c>
      <c r="G25" s="1826">
        <v>173.5</v>
      </c>
      <c r="H25" s="1827">
        <f>원자재매입내역!AL16</f>
        <v>0</v>
      </c>
      <c r="I25" s="1827">
        <f t="shared" si="7"/>
        <v>0</v>
      </c>
      <c r="J25" s="1758">
        <f>I25</f>
        <v>0</v>
      </c>
      <c r="K25" s="1828">
        <v>0</v>
      </c>
      <c r="L25" s="1829">
        <f>K25-J25</f>
        <v>0</v>
      </c>
      <c r="M25" s="2152"/>
      <c r="N25"/>
      <c r="O25" s="352"/>
      <c r="P25" s="352"/>
      <c r="Q25" s="352"/>
      <c r="R25" s="1038"/>
      <c r="S25" s="1038"/>
      <c r="T25" s="1038" t="str">
        <f t="shared" si="1"/>
        <v>0.5*37.3mm</v>
      </c>
      <c r="U25" s="1037">
        <f t="shared" si="8"/>
        <v>0</v>
      </c>
      <c r="V25" s="1037">
        <f t="shared" si="8"/>
        <v>0</v>
      </c>
      <c r="W25" s="352"/>
      <c r="X25" s="1043" t="str">
        <f>$X$4</f>
        <v>압출 PCM</v>
      </c>
      <c r="Y25" s="1044">
        <f t="shared" si="4"/>
        <v>19</v>
      </c>
      <c r="Z25" s="1044" t="str">
        <f t="array" ref="Z25">IFERROR(INDEX($T$3:$T$373,MATCH(1,($X25=$R$3:$R$373)*($Y25=$S$3:$S$373),0))," ")</f>
        <v>W60055</v>
      </c>
      <c r="AA25" s="1044">
        <f t="array" ref="AA25">IFERROR(INDEX($U$3:$U$373,MATCH(1,($X25=$R$3:$R$373)*($Y25=$S$3:$S$373),0))," ")</f>
        <v>0</v>
      </c>
      <c r="AB25" s="1045">
        <f t="array" ref="AB25">IFERROR(INDEX($V$3:$V$373,MATCH(1,($X25=$R$3:$R$373)*($Y25=$S$3:$S$373),0))," ")</f>
        <v>0</v>
      </c>
      <c r="AC25" s="352"/>
      <c r="AE25" s="356"/>
      <c r="AF25" s="352"/>
      <c r="AG25" s="352"/>
      <c r="AH25" s="352"/>
      <c r="AI25" s="352"/>
      <c r="AJ25" s="352"/>
      <c r="AK25" s="352"/>
      <c r="AL25" s="352"/>
      <c r="AM25" s="352"/>
      <c r="AN25" s="364"/>
      <c r="AO25" s="935"/>
      <c r="AP25" s="935"/>
      <c r="AQ25" s="364"/>
      <c r="AR25" s="364"/>
      <c r="AS25" s="364"/>
      <c r="AT25" s="359"/>
      <c r="AU25" s="492"/>
      <c r="AV25" s="352"/>
    </row>
    <row r="26" spans="1:57" ht="17.100000000000001" customHeight="1">
      <c r="A26" s="2334" t="s">
        <v>83</v>
      </c>
      <c r="B26" s="1288">
        <v>12457811</v>
      </c>
      <c r="C26" s="941" t="s">
        <v>304</v>
      </c>
      <c r="D26" s="942" t="s">
        <v>27</v>
      </c>
      <c r="E26" s="943" t="s">
        <v>305</v>
      </c>
      <c r="F26" s="2351" t="s">
        <v>944</v>
      </c>
      <c r="G26" s="944">
        <v>3130</v>
      </c>
      <c r="H26" s="707">
        <f>원자재매입내역!AL18</f>
        <v>5000</v>
      </c>
      <c r="I26" s="707">
        <f t="shared" si="7"/>
        <v>15650000</v>
      </c>
      <c r="J26" s="2144">
        <f>SUM(I26:I30)</f>
        <v>57594200</v>
      </c>
      <c r="K26" s="953">
        <v>51647900</v>
      </c>
      <c r="L26" s="1435">
        <f>J26-K26</f>
        <v>5946300</v>
      </c>
      <c r="M26" s="356"/>
      <c r="N26"/>
      <c r="O26" s="356"/>
      <c r="P26" s="356"/>
      <c r="Q26" s="356"/>
      <c r="R26" s="1038" t="s">
        <v>83</v>
      </c>
      <c r="S26" s="1038">
        <f>COUNTIF($R$3:R26,R26)</f>
        <v>6</v>
      </c>
      <c r="T26" s="1038" t="str">
        <f t="shared" si="1"/>
        <v>COMPOUND SD#75 BK</v>
      </c>
      <c r="U26" s="1037">
        <f t="shared" si="8"/>
        <v>5000</v>
      </c>
      <c r="V26" s="1037">
        <f t="shared" si="8"/>
        <v>15650000</v>
      </c>
      <c r="W26" s="356"/>
      <c r="X26" s="1043" t="str">
        <f t="shared" ref="X26:X37" si="9">$X$4</f>
        <v>압출 PCM</v>
      </c>
      <c r="Y26" s="1044">
        <f t="shared" si="4"/>
        <v>20</v>
      </c>
      <c r="Z26" s="1044" t="str">
        <f t="array" ref="Z26">IFERROR(INDEX($T$3:$T$373,MATCH(1,($X26=$R$3:$R$373)*($Y26=$S$3:$S$373),0))," ")</f>
        <v>W60433</v>
      </c>
      <c r="AA26" s="1044">
        <f t="array" ref="AA26">IFERROR(INDEX($U$3:$U$373,MATCH(1,($X26=$R$3:$R$373)*($Y26=$S$3:$S$373),0))," ")</f>
        <v>259</v>
      </c>
      <c r="AB26" s="1045">
        <f t="array" ref="AB26">IFERROR(INDEX($V$3:$V$373,MATCH(1,($X26=$R$3:$R$373)*($Y26=$S$3:$S$373),0))," ")</f>
        <v>937580</v>
      </c>
      <c r="AC26" s="356"/>
      <c r="AD26" s="935"/>
      <c r="AF26" s="356"/>
      <c r="AG26" s="356"/>
      <c r="AH26" s="356"/>
      <c r="AI26" s="356"/>
      <c r="AJ26" s="356"/>
      <c r="AK26" s="356"/>
      <c r="AL26" s="356"/>
      <c r="AM26" s="356"/>
      <c r="AN26" s="496"/>
      <c r="AO26" s="357" t="s">
        <v>546</v>
      </c>
      <c r="AP26" s="363">
        <f>2264*27000</f>
        <v>61128000</v>
      </c>
      <c r="AQ26" s="2358">
        <f>SUM(AP26:AP27)*1.1</f>
        <v>457740800.00000006</v>
      </c>
      <c r="AR26" s="363"/>
      <c r="AS26" s="363"/>
      <c r="AT26" s="363"/>
      <c r="AU26" s="492"/>
      <c r="AV26" s="352"/>
    </row>
    <row r="27" spans="1:57" ht="17.100000000000001" customHeight="1">
      <c r="A27" s="2335"/>
      <c r="B27" s="1289">
        <v>12457859</v>
      </c>
      <c r="C27" s="936" t="s">
        <v>306</v>
      </c>
      <c r="D27" s="789" t="s">
        <v>27</v>
      </c>
      <c r="E27" s="937" t="s">
        <v>307</v>
      </c>
      <c r="F27" s="2352"/>
      <c r="G27" s="938">
        <v>3130</v>
      </c>
      <c r="H27" s="703">
        <f>원자재매입내역!AL19</f>
        <v>0</v>
      </c>
      <c r="I27" s="703">
        <f t="shared" si="7"/>
        <v>0</v>
      </c>
      <c r="J27" s="2145"/>
      <c r="K27" s="951"/>
      <c r="L27" s="875"/>
      <c r="M27" s="356"/>
      <c r="N27"/>
      <c r="O27" s="356"/>
      <c r="P27" s="356"/>
      <c r="Q27" s="356"/>
      <c r="R27" s="1038" t="s">
        <v>83</v>
      </c>
      <c r="S27" s="1038">
        <f>COUNTIF($R$3:R27,R27)</f>
        <v>7</v>
      </c>
      <c r="T27" s="1038" t="str">
        <f t="shared" si="1"/>
        <v>COMPOUND SD#75 GY</v>
      </c>
      <c r="U27" s="1037">
        <f t="shared" si="8"/>
        <v>0</v>
      </c>
      <c r="V27" s="1037">
        <f t="shared" si="8"/>
        <v>0</v>
      </c>
      <c r="W27" s="356"/>
      <c r="X27" s="1043" t="str">
        <f t="shared" si="9"/>
        <v>압출 PCM</v>
      </c>
      <c r="Y27" s="1044">
        <f t="shared" si="4"/>
        <v>21</v>
      </c>
      <c r="Z27" s="1044" t="str">
        <f t="array" ref="Z27">IFERROR(INDEX($T$3:$T$373,MATCH(1,($X27=$R$3:$R$373)*($Y27=$S$3:$S$373),0))," ")</f>
        <v>W60433$GT</v>
      </c>
      <c r="AA27" s="1044">
        <f t="array" ref="AA27">IFERROR(INDEX($U$3:$U$373,MATCH(1,($X27=$R$3:$R$373)*($Y27=$S$3:$S$373),0))," ")</f>
        <v>499</v>
      </c>
      <c r="AB27" s="1045">
        <f t="array" ref="AB27">IFERROR(INDEX($V$3:$V$373,MATCH(1,($X27=$R$3:$R$373)*($Y27=$S$3:$S$373),0))," ")</f>
        <v>1836320</v>
      </c>
      <c r="AC27" s="356"/>
      <c r="AE27" s="238"/>
      <c r="AF27" s="356"/>
      <c r="AG27" s="356"/>
      <c r="AH27" s="356"/>
      <c r="AI27" s="356"/>
      <c r="AJ27" s="356"/>
      <c r="AK27" s="356"/>
      <c r="AL27" s="356"/>
      <c r="AM27" s="356"/>
      <c r="AN27" s="496"/>
      <c r="AO27" s="357" t="s">
        <v>547</v>
      </c>
      <c r="AP27" s="363">
        <v>355000000</v>
      </c>
      <c r="AQ27" s="2358"/>
      <c r="AR27" s="363"/>
      <c r="AS27" s="363"/>
      <c r="AT27" s="363"/>
      <c r="AU27" s="492"/>
      <c r="AV27" s="352"/>
    </row>
    <row r="28" spans="1:57" ht="17.100000000000001" customHeight="1">
      <c r="A28" s="2336"/>
      <c r="B28" s="1290" t="s">
        <v>1452</v>
      </c>
      <c r="C28" s="939" t="s">
        <v>896</v>
      </c>
      <c r="D28" s="789" t="s">
        <v>27</v>
      </c>
      <c r="E28" s="940" t="s">
        <v>1084</v>
      </c>
      <c r="F28" s="2352"/>
      <c r="G28" s="938">
        <v>36652</v>
      </c>
      <c r="H28" s="703">
        <f>원자재매입내역!AL22</f>
        <v>500</v>
      </c>
      <c r="I28" s="703">
        <f t="shared" si="7"/>
        <v>18326000</v>
      </c>
      <c r="J28" s="2145"/>
      <c r="K28" s="951"/>
      <c r="L28" s="875"/>
      <c r="M28" s="238"/>
      <c r="N28"/>
      <c r="R28" s="1038" t="s">
        <v>905</v>
      </c>
      <c r="S28" s="1038">
        <f>COUNTIF($R$3:R28,R28)</f>
        <v>13</v>
      </c>
      <c r="T28" s="1038" t="str">
        <f t="shared" si="1"/>
        <v>SX553A</v>
      </c>
      <c r="U28" s="1037">
        <f t="shared" si="8"/>
        <v>500</v>
      </c>
      <c r="V28" s="1037">
        <f t="shared" si="8"/>
        <v>18326000</v>
      </c>
      <c r="X28" s="1043" t="str">
        <f t="shared" si="9"/>
        <v>압출 PCM</v>
      </c>
      <c r="Y28" s="1044">
        <f t="shared" si="4"/>
        <v>22</v>
      </c>
      <c r="Z28" s="1044" t="str">
        <f t="array" ref="Z28">IFERROR(INDEX($T$3:$T$373,MATCH(1,($X28=$R$3:$R$373)*($Y28=$S$3:$S$373),0))," ")</f>
        <v>W60513M</v>
      </c>
      <c r="AA28" s="1044">
        <f t="array" ref="AA28">IFERROR(INDEX($U$3:$U$373,MATCH(1,($X28=$R$3:$R$373)*($Y28=$S$3:$S$373),0))," ")</f>
        <v>15665</v>
      </c>
      <c r="AB28" s="1045">
        <f t="array" ref="AB28">IFERROR(INDEX($V$3:$V$373,MATCH(1,($X28=$R$3:$R$373)*($Y28=$S$3:$S$373),0))," ")</f>
        <v>53261000</v>
      </c>
      <c r="AE28" s="238"/>
      <c r="AO28" s="235"/>
      <c r="AP28" s="235"/>
      <c r="AQ28" s="235"/>
      <c r="AR28" s="235"/>
      <c r="AS28" s="235"/>
      <c r="AT28" s="933"/>
      <c r="AU28" s="934" t="s">
        <v>1008</v>
      </c>
      <c r="AV28" s="935">
        <v>10000000</v>
      </c>
      <c r="AW28" s="935"/>
      <c r="AX28" s="935"/>
      <c r="AY28" s="935"/>
      <c r="AZ28" s="935"/>
      <c r="BA28" s="352"/>
      <c r="BB28" s="352"/>
      <c r="BC28" s="244"/>
      <c r="BD28" s="244"/>
      <c r="BE28" s="244"/>
    </row>
    <row r="29" spans="1:57" ht="17.100000000000001" customHeight="1">
      <c r="A29" s="2075" t="s">
        <v>939</v>
      </c>
      <c r="B29" s="1290" t="s">
        <v>1453</v>
      </c>
      <c r="C29" s="939" t="s">
        <v>922</v>
      </c>
      <c r="D29" s="789" t="s">
        <v>28</v>
      </c>
      <c r="E29" s="937" t="s">
        <v>530</v>
      </c>
      <c r="F29" s="2352"/>
      <c r="G29" s="938">
        <v>58</v>
      </c>
      <c r="H29" s="703">
        <f>원자재매입내역!AL27</f>
        <v>136000</v>
      </c>
      <c r="I29" s="703">
        <f t="shared" ref="I29:I30" si="10">G29*H29</f>
        <v>7888000</v>
      </c>
      <c r="J29" s="2145"/>
      <c r="K29" s="951"/>
      <c r="L29" s="875"/>
      <c r="M29" s="238"/>
      <c r="N29"/>
      <c r="O29" s="238"/>
      <c r="P29" s="238"/>
      <c r="Q29" s="238"/>
      <c r="R29" s="1038" t="s">
        <v>180</v>
      </c>
      <c r="S29" s="1038">
        <f>COUNTIF($R$3:R29,R29)</f>
        <v>1</v>
      </c>
      <c r="T29" s="1038" t="str">
        <f t="shared" si="1"/>
        <v>WIRE GLASS CORD (Ø0.4mm)</v>
      </c>
      <c r="U29" s="1037">
        <f t="shared" si="8"/>
        <v>136000</v>
      </c>
      <c r="V29" s="1037">
        <f t="shared" si="8"/>
        <v>7888000</v>
      </c>
      <c r="W29" s="238"/>
      <c r="X29" s="1043" t="str">
        <f t="shared" si="9"/>
        <v>압출 PCM</v>
      </c>
      <c r="Y29" s="1044">
        <f t="shared" si="4"/>
        <v>23</v>
      </c>
      <c r="Z29" s="1044" t="str">
        <f t="array" ref="Z29">IFERROR(INDEX($T$3:$T$373,MATCH(1,($X29=$R$3:$R$373)*($Y29=$S$3:$S$373),0))," ")</f>
        <v>W60514</v>
      </c>
      <c r="AA29" s="1044">
        <f t="array" ref="AA29">IFERROR(INDEX($U$3:$U$373,MATCH(1,($X29=$R$3:$R$373)*($Y29=$S$3:$S$373),0))," ")</f>
        <v>0</v>
      </c>
      <c r="AB29" s="1045">
        <f t="array" ref="AB29">IFERROR(INDEX($V$3:$V$373,MATCH(1,($X29=$R$3:$R$373)*($Y29=$S$3:$S$373),0))," ")</f>
        <v>0</v>
      </c>
      <c r="AC29" s="238"/>
      <c r="AE29" s="238"/>
      <c r="AF29" s="238"/>
      <c r="AG29" s="238"/>
      <c r="AH29" s="238"/>
      <c r="AI29" s="238"/>
      <c r="AJ29" s="238"/>
      <c r="AK29" s="238"/>
      <c r="AL29" s="238"/>
      <c r="AM29" s="238"/>
      <c r="AN29" s="494"/>
      <c r="AO29" s="491"/>
      <c r="AP29" s="493"/>
      <c r="AQ29" s="492"/>
      <c r="AR29" s="492"/>
      <c r="AS29" s="492"/>
      <c r="AT29" s="352"/>
      <c r="AU29" s="352"/>
      <c r="AV29" s="352"/>
    </row>
    <row r="30" spans="1:57" ht="17.100000000000001" customHeight="1" thickBot="1">
      <c r="A30" s="2076" t="s">
        <v>1364</v>
      </c>
      <c r="B30" s="1648" t="s">
        <v>1451</v>
      </c>
      <c r="C30" s="1649" t="s">
        <v>1362</v>
      </c>
      <c r="D30" s="1650" t="s">
        <v>300</v>
      </c>
      <c r="E30" s="1651" t="s">
        <v>1363</v>
      </c>
      <c r="F30" s="2352"/>
      <c r="G30" s="2187">
        <v>324</v>
      </c>
      <c r="H30" s="710">
        <f>원자재매입내역!AL28</f>
        <v>48550</v>
      </c>
      <c r="I30" s="710">
        <f t="shared" si="10"/>
        <v>15730200</v>
      </c>
      <c r="J30" s="2145"/>
      <c r="K30" s="951"/>
      <c r="L30" s="875"/>
      <c r="M30" s="238"/>
      <c r="N30"/>
      <c r="O30" s="238"/>
      <c r="P30" s="238"/>
      <c r="Q30" s="238"/>
      <c r="R30" s="1035" t="s">
        <v>1115</v>
      </c>
      <c r="S30" s="1038">
        <f>COUNTIF($R$3:R30,R30)</f>
        <v>6</v>
      </c>
      <c r="T30" s="1038" t="str">
        <f t="shared" si="1"/>
        <v>46MM WIRE CARRIER(05R-159)</v>
      </c>
      <c r="U30" s="1037">
        <f t="shared" si="8"/>
        <v>48550</v>
      </c>
      <c r="V30" s="1037">
        <f t="shared" si="8"/>
        <v>15730200</v>
      </c>
      <c r="W30" s="238"/>
      <c r="X30" s="1043" t="str">
        <f t="shared" si="9"/>
        <v>압출 PCM</v>
      </c>
      <c r="Y30" s="1044">
        <f t="shared" si="4"/>
        <v>24</v>
      </c>
      <c r="Z30" s="1044" t="str">
        <f t="array" ref="Z30">IFERROR(INDEX($T$3:$T$373,MATCH(1,($X30=$R$3:$R$373)*($Y30=$S$3:$S$373),0))," ")</f>
        <v>W60515</v>
      </c>
      <c r="AA30" s="1044">
        <f t="array" ref="AA30">IFERROR(INDEX($U$3:$U$373,MATCH(1,($X30=$R$3:$R$373)*($Y30=$S$3:$S$373),0))," ")</f>
        <v>1018</v>
      </c>
      <c r="AB30" s="1045">
        <f t="array" ref="AB30">IFERROR(INDEX($V$3:$V$373,MATCH(1,($X30=$R$3:$R$373)*($Y30=$S$3:$S$373),0))," ")</f>
        <v>3410300</v>
      </c>
      <c r="AC30" s="238"/>
      <c r="AE30" s="238"/>
      <c r="AF30" s="238"/>
      <c r="AG30" s="238"/>
      <c r="AH30" s="238"/>
      <c r="AI30" s="238"/>
      <c r="AJ30" s="238"/>
      <c r="AK30" s="238"/>
      <c r="AL30" s="238"/>
      <c r="AM30" s="238"/>
      <c r="AN30" s="494"/>
      <c r="AO30" s="491"/>
      <c r="AP30" s="493"/>
      <c r="AQ30" s="492"/>
      <c r="AR30" s="492"/>
      <c r="AS30" s="492"/>
      <c r="AT30" s="352"/>
      <c r="AU30" s="352"/>
      <c r="AV30" s="352"/>
    </row>
    <row r="31" spans="1:57" ht="17.100000000000001" customHeight="1">
      <c r="A31" s="2357" t="s">
        <v>229</v>
      </c>
      <c r="B31" s="1652">
        <v>1</v>
      </c>
      <c r="C31" s="1653" t="s">
        <v>1585</v>
      </c>
      <c r="D31" s="1654" t="s">
        <v>27</v>
      </c>
      <c r="E31" s="1655" t="s">
        <v>737</v>
      </c>
      <c r="F31" s="2346" t="s">
        <v>1902</v>
      </c>
      <c r="G31" s="1656">
        <v>3510</v>
      </c>
      <c r="H31" s="707">
        <f>원자재매입내역!AL30</f>
        <v>41872</v>
      </c>
      <c r="I31" s="707">
        <f t="shared" ref="I31:I41" si="11">G31*H31</f>
        <v>146970720</v>
      </c>
      <c r="J31" s="2085">
        <f>SUM(I31:I46)</f>
        <v>332015090</v>
      </c>
      <c r="K31" s="953">
        <v>321169980</v>
      </c>
      <c r="L31" s="1435">
        <f>J31-K31</f>
        <v>10845110</v>
      </c>
      <c r="M31" s="238"/>
      <c r="N31"/>
      <c r="O31" s="238"/>
      <c r="P31" s="238"/>
      <c r="Q31" s="238"/>
      <c r="R31" s="1035" t="s">
        <v>1115</v>
      </c>
      <c r="S31" s="1038">
        <f>COUNTIF($R$3:R31,R31)</f>
        <v>7</v>
      </c>
      <c r="T31" s="1038" t="str">
        <f t="shared" si="1"/>
        <v>W60712$2</v>
      </c>
      <c r="U31" s="1037">
        <f t="shared" si="8"/>
        <v>41872</v>
      </c>
      <c r="V31" s="1037">
        <f t="shared" si="8"/>
        <v>146970720</v>
      </c>
      <c r="W31" s="238"/>
      <c r="X31" s="1043" t="str">
        <f t="shared" si="9"/>
        <v>압출 PCM</v>
      </c>
      <c r="Y31" s="1044">
        <f t="shared" si="4"/>
        <v>25</v>
      </c>
      <c r="Z31" s="1044" t="str">
        <f t="array" ref="Z31">IFERROR(INDEX($T$3:$T$373,MATCH(1,($X31=$R$3:$R$373)*($Y31=$S$3:$S$373),0))," ")</f>
        <v>W6085YU</v>
      </c>
      <c r="AA31" s="1044">
        <f t="array" ref="AA31">IFERROR(INDEX($U$3:$U$373,MATCH(1,($X31=$R$3:$R$373)*($Y31=$S$3:$S$373),0))," ")</f>
        <v>3828</v>
      </c>
      <c r="AB31" s="1045">
        <f t="array" ref="AB31">IFERROR(INDEX($V$3:$V$373,MATCH(1,($X31=$R$3:$R$373)*($Y31=$S$3:$S$373),0))," ")</f>
        <v>13474560</v>
      </c>
      <c r="AC31" s="238"/>
      <c r="AE31" s="238"/>
      <c r="AF31" s="238"/>
      <c r="AG31" s="238"/>
      <c r="AH31" s="238"/>
      <c r="AI31" s="238"/>
      <c r="AJ31" s="238"/>
      <c r="AK31" s="238"/>
      <c r="AL31" s="238"/>
      <c r="AM31" s="238"/>
      <c r="AN31" s="494"/>
      <c r="AO31" s="491"/>
      <c r="AP31" s="493"/>
      <c r="AQ31" s="492"/>
      <c r="AR31" s="492"/>
      <c r="AS31" s="492"/>
      <c r="AT31" s="352"/>
      <c r="AU31" s="352"/>
      <c r="AV31" s="352"/>
    </row>
    <row r="32" spans="1:57" ht="17.100000000000001" customHeight="1">
      <c r="A32" s="2357"/>
      <c r="B32" s="855">
        <v>2</v>
      </c>
      <c r="C32" s="1131" t="s">
        <v>1586</v>
      </c>
      <c r="D32" s="1229" t="s">
        <v>27</v>
      </c>
      <c r="E32" s="904" t="s">
        <v>737</v>
      </c>
      <c r="F32" s="2347"/>
      <c r="G32" s="1156">
        <v>3340</v>
      </c>
      <c r="H32" s="703">
        <f>원자재매입내역!AL31</f>
        <v>7168</v>
      </c>
      <c r="I32" s="703">
        <f t="shared" ref="I32" si="12">G32*H32</f>
        <v>23941120</v>
      </c>
      <c r="J32" s="2083"/>
      <c r="K32" s="951"/>
      <c r="L32" s="875"/>
      <c r="M32" s="238"/>
      <c r="N32" s="238"/>
      <c r="O32" s="238"/>
      <c r="P32" s="238"/>
      <c r="Q32" s="238"/>
      <c r="R32" s="1035" t="s">
        <v>1115</v>
      </c>
      <c r="S32" s="1038">
        <f>COUNTIF($R$3:R32,R32)</f>
        <v>8</v>
      </c>
      <c r="T32" s="1038" t="str">
        <f t="shared" si="1"/>
        <v>W60712$2TA</v>
      </c>
      <c r="U32" s="1037">
        <f t="shared" si="8"/>
        <v>7168</v>
      </c>
      <c r="V32" s="1037">
        <f t="shared" si="8"/>
        <v>23941120</v>
      </c>
      <c r="W32" s="238"/>
      <c r="X32" s="1043" t="str">
        <f t="shared" si="9"/>
        <v>압출 PCM</v>
      </c>
      <c r="Y32" s="1044">
        <f t="shared" si="4"/>
        <v>26</v>
      </c>
      <c r="Z32" s="1044" t="str">
        <f t="array" ref="Z32">IFERROR(INDEX($T$3:$T$373,MATCH(1,($X32=$R$3:$R$373)*($Y32=$S$3:$S$373),0))," ")</f>
        <v>W60351</v>
      </c>
      <c r="AA32" s="1044">
        <f t="array" ref="AA32">IFERROR(INDEX($U$3:$U$373,MATCH(1,($X32=$R$3:$R$373)*($Y32=$S$3:$S$373),0))," ")</f>
        <v>0</v>
      </c>
      <c r="AB32" s="1045">
        <f t="array" ref="AB32">IFERROR(INDEX($V$3:$V$373,MATCH(1,($X32=$R$3:$R$373)*($Y32=$S$3:$S$373),0))," ")</f>
        <v>0</v>
      </c>
      <c r="AC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494"/>
      <c r="AO32" s="491"/>
      <c r="AP32" s="493"/>
      <c r="AQ32" s="492"/>
      <c r="AR32" s="492"/>
      <c r="AS32" s="492"/>
      <c r="AT32" s="352"/>
      <c r="AU32" s="352"/>
      <c r="AV32" s="352"/>
    </row>
    <row r="33" spans="1:48" ht="17.100000000000001" customHeight="1">
      <c r="A33" s="2357"/>
      <c r="B33" s="1230">
        <v>3</v>
      </c>
      <c r="C33" s="1131" t="s">
        <v>1587</v>
      </c>
      <c r="D33" s="1229" t="s">
        <v>27</v>
      </c>
      <c r="E33" s="904" t="s">
        <v>736</v>
      </c>
      <c r="F33" s="2347"/>
      <c r="G33" s="1156">
        <v>4410</v>
      </c>
      <c r="H33" s="703">
        <f>원자재매입내역!AL32</f>
        <v>13454</v>
      </c>
      <c r="I33" s="703">
        <f t="shared" si="11"/>
        <v>59332140</v>
      </c>
      <c r="J33" s="2083"/>
      <c r="K33" s="951"/>
      <c r="L33" s="875"/>
      <c r="M33" s="238"/>
      <c r="N33" s="238"/>
      <c r="O33" s="238"/>
      <c r="P33" s="238"/>
      <c r="Q33" s="238"/>
      <c r="R33" s="1035" t="s">
        <v>1115</v>
      </c>
      <c r="S33" s="1038">
        <f>COUNTIF($R$3:R33,R33)</f>
        <v>9</v>
      </c>
      <c r="T33" s="1038" t="str">
        <f t="shared" si="1"/>
        <v>W60594BJ2</v>
      </c>
      <c r="U33" s="1037">
        <f t="shared" si="8"/>
        <v>13454</v>
      </c>
      <c r="V33" s="1037">
        <f t="shared" si="8"/>
        <v>59332140</v>
      </c>
      <c r="W33" s="238"/>
      <c r="X33" s="1043" t="str">
        <f t="shared" si="9"/>
        <v>압출 PCM</v>
      </c>
      <c r="Y33" s="1044">
        <f t="shared" si="4"/>
        <v>27</v>
      </c>
      <c r="Z33" s="1044" t="str">
        <f t="array" ref="Z33">IFERROR(INDEX($T$3:$T$373,MATCH(1,($X33=$R$3:$R$373)*($Y33=$S$3:$S$373),0))," ")</f>
        <v>W60664</v>
      </c>
      <c r="AA33" s="1044">
        <f t="array" ref="AA33">IFERROR(INDEX($U$3:$U$373,MATCH(1,($X33=$R$3:$R$373)*($Y33=$S$3:$S$373),0))," ")</f>
        <v>0</v>
      </c>
      <c r="AB33" s="1045">
        <f t="array" ref="AB33">IFERROR(INDEX($V$3:$V$373,MATCH(1,($X33=$R$3:$R$373)*($Y33=$S$3:$S$373),0))," ")</f>
        <v>0</v>
      </c>
      <c r="AC33" s="238"/>
      <c r="AE33" s="238"/>
      <c r="AF33" s="238"/>
      <c r="AG33" s="238"/>
      <c r="AH33" s="238"/>
      <c r="AI33" s="238"/>
      <c r="AJ33" s="238"/>
      <c r="AK33" s="238"/>
      <c r="AL33" s="238"/>
      <c r="AM33" s="238"/>
      <c r="AN33" s="494"/>
      <c r="AO33" s="491"/>
      <c r="AP33" s="493"/>
      <c r="AQ33" s="492"/>
      <c r="AR33" s="492"/>
      <c r="AS33" s="492"/>
      <c r="AT33" s="352"/>
      <c r="AU33" s="352"/>
      <c r="AV33" s="352"/>
    </row>
    <row r="34" spans="1:48" ht="18" customHeight="1">
      <c r="A34" s="2357"/>
      <c r="B34" s="1230">
        <v>4</v>
      </c>
      <c r="C34" s="1131" t="s">
        <v>1202</v>
      </c>
      <c r="D34" s="1229" t="s">
        <v>27</v>
      </c>
      <c r="E34" s="904"/>
      <c r="F34" s="2347"/>
      <c r="G34" s="1156">
        <v>3350</v>
      </c>
      <c r="H34" s="703">
        <f>원자재매입내역!AL33</f>
        <v>0</v>
      </c>
      <c r="I34" s="703">
        <f t="shared" si="11"/>
        <v>0</v>
      </c>
      <c r="J34" s="2083"/>
      <c r="K34" s="951"/>
      <c r="L34" s="875"/>
      <c r="M34" s="238"/>
      <c r="N34" s="238"/>
      <c r="O34" s="238"/>
      <c r="P34" s="238"/>
      <c r="Q34" s="238"/>
      <c r="R34" s="1035" t="s">
        <v>1115</v>
      </c>
      <c r="S34" s="1038">
        <f>COUNTIF($R$3:R34,R34)</f>
        <v>10</v>
      </c>
      <c r="T34" s="1038" t="str">
        <f t="shared" si="1"/>
        <v>W60515</v>
      </c>
      <c r="U34" s="1037">
        <f t="shared" si="8"/>
        <v>0</v>
      </c>
      <c r="V34" s="1037">
        <f t="shared" si="8"/>
        <v>0</v>
      </c>
      <c r="W34" s="238"/>
      <c r="X34" s="1043" t="str">
        <f t="shared" si="9"/>
        <v>압출 PCM</v>
      </c>
      <c r="Y34" s="1044">
        <f t="shared" si="4"/>
        <v>28</v>
      </c>
      <c r="Z34" s="1044" t="str">
        <f t="array" ref="Z34">IFERROR(INDEX($T$3:$T$373,MATCH(1,($X34=$R$3:$R$373)*($Y34=$S$3:$S$373),0))," ")</f>
        <v>W60804</v>
      </c>
      <c r="AA34" s="1044">
        <f t="array" ref="AA34">IFERROR(INDEX($U$3:$U$373,MATCH(1,($X34=$R$3:$R$373)*($Y34=$S$3:$S$373),0))," ")</f>
        <v>0</v>
      </c>
      <c r="AB34" s="1045">
        <f t="array" ref="AB34">IFERROR(INDEX($V$3:$V$373,MATCH(1,($X34=$R$3:$R$373)*($Y34=$S$3:$S$373),0))," ")</f>
        <v>0</v>
      </c>
      <c r="AC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354"/>
      <c r="AP34" s="353"/>
      <c r="AQ34" s="352"/>
      <c r="AR34" s="352"/>
      <c r="AS34" s="352"/>
      <c r="AT34" s="352"/>
      <c r="AU34" s="352"/>
      <c r="AV34" s="352"/>
    </row>
    <row r="35" spans="1:48" ht="17.100000000000001" customHeight="1">
      <c r="A35" s="2357"/>
      <c r="B35" s="855">
        <v>5</v>
      </c>
      <c r="C35" s="1131" t="s">
        <v>1588</v>
      </c>
      <c r="D35" s="1229" t="s">
        <v>309</v>
      </c>
      <c r="E35" s="904" t="s">
        <v>1088</v>
      </c>
      <c r="F35" s="2347"/>
      <c r="G35" s="1156">
        <v>4110</v>
      </c>
      <c r="H35" s="703">
        <f>원자재매입내역!AL34</f>
        <v>7934</v>
      </c>
      <c r="I35" s="703">
        <f t="shared" si="11"/>
        <v>32608740</v>
      </c>
      <c r="J35" s="2083"/>
      <c r="K35" s="951"/>
      <c r="L35" s="875"/>
      <c r="M35" s="238"/>
      <c r="N35" s="238"/>
      <c r="O35" s="238"/>
      <c r="P35" s="238"/>
      <c r="Q35" s="238"/>
      <c r="R35" s="1035" t="s">
        <v>1115</v>
      </c>
      <c r="S35" s="1038">
        <f>COUNTIF($R$3:R35,R35)</f>
        <v>11</v>
      </c>
      <c r="T35" s="1038" t="str">
        <f t="shared" si="1"/>
        <v>W60052</v>
      </c>
      <c r="U35" s="1037">
        <f t="shared" si="8"/>
        <v>7934</v>
      </c>
      <c r="V35" s="1037">
        <f t="shared" si="8"/>
        <v>32608740</v>
      </c>
      <c r="W35" s="238"/>
      <c r="X35" s="1043" t="str">
        <f t="shared" si="9"/>
        <v>압출 PCM</v>
      </c>
      <c r="Y35" s="1044">
        <f t="shared" si="4"/>
        <v>29</v>
      </c>
      <c r="Z35" s="1044" t="str">
        <f t="array" ref="Z35">IFERROR(INDEX($T$3:$T$373,MATCH(1,($X35=$R$3:$R$373)*($Y35=$S$3:$S$373),0))," ")</f>
        <v>w60922</v>
      </c>
      <c r="AA35" s="1044">
        <f t="array" ref="AA35">IFERROR(INDEX($U$3:$U$373,MATCH(1,($X35=$R$3:$R$373)*($Y35=$S$3:$S$373),0))," ")</f>
        <v>3133</v>
      </c>
      <c r="AB35" s="1045">
        <f t="array" ref="AB35">IFERROR(INDEX($V$3:$V$373,MATCH(1,($X35=$R$3:$R$373)*($Y35=$S$3:$S$373),0))," ")</f>
        <v>13315250</v>
      </c>
      <c r="AC35" s="238"/>
      <c r="AE35" s="238"/>
      <c r="AF35" s="238"/>
      <c r="AG35" s="238"/>
      <c r="AH35" s="238"/>
      <c r="AI35" s="238"/>
      <c r="AJ35" s="238"/>
      <c r="AK35" s="238"/>
      <c r="AL35" s="238"/>
      <c r="AM35" s="238"/>
      <c r="AN35" s="238"/>
      <c r="AO35" s="354"/>
      <c r="AP35" s="353"/>
      <c r="AQ35" s="352"/>
      <c r="AR35" s="352"/>
      <c r="AS35" s="352"/>
      <c r="AT35" s="352"/>
      <c r="AU35" s="352"/>
      <c r="AV35" s="352"/>
    </row>
    <row r="36" spans="1:48" ht="17.100000000000001" customHeight="1">
      <c r="A36" s="2357"/>
      <c r="B36" s="855">
        <v>6</v>
      </c>
      <c r="C36" s="1131" t="s">
        <v>1589</v>
      </c>
      <c r="D36" s="1229" t="s">
        <v>309</v>
      </c>
      <c r="E36" s="904" t="s">
        <v>859</v>
      </c>
      <c r="F36" s="2347"/>
      <c r="G36" s="1156">
        <v>4940</v>
      </c>
      <c r="H36" s="703">
        <f>원자재매입내역!AL35</f>
        <v>4362</v>
      </c>
      <c r="I36" s="703">
        <f t="shared" si="11"/>
        <v>21548280</v>
      </c>
      <c r="J36" s="2083"/>
      <c r="K36" s="951"/>
      <c r="L36" s="875"/>
      <c r="M36" s="238"/>
      <c r="N36" s="238"/>
      <c r="O36" s="238"/>
      <c r="P36" s="1047">
        <v>0.6</v>
      </c>
      <c r="Q36" s="1047">
        <v>0.4</v>
      </c>
      <c r="R36" s="1035" t="s">
        <v>2019</v>
      </c>
      <c r="S36" s="1038">
        <f>COUNTIF($R$3:R36,R36)</f>
        <v>1</v>
      </c>
      <c r="T36" s="1038" t="str">
        <f t="shared" si="1"/>
        <v>W60905$OS</v>
      </c>
      <c r="U36" s="1037">
        <f t="shared" ref="U36:V56" si="13">H36</f>
        <v>4362</v>
      </c>
      <c r="V36" s="1037">
        <f t="shared" si="13"/>
        <v>21548280</v>
      </c>
      <c r="W36" s="238"/>
      <c r="X36" s="1043" t="str">
        <f t="shared" si="9"/>
        <v>압출 PCM</v>
      </c>
      <c r="Y36" s="1044">
        <f t="shared" si="4"/>
        <v>30</v>
      </c>
      <c r="Z36" s="1044" t="str">
        <f t="array" ref="Z36">IFERROR(INDEX($T$3:$T$373,MATCH(1,($X36=$R$3:$R$373)*($Y36=$S$3:$S$373),0))," ")</f>
        <v>W60923</v>
      </c>
      <c r="AA36" s="1044">
        <f t="array" ref="AA36">IFERROR(INDEX($U$3:$U$373,MATCH(1,($X36=$R$3:$R$373)*($Y36=$S$3:$S$373),0))," ")</f>
        <v>18351</v>
      </c>
      <c r="AB36" s="1045">
        <f t="array" ref="AB36">IFERROR(INDEX($V$3:$V$373,MATCH(1,($X36=$R$3:$R$373)*($Y36=$S$3:$S$373),0))," ")</f>
        <v>66247110</v>
      </c>
      <c r="AC36" s="238"/>
      <c r="AE36" s="238"/>
      <c r="AF36" s="238"/>
      <c r="AG36" s="238"/>
      <c r="AH36" s="238"/>
      <c r="AI36" s="238"/>
      <c r="AJ36" s="238"/>
      <c r="AK36" s="238"/>
      <c r="AL36" s="238"/>
      <c r="AM36" s="238"/>
      <c r="AN36" s="238"/>
      <c r="AO36" s="354"/>
      <c r="AP36" s="353"/>
      <c r="AQ36" s="352"/>
      <c r="AR36" s="352"/>
      <c r="AS36" s="352"/>
      <c r="AT36" s="352"/>
      <c r="AU36" s="352"/>
      <c r="AV36" s="352"/>
    </row>
    <row r="37" spans="1:48" ht="17.100000000000001" customHeight="1">
      <c r="A37" s="2357"/>
      <c r="B37" s="855">
        <v>7</v>
      </c>
      <c r="C37" s="1131" t="s">
        <v>513</v>
      </c>
      <c r="D37" s="1229" t="s">
        <v>309</v>
      </c>
      <c r="E37" s="904" t="s">
        <v>276</v>
      </c>
      <c r="F37" s="2347"/>
      <c r="G37" s="1156">
        <v>0</v>
      </c>
      <c r="H37" s="703">
        <f>원자재매입내역!AL36</f>
        <v>0</v>
      </c>
      <c r="I37" s="703">
        <f t="shared" si="11"/>
        <v>0</v>
      </c>
      <c r="J37" s="2083"/>
      <c r="K37" s="951"/>
      <c r="L37" s="875"/>
      <c r="M37" s="238"/>
      <c r="N37" s="238"/>
      <c r="O37" s="238"/>
      <c r="P37" s="238"/>
      <c r="Q37" s="238"/>
      <c r="R37" s="1035" t="s">
        <v>1115</v>
      </c>
      <c r="S37" s="1038">
        <f>COUNTIF($R$3:R37,R37)</f>
        <v>12</v>
      </c>
      <c r="T37" s="1038" t="str">
        <f t="shared" si="1"/>
        <v>S6073RN4</v>
      </c>
      <c r="U37" s="1037">
        <f t="shared" si="13"/>
        <v>0</v>
      </c>
      <c r="V37" s="1037">
        <f t="shared" si="13"/>
        <v>0</v>
      </c>
      <c r="W37" s="238"/>
      <c r="X37" s="1043" t="str">
        <f t="shared" si="9"/>
        <v>압출 PCM</v>
      </c>
      <c r="Y37" s="1044">
        <f t="shared" si="4"/>
        <v>31</v>
      </c>
      <c r="Z37" s="1044" t="str">
        <f t="array" ref="Z37">IFERROR(INDEX($T$3:$T$373,MATCH(1,($X37=$R$3:$R$373)*($Y37=$S$3:$S$373),0))," ")</f>
        <v>W60924</v>
      </c>
      <c r="AA37" s="1044">
        <f t="array" ref="AA37">IFERROR(INDEX($U$3:$U$373,MATCH(1,($X37=$R$3:$R$373)*($Y37=$S$3:$S$373),0))," ")</f>
        <v>0</v>
      </c>
      <c r="AB37" s="1045">
        <f t="array" ref="AB37">IFERROR(INDEX($V$3:$V$373,MATCH(1,($X37=$R$3:$R$373)*($Y37=$S$3:$S$373),0))," ")</f>
        <v>0</v>
      </c>
      <c r="AC37" s="238"/>
      <c r="AE37" s="238"/>
      <c r="AF37" s="238"/>
      <c r="AG37" s="238"/>
      <c r="AH37" s="238"/>
      <c r="AI37" s="238"/>
      <c r="AJ37" s="238"/>
      <c r="AK37" s="238"/>
      <c r="AL37" s="238"/>
      <c r="AM37" s="238"/>
      <c r="AN37" s="238"/>
      <c r="AO37" s="353"/>
      <c r="AP37" s="353"/>
      <c r="AQ37" s="352"/>
      <c r="AR37" s="352"/>
      <c r="AS37" s="352"/>
      <c r="AT37" s="352"/>
      <c r="AU37" s="352"/>
      <c r="AV37" s="352"/>
    </row>
    <row r="38" spans="1:48" ht="17.100000000000001" customHeight="1">
      <c r="A38" s="2357"/>
      <c r="B38" s="855">
        <v>8</v>
      </c>
      <c r="C38" s="1131" t="s">
        <v>310</v>
      </c>
      <c r="D38" s="1229" t="s">
        <v>666</v>
      </c>
      <c r="E38" s="904" t="s">
        <v>729</v>
      </c>
      <c r="F38" s="2347"/>
      <c r="G38" s="1156">
        <v>0</v>
      </c>
      <c r="H38" s="703">
        <f>원자재매입내역!AL37</f>
        <v>0</v>
      </c>
      <c r="I38" s="703">
        <f t="shared" si="11"/>
        <v>0</v>
      </c>
      <c r="J38" s="2083"/>
      <c r="K38" s="951"/>
      <c r="L38" s="875"/>
      <c r="M38" s="238"/>
      <c r="N38" s="238"/>
      <c r="O38" s="238"/>
      <c r="P38" s="238"/>
      <c r="Q38" s="238"/>
      <c r="R38" s="1035" t="s">
        <v>1115</v>
      </c>
      <c r="S38" s="1038">
        <f>COUNTIF($R$3:R38,R38)</f>
        <v>13</v>
      </c>
      <c r="T38" s="1038" t="str">
        <f t="shared" si="1"/>
        <v>W60921</v>
      </c>
      <c r="U38" s="1037">
        <f t="shared" si="13"/>
        <v>0</v>
      </c>
      <c r="V38" s="1037">
        <f t="shared" si="13"/>
        <v>0</v>
      </c>
      <c r="W38" s="238"/>
      <c r="X38" s="1043" t="str">
        <f>$X$4</f>
        <v>압출 PCM</v>
      </c>
      <c r="Y38" s="1044">
        <f t="shared" si="4"/>
        <v>32</v>
      </c>
      <c r="Z38" s="1044" t="str">
        <f t="array" ref="Z38">IFERROR(INDEX($T$3:$T$373,MATCH(1,($X38=$R$3:$R$373)*($Y38=$S$3:$S$373),0))," ")</f>
        <v>C140 TREE CLIP BK</v>
      </c>
      <c r="AA38" s="1044">
        <f t="array" ref="AA38">IFERROR(INDEX($U$3:$U$373,MATCH(1,($X38=$R$3:$R$373)*($Y38=$S$3:$S$373),0))," ")</f>
        <v>0</v>
      </c>
      <c r="AB38" s="1045">
        <f t="array" ref="AB38">IFERROR(INDEX($V$3:$V$373,MATCH(1,($X38=$R$3:$R$373)*($Y38=$S$3:$S$373),0))," ")</f>
        <v>0</v>
      </c>
      <c r="AC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353"/>
      <c r="AP38" s="353"/>
      <c r="AQ38" s="352"/>
      <c r="AR38" s="352"/>
      <c r="AS38" s="352"/>
      <c r="AT38" s="352"/>
      <c r="AU38" s="352"/>
      <c r="AV38" s="352"/>
    </row>
    <row r="39" spans="1:48" ht="17.100000000000001" customHeight="1">
      <c r="A39" s="2357"/>
      <c r="B39" s="855">
        <v>9</v>
      </c>
      <c r="C39" s="1131" t="s">
        <v>665</v>
      </c>
      <c r="D39" s="1229" t="s">
        <v>666</v>
      </c>
      <c r="E39" s="904" t="s">
        <v>738</v>
      </c>
      <c r="F39" s="2347"/>
      <c r="G39" s="1156">
        <v>0</v>
      </c>
      <c r="H39" s="703">
        <f>원자재매입내역!AL38</f>
        <v>0</v>
      </c>
      <c r="I39" s="703">
        <f t="shared" si="11"/>
        <v>0</v>
      </c>
      <c r="J39" s="2083"/>
      <c r="K39" s="951"/>
      <c r="L39" s="875"/>
      <c r="M39" s="238"/>
      <c r="N39" s="238"/>
      <c r="O39" s="238"/>
      <c r="P39" s="238"/>
      <c r="Q39" s="238"/>
      <c r="R39" s="1035" t="s">
        <v>1115</v>
      </c>
      <c r="S39" s="1038">
        <f>COUNTIF($R$3:R39,R39)</f>
        <v>14</v>
      </c>
      <c r="T39" s="1038" t="str">
        <f t="shared" si="1"/>
        <v>S6998RT2</v>
      </c>
      <c r="U39" s="1037">
        <f t="shared" si="13"/>
        <v>0</v>
      </c>
      <c r="V39" s="1037">
        <f t="shared" si="13"/>
        <v>0</v>
      </c>
      <c r="W39" s="238"/>
      <c r="X39" s="1043" t="str">
        <f>$X$4</f>
        <v>압출 PCM</v>
      </c>
      <c r="Y39" s="1044">
        <f t="shared" si="4"/>
        <v>33</v>
      </c>
      <c r="Z39" s="1044" t="str">
        <f t="array" ref="Z39">IFERROR(INDEX($T$3:$T$373,MATCH(1,($X39=$R$3:$R$373)*($Y39=$S$3:$S$373),0))," ")</f>
        <v>1120*955*100(BA골)</v>
      </c>
      <c r="AA39" s="1044">
        <f t="array" ref="AA39">IFERROR(INDEX($U$3:$U$373,MATCH(1,($X39=$R$3:$R$373)*($Y39=$S$3:$S$373),0))," ")</f>
        <v>0</v>
      </c>
      <c r="AB39" s="1045">
        <f t="array" ref="AB39">IFERROR(INDEX($V$3:$V$373,MATCH(1,($X39=$R$3:$R$373)*($Y39=$S$3:$S$373),0))," ")</f>
        <v>0</v>
      </c>
      <c r="AC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353"/>
      <c r="AP39" s="353"/>
      <c r="AQ39" s="352"/>
      <c r="AR39" s="352"/>
      <c r="AS39" s="352"/>
      <c r="AT39" s="352"/>
      <c r="AU39" s="352"/>
      <c r="AV39" s="352"/>
    </row>
    <row r="40" spans="1:48" ht="17.100000000000001" customHeight="1">
      <c r="A40" s="2357"/>
      <c r="B40" s="855">
        <v>10</v>
      </c>
      <c r="C40" s="1131" t="s">
        <v>617</v>
      </c>
      <c r="D40" s="1229" t="s">
        <v>666</v>
      </c>
      <c r="E40" s="904" t="s">
        <v>647</v>
      </c>
      <c r="F40" s="2347"/>
      <c r="G40" s="1156">
        <v>0</v>
      </c>
      <c r="H40" s="703">
        <f>원자재매입내역!AL39</f>
        <v>0</v>
      </c>
      <c r="I40" s="703">
        <f t="shared" si="11"/>
        <v>0</v>
      </c>
      <c r="J40" s="2083"/>
      <c r="K40" s="951"/>
      <c r="L40" s="875"/>
      <c r="M40" s="238"/>
      <c r="N40" s="238"/>
      <c r="O40" s="238"/>
      <c r="P40" s="238"/>
      <c r="Q40" s="238"/>
      <c r="R40" s="1035" t="s">
        <v>2016</v>
      </c>
      <c r="S40" s="1038">
        <f>COUNTIF($R$3:R40,R40)</f>
        <v>1</v>
      </c>
      <c r="T40" s="1038" t="str">
        <f t="shared" si="1"/>
        <v>W60804$OS</v>
      </c>
      <c r="U40" s="1037">
        <f t="shared" si="13"/>
        <v>0</v>
      </c>
      <c r="V40" s="1037">
        <f t="shared" si="13"/>
        <v>0</v>
      </c>
      <c r="W40" s="238"/>
      <c r="X40" s="1043" t="str">
        <f>$X$4</f>
        <v>압출 PCM</v>
      </c>
      <c r="Y40" s="1044">
        <f t="shared" si="4"/>
        <v>34</v>
      </c>
      <c r="Z40" s="1044" t="str">
        <f t="array" ref="Z40">IFERROR(INDEX($T$3:$T$373,MATCH(1,($X40=$R$3:$R$373)*($Y40=$S$3:$S$373),0))," ")</f>
        <v>1105*930*285(BA골)</v>
      </c>
      <c r="AA40" s="1044">
        <f t="array" ref="AA40">IFERROR(INDEX($U$3:$U$373,MATCH(1,($X40=$R$3:$R$373)*($Y40=$S$3:$S$373),0))," ")</f>
        <v>0</v>
      </c>
      <c r="AB40" s="1045">
        <f t="array" ref="AB40">IFERROR(INDEX($V$3:$V$373,MATCH(1,($X40=$R$3:$R$373)*($Y40=$S$3:$S$373),0))," ")</f>
        <v>0</v>
      </c>
      <c r="AC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353"/>
      <c r="AP40" s="353"/>
      <c r="AQ40" s="352"/>
      <c r="AR40" s="352"/>
      <c r="AS40" s="352"/>
      <c r="AT40" s="352"/>
      <c r="AU40" s="352"/>
      <c r="AV40" s="352"/>
    </row>
    <row r="41" spans="1:48" ht="17.100000000000001" customHeight="1">
      <c r="A41" s="2357"/>
      <c r="B41" s="855">
        <v>11</v>
      </c>
      <c r="C41" s="1131" t="s">
        <v>824</v>
      </c>
      <c r="D41" s="1229" t="s">
        <v>666</v>
      </c>
      <c r="E41" s="1267" t="s">
        <v>878</v>
      </c>
      <c r="F41" s="2347"/>
      <c r="G41" s="1156">
        <v>4940</v>
      </c>
      <c r="H41" s="703">
        <f>원자재매입내역!AL40</f>
        <v>0</v>
      </c>
      <c r="I41" s="703">
        <f t="shared" si="11"/>
        <v>0</v>
      </c>
      <c r="J41" s="2083"/>
      <c r="K41" s="951"/>
      <c r="L41" s="875"/>
      <c r="M41" s="238"/>
      <c r="N41" s="238"/>
      <c r="O41" s="238"/>
      <c r="P41" s="238"/>
      <c r="Q41" s="238"/>
      <c r="R41" s="1035" t="s">
        <v>2016</v>
      </c>
      <c r="S41" s="1038">
        <f>COUNTIF($R$3:R41,R41)</f>
        <v>2</v>
      </c>
      <c r="T41" s="1038" t="str">
        <f t="shared" si="1"/>
        <v>W60906</v>
      </c>
      <c r="U41" s="1037">
        <f t="shared" si="13"/>
        <v>0</v>
      </c>
      <c r="V41" s="1037">
        <f t="shared" si="13"/>
        <v>0</v>
      </c>
      <c r="W41" s="238"/>
      <c r="X41" s="1043" t="str">
        <f t="shared" ref="X41:X119" si="14">$X$4</f>
        <v>압출 PCM</v>
      </c>
      <c r="Y41" s="1044">
        <f t="shared" si="4"/>
        <v>35</v>
      </c>
      <c r="Z41" s="1044" t="str">
        <f t="array" ref="Z41">IFERROR(INDEX($T$3:$T$373,MATCH(1,($X41=$R$3:$R$373)*($Y41=$S$3:$S$373),0))," ")</f>
        <v>1105*930*315(BA골)</v>
      </c>
      <c r="AA41" s="1044">
        <f t="array" ref="AA41">IFERROR(INDEX($U$3:$U$373,MATCH(1,($X41=$R$3:$R$373)*($Y41=$S$3:$S$373),0))," ")</f>
        <v>0</v>
      </c>
      <c r="AB41" s="1045">
        <f t="array" ref="AB41">IFERROR(INDEX($V$3:$V$373,MATCH(1,($X41=$R$3:$R$373)*($Y41=$S$3:$S$373),0))," ")</f>
        <v>0</v>
      </c>
      <c r="AC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353"/>
      <c r="AP41" s="353"/>
      <c r="AQ41" s="352"/>
      <c r="AR41" s="352"/>
      <c r="AS41" s="352"/>
      <c r="AT41" s="352"/>
      <c r="AU41" s="352"/>
      <c r="AV41" s="352"/>
    </row>
    <row r="42" spans="1:48" ht="15.75" customHeight="1">
      <c r="A42" s="2357"/>
      <c r="B42" s="855">
        <v>12</v>
      </c>
      <c r="C42" s="1131" t="s">
        <v>517</v>
      </c>
      <c r="D42" s="1229" t="s">
        <v>666</v>
      </c>
      <c r="E42" s="904" t="s">
        <v>518</v>
      </c>
      <c r="F42" s="2347"/>
      <c r="G42" s="1156">
        <v>4340</v>
      </c>
      <c r="H42" s="703">
        <f>원자재매입내역!AL41</f>
        <v>9110</v>
      </c>
      <c r="I42" s="703">
        <f t="shared" ref="I42:I64" si="15">G42*H42</f>
        <v>39537400</v>
      </c>
      <c r="J42" s="2083"/>
      <c r="K42" s="951"/>
      <c r="L42" s="875"/>
      <c r="M42" s="238"/>
      <c r="N42" s="238"/>
      <c r="O42" s="238"/>
      <c r="P42" s="238"/>
      <c r="Q42" s="238"/>
      <c r="R42" s="1035" t="s">
        <v>1115</v>
      </c>
      <c r="S42" s="1038">
        <f>COUNTIF($R$3:R42,R42)</f>
        <v>15</v>
      </c>
      <c r="T42" s="1038" t="str">
        <f t="shared" si="1"/>
        <v>W60593$W3</v>
      </c>
      <c r="U42" s="1037">
        <f t="shared" si="13"/>
        <v>9110</v>
      </c>
      <c r="V42" s="1037">
        <f t="shared" si="13"/>
        <v>39537400</v>
      </c>
      <c r="W42" s="238"/>
      <c r="X42" s="1043" t="str">
        <f t="shared" si="14"/>
        <v>압출 PCM</v>
      </c>
      <c r="Y42" s="1044">
        <f t="shared" si="4"/>
        <v>36</v>
      </c>
      <c r="Z42" s="1044" t="str">
        <f t="array" ref="Z42">IFERROR(INDEX($T$3:$T$373,MATCH(1,($X42=$R$3:$R$373)*($Y42=$S$3:$S$373),0))," ")</f>
        <v>1080*920(BA골)</v>
      </c>
      <c r="AA42" s="1044">
        <f t="array" ref="AA42">IFERROR(INDEX($U$3:$U$373,MATCH(1,($X42=$R$3:$R$373)*($Y42=$S$3:$S$373),0))," ")</f>
        <v>0</v>
      </c>
      <c r="AB42" s="1045">
        <f t="array" ref="AB42">IFERROR(INDEX($V$3:$V$373,MATCH(1,($X42=$R$3:$R$373)*($Y42=$S$3:$S$373),0))," ")</f>
        <v>0</v>
      </c>
      <c r="AC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353"/>
      <c r="AP42" s="353"/>
      <c r="AQ42" s="352"/>
      <c r="AR42" s="352"/>
      <c r="AS42" s="352"/>
      <c r="AT42" s="352"/>
      <c r="AU42" s="352"/>
      <c r="AV42" s="352"/>
    </row>
    <row r="43" spans="1:48" ht="15.75" customHeight="1">
      <c r="A43" s="2357"/>
      <c r="B43" s="855">
        <v>13</v>
      </c>
      <c r="C43" s="1131" t="s">
        <v>1266</v>
      </c>
      <c r="D43" s="1229" t="s">
        <v>666</v>
      </c>
      <c r="E43" s="904"/>
      <c r="F43" s="2347"/>
      <c r="G43" s="1156">
        <v>3870</v>
      </c>
      <c r="H43" s="703">
        <f>원자재매입내역!AL42</f>
        <v>2087</v>
      </c>
      <c r="I43" s="703">
        <f t="shared" si="15"/>
        <v>8076690</v>
      </c>
      <c r="J43" s="2083"/>
      <c r="K43" s="951"/>
      <c r="L43" s="875"/>
      <c r="M43" s="238"/>
      <c r="N43" s="238"/>
      <c r="O43" s="238"/>
      <c r="P43" s="238"/>
      <c r="Q43" s="238"/>
      <c r="R43" s="1035" t="s">
        <v>1115</v>
      </c>
      <c r="S43" s="1038">
        <f>COUNTIF($R$3:R43,R43)</f>
        <v>16</v>
      </c>
      <c r="T43" s="1038" t="str">
        <f t="shared" si="1"/>
        <v>W60054</v>
      </c>
      <c r="U43" s="1037">
        <f t="shared" si="13"/>
        <v>2087</v>
      </c>
      <c r="V43" s="1037">
        <f t="shared" si="13"/>
        <v>8076690</v>
      </c>
      <c r="W43" s="238"/>
      <c r="X43" s="1043" t="str">
        <f t="shared" si="14"/>
        <v>압출 PCM</v>
      </c>
      <c r="Y43" s="1044">
        <f t="shared" si="4"/>
        <v>37</v>
      </c>
      <c r="Z43" s="1044" t="str">
        <f t="array" ref="Z43">IFERROR(INDEX($T$3:$T$373,MATCH(1,($X43=$R$3:$R$373)*($Y43=$S$3:$S$373),0))," ")</f>
        <v>70*4.5T*285</v>
      </c>
      <c r="AA43" s="1044">
        <f t="array" ref="AA43">IFERROR(INDEX($U$3:$U$373,MATCH(1,($X43=$R$3:$R$373)*($Y43=$S$3:$S$373),0))," ")</f>
        <v>0</v>
      </c>
      <c r="AB43" s="1045">
        <f t="array" ref="AB43">IFERROR(INDEX($V$3:$V$373,MATCH(1,($X43=$R$3:$R$373)*($Y43=$S$3:$S$373),0))," ")</f>
        <v>0</v>
      </c>
      <c r="AC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353"/>
      <c r="AP43" s="353"/>
      <c r="AQ43" s="352"/>
      <c r="AR43" s="352"/>
      <c r="AS43" s="352"/>
      <c r="AT43" s="352"/>
      <c r="AU43" s="352"/>
      <c r="AV43" s="352"/>
    </row>
    <row r="44" spans="1:48" ht="15.75" customHeight="1">
      <c r="A44" s="2357"/>
      <c r="B44" s="855">
        <v>14</v>
      </c>
      <c r="C44" s="856" t="s">
        <v>1201</v>
      </c>
      <c r="D44" s="857" t="s">
        <v>666</v>
      </c>
      <c r="E44" s="904"/>
      <c r="F44" s="2347"/>
      <c r="G44" s="1156">
        <v>0</v>
      </c>
      <c r="H44" s="703">
        <f>원자재매입내역!AL43</f>
        <v>0</v>
      </c>
      <c r="I44" s="703">
        <f>G44*H44</f>
        <v>0</v>
      </c>
      <c r="J44" s="2083"/>
      <c r="K44" s="951"/>
      <c r="L44" s="875"/>
      <c r="M44" s="238"/>
      <c r="N44" s="238"/>
      <c r="O44" s="238"/>
      <c r="P44" s="238"/>
      <c r="Q44" s="238"/>
      <c r="R44" s="1035" t="s">
        <v>1115</v>
      </c>
      <c r="S44" s="1038">
        <f>COUNTIF($R$3:R44,R44)</f>
        <v>17</v>
      </c>
      <c r="T44" s="1038" t="str">
        <f t="shared" si="1"/>
        <v>W60596</v>
      </c>
      <c r="U44" s="1037">
        <f t="shared" si="13"/>
        <v>0</v>
      </c>
      <c r="V44" s="1037">
        <f t="shared" si="13"/>
        <v>0</v>
      </c>
      <c r="W44" s="238"/>
      <c r="X44" s="1043" t="str">
        <f t="shared" si="14"/>
        <v>압출 PCM</v>
      </c>
      <c r="Y44" s="1044">
        <f t="shared" si="4"/>
        <v>38</v>
      </c>
      <c r="Z44" s="1044" t="str">
        <f t="array" ref="Z44">IFERROR(INDEX($T$3:$T$373,MATCH(1,($X44=$R$3:$R$373)*($Y44=$S$3:$S$373),0))," ")</f>
        <v>2500*450*285</v>
      </c>
      <c r="AA44" s="1044">
        <f t="array" ref="AA44">IFERROR(INDEX($U$3:$U$373,MATCH(1,($X44=$R$3:$R$373)*($Y44=$S$3:$S$373),0))," ")</f>
        <v>0</v>
      </c>
      <c r="AB44" s="1045">
        <f t="array" ref="AB44">IFERROR(INDEX($V$3:$V$373,MATCH(1,($X44=$R$3:$R$373)*($Y44=$S$3:$S$373),0))," ")</f>
        <v>0</v>
      </c>
      <c r="AC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353"/>
      <c r="AP44" s="353"/>
      <c r="AQ44" s="352"/>
      <c r="AR44" s="352"/>
      <c r="AS44" s="352"/>
      <c r="AT44" s="352"/>
      <c r="AU44" s="352"/>
      <c r="AV44" s="352"/>
    </row>
    <row r="45" spans="1:48" ht="15.75" customHeight="1">
      <c r="A45" s="2357"/>
      <c r="B45" s="855">
        <v>15</v>
      </c>
      <c r="C45" s="856" t="s">
        <v>1205</v>
      </c>
      <c r="D45" s="857" t="s">
        <v>666</v>
      </c>
      <c r="E45" s="904"/>
      <c r="F45" s="2347"/>
      <c r="G45" s="1156">
        <v>0</v>
      </c>
      <c r="H45" s="703">
        <f>원자재매입내역!AL44</f>
        <v>0</v>
      </c>
      <c r="I45" s="703">
        <f t="shared" ref="I45:I49" si="16">G45*H45</f>
        <v>0</v>
      </c>
      <c r="J45" s="2083"/>
      <c r="K45" s="951"/>
      <c r="L45" s="875"/>
      <c r="M45" s="238"/>
      <c r="N45" s="238"/>
      <c r="O45" s="238"/>
      <c r="P45" s="238"/>
      <c r="Q45" s="238"/>
      <c r="R45" s="1035" t="s">
        <v>1115</v>
      </c>
      <c r="S45" s="1038">
        <f>COUNTIF($R$3:R45,R45)</f>
        <v>18</v>
      </c>
      <c r="T45" s="1038" t="str">
        <f t="shared" si="1"/>
        <v>W60713</v>
      </c>
      <c r="U45" s="1037">
        <f t="shared" si="13"/>
        <v>0</v>
      </c>
      <c r="V45" s="1037">
        <f t="shared" si="13"/>
        <v>0</v>
      </c>
      <c r="W45" s="238"/>
      <c r="X45" s="1043" t="str">
        <f t="shared" si="14"/>
        <v>압출 PCM</v>
      </c>
      <c r="Y45" s="1044">
        <f t="shared" si="4"/>
        <v>39</v>
      </c>
      <c r="Z45" s="1044" t="str">
        <f t="array" ref="Z45">IFERROR(INDEX($T$3:$T$373,MATCH(1,($X45=$R$3:$R$373)*($Y45=$S$3:$S$373),0))," ")</f>
        <v>2520*470*95</v>
      </c>
      <c r="AA45" s="1044">
        <f t="array" ref="AA45">IFERROR(INDEX($U$3:$U$373,MATCH(1,($X45=$R$3:$R$373)*($Y45=$S$3:$S$373),0))," ")</f>
        <v>0</v>
      </c>
      <c r="AB45" s="1045">
        <f t="array" ref="AB45">IFERROR(INDEX($V$3:$V$373,MATCH(1,($X45=$R$3:$R$373)*($Y45=$S$3:$S$373),0))," ")</f>
        <v>0</v>
      </c>
      <c r="AC45" s="238"/>
      <c r="AE45" s="238"/>
      <c r="AF45" s="238"/>
      <c r="AG45" s="238"/>
      <c r="AH45" s="238"/>
      <c r="AI45" s="238"/>
      <c r="AJ45" s="238"/>
      <c r="AK45" s="238"/>
      <c r="AL45" s="238"/>
      <c r="AM45" s="238"/>
      <c r="AN45" s="238"/>
      <c r="AO45" s="353"/>
      <c r="AP45" s="353"/>
      <c r="AQ45" s="352"/>
      <c r="AR45" s="352"/>
      <c r="AS45" s="352"/>
      <c r="AT45" s="352"/>
      <c r="AU45" s="352"/>
      <c r="AV45" s="352"/>
    </row>
    <row r="46" spans="1:48" ht="15.75" customHeight="1">
      <c r="A46" s="2357"/>
      <c r="B46" s="1644">
        <v>16</v>
      </c>
      <c r="C46" s="1645" t="s">
        <v>1206</v>
      </c>
      <c r="D46" s="1646" t="s">
        <v>666</v>
      </c>
      <c r="E46" s="1647"/>
      <c r="F46" s="2347"/>
      <c r="G46" s="1156">
        <v>0</v>
      </c>
      <c r="H46" s="703">
        <f>원자재매입내역!AL45</f>
        <v>0</v>
      </c>
      <c r="I46" s="703"/>
      <c r="J46" s="2086"/>
      <c r="K46" s="952"/>
      <c r="L46" s="929"/>
      <c r="M46" s="238"/>
      <c r="N46" s="238"/>
      <c r="O46" s="238"/>
      <c r="P46" s="238"/>
      <c r="Q46" s="238"/>
      <c r="R46" s="1035" t="s">
        <v>1115</v>
      </c>
      <c r="S46" s="1038">
        <f>COUNTIF($R$3:R46,R46)</f>
        <v>19</v>
      </c>
      <c r="T46" s="1038" t="str">
        <f t="shared" si="1"/>
        <v>W60055</v>
      </c>
      <c r="U46" s="1037">
        <f t="shared" si="13"/>
        <v>0</v>
      </c>
      <c r="V46" s="1037">
        <f t="shared" si="13"/>
        <v>0</v>
      </c>
      <c r="W46" s="238"/>
      <c r="X46" s="1043" t="str">
        <f t="shared" si="14"/>
        <v>압출 PCM</v>
      </c>
      <c r="Y46" s="1044">
        <f t="shared" si="4"/>
        <v>40</v>
      </c>
      <c r="Z46" s="1044" t="str">
        <f t="array" ref="Z46">IFERROR(INDEX($T$3:$T$373,MATCH(1,($X46=$R$3:$R$373)*($Y46=$S$3:$S$373),0))," ")</f>
        <v>2480*430*0</v>
      </c>
      <c r="AA46" s="1044">
        <f t="array" ref="AA46">IFERROR(INDEX($U$3:$U$373,MATCH(1,($X46=$R$3:$R$373)*($Y46=$S$3:$S$373),0))," ")</f>
        <v>0</v>
      </c>
      <c r="AB46" s="1045">
        <f t="array" ref="AB46">IFERROR(INDEX($V$3:$V$373,MATCH(1,($X46=$R$3:$R$373)*($Y46=$S$3:$S$373),0))," ")</f>
        <v>0</v>
      </c>
      <c r="AC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353"/>
      <c r="AP46" s="353"/>
      <c r="AQ46" s="352"/>
      <c r="AR46" s="352"/>
      <c r="AS46" s="352"/>
      <c r="AT46" s="352"/>
      <c r="AU46" s="352"/>
      <c r="AV46" s="352"/>
    </row>
    <row r="47" spans="1:48" ht="15.75" customHeight="1">
      <c r="A47" s="2357"/>
      <c r="B47" s="855">
        <v>17</v>
      </c>
      <c r="C47" s="856" t="str">
        <f>원자재매입내역!C46</f>
        <v>W60664$OS</v>
      </c>
      <c r="D47" s="1646" t="s">
        <v>666</v>
      </c>
      <c r="E47" s="904"/>
      <c r="F47" s="2364" t="s">
        <v>1901</v>
      </c>
      <c r="G47" s="1156">
        <v>5890</v>
      </c>
      <c r="H47" s="703">
        <f>원자재매입내역!AL46</f>
        <v>7650</v>
      </c>
      <c r="I47" s="703">
        <f>G47*H47</f>
        <v>45058500</v>
      </c>
      <c r="J47" s="2082">
        <f>SUM(I47:I50)</f>
        <v>49432100</v>
      </c>
      <c r="K47" s="950">
        <v>49571420</v>
      </c>
      <c r="L47" s="928">
        <f>J47-K47</f>
        <v>-139320</v>
      </c>
      <c r="M47" s="238"/>
      <c r="N47" s="238"/>
      <c r="O47" s="238"/>
      <c r="P47" s="238"/>
      <c r="Q47" s="238"/>
      <c r="R47" s="1035" t="s">
        <v>2016</v>
      </c>
      <c r="S47" s="1038">
        <f>COUNTIF($R$3:R47,R47)</f>
        <v>3</v>
      </c>
      <c r="T47" s="1038" t="str">
        <f t="shared" si="1"/>
        <v>W60664$OS</v>
      </c>
      <c r="U47" s="1037">
        <f t="shared" si="13"/>
        <v>7650</v>
      </c>
      <c r="V47" s="1037">
        <f t="shared" si="13"/>
        <v>45058500</v>
      </c>
      <c r="W47" s="238"/>
      <c r="X47" s="1043" t="str">
        <f t="shared" si="14"/>
        <v>압출 PCM</v>
      </c>
      <c r="Y47" s="1044">
        <f t="shared" si="4"/>
        <v>41</v>
      </c>
      <c r="Z47" s="1044" t="str">
        <f t="array" ref="Z47">IFERROR(INDEX($T$3:$T$373,MATCH(1,($X47=$R$3:$R$373)*($Y47=$S$3:$S$373),0))," ")</f>
        <v>2500*950</v>
      </c>
      <c r="AA47" s="1044">
        <f t="array" ref="AA47">IFERROR(INDEX($U$3:$U$373,MATCH(1,($X47=$R$3:$R$373)*($Y47=$S$3:$S$373),0))," ")</f>
        <v>0</v>
      </c>
      <c r="AB47" s="1045">
        <f t="array" ref="AB47">IFERROR(INDEX($V$3:$V$373,MATCH(1,($X47=$R$3:$R$373)*($Y47=$S$3:$S$373),0))," ")</f>
        <v>0</v>
      </c>
      <c r="AC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353"/>
      <c r="AP47" s="353"/>
      <c r="AQ47" s="352"/>
      <c r="AR47" s="352"/>
      <c r="AS47" s="352"/>
      <c r="AT47" s="352"/>
      <c r="AU47" s="352"/>
      <c r="AV47" s="352"/>
    </row>
    <row r="48" spans="1:48" ht="15.75" customHeight="1">
      <c r="A48" s="2357"/>
      <c r="B48" s="855">
        <v>18</v>
      </c>
      <c r="C48" s="856" t="str">
        <f>원자재매입내역!C47</f>
        <v>W6082$NA</v>
      </c>
      <c r="D48" s="1646" t="s">
        <v>666</v>
      </c>
      <c r="E48" s="904"/>
      <c r="F48" s="2364"/>
      <c r="G48" s="1156">
        <v>4970</v>
      </c>
      <c r="H48" s="703">
        <f>원자재매입내역!AL47</f>
        <v>880</v>
      </c>
      <c r="I48" s="703">
        <f t="shared" si="16"/>
        <v>4373600</v>
      </c>
      <c r="J48" s="2083"/>
      <c r="K48" s="951"/>
      <c r="L48" s="875"/>
      <c r="M48" s="238"/>
      <c r="N48" s="238"/>
      <c r="O48" s="238"/>
      <c r="P48" s="238"/>
      <c r="Q48" s="238"/>
      <c r="R48" s="1035" t="s">
        <v>2016</v>
      </c>
      <c r="S48" s="1038">
        <f>COUNTIF($R$3:R48,R48)</f>
        <v>4</v>
      </c>
      <c r="T48" s="1038" t="str">
        <f t="shared" si="1"/>
        <v>W6082$NA</v>
      </c>
      <c r="U48" s="1037">
        <f t="shared" si="13"/>
        <v>880</v>
      </c>
      <c r="V48" s="1037">
        <f t="shared" si="13"/>
        <v>4373600</v>
      </c>
      <c r="W48" s="238"/>
      <c r="X48" s="1043" t="str">
        <f t="shared" si="14"/>
        <v>압출 PCM</v>
      </c>
      <c r="Y48" s="1044">
        <f t="shared" si="4"/>
        <v>42</v>
      </c>
      <c r="Z48" s="1044" t="str">
        <f t="array" ref="Z48">IFERROR(INDEX($T$3:$T$373,MATCH(1,($X48=$R$3:$R$373)*($Y48=$S$3:$S$373),0))," ")</f>
        <v>2000*950</v>
      </c>
      <c r="AA48" s="1044">
        <f t="array" ref="AA48">IFERROR(INDEX($U$3:$U$373,MATCH(1,($X48=$R$3:$R$373)*($Y48=$S$3:$S$373),0))," ")</f>
        <v>0</v>
      </c>
      <c r="AB48" s="1045">
        <f t="array" ref="AB48">IFERROR(INDEX($V$3:$V$373,MATCH(1,($X48=$R$3:$R$373)*($Y48=$S$3:$S$373),0))," ")</f>
        <v>0</v>
      </c>
      <c r="AC48" s="238"/>
      <c r="AE48" s="238"/>
      <c r="AF48" s="238"/>
      <c r="AG48" s="238"/>
      <c r="AH48" s="238"/>
      <c r="AI48" s="238"/>
      <c r="AJ48" s="238"/>
      <c r="AK48" s="238"/>
      <c r="AL48" s="238"/>
      <c r="AM48" s="238"/>
      <c r="AN48" s="238"/>
      <c r="AO48" s="353"/>
      <c r="AP48" s="353"/>
      <c r="AQ48" s="352"/>
      <c r="AR48" s="352"/>
      <c r="AS48" s="352"/>
      <c r="AT48" s="352"/>
      <c r="AU48" s="352"/>
      <c r="AV48" s="352"/>
    </row>
    <row r="49" spans="1:48" ht="15.75" customHeight="1">
      <c r="A49" s="2357"/>
      <c r="B49" s="855">
        <v>19</v>
      </c>
      <c r="C49" s="856" t="str">
        <f>원자재매입내역!C48</f>
        <v>W60905$OS</v>
      </c>
      <c r="D49" s="1646" t="s">
        <v>666</v>
      </c>
      <c r="E49" s="904"/>
      <c r="F49" s="2364"/>
      <c r="G49" s="1156">
        <v>4940</v>
      </c>
      <c r="H49" s="703">
        <f>원자재매입내역!AL48</f>
        <v>0</v>
      </c>
      <c r="I49" s="703">
        <f t="shared" si="16"/>
        <v>0</v>
      </c>
      <c r="J49" s="2083"/>
      <c r="K49" s="951"/>
      <c r="L49" s="875"/>
      <c r="M49" s="238"/>
      <c r="N49" s="238"/>
      <c r="O49" s="238"/>
      <c r="P49" s="238"/>
      <c r="Q49" s="238"/>
      <c r="R49" s="1035" t="s">
        <v>2016</v>
      </c>
      <c r="S49" s="1038">
        <f>COUNTIF($R$3:R49,R49)</f>
        <v>5</v>
      </c>
      <c r="T49" s="1038" t="str">
        <f t="shared" si="1"/>
        <v>W60905$OS</v>
      </c>
      <c r="U49" s="1037">
        <f t="shared" si="13"/>
        <v>0</v>
      </c>
      <c r="V49" s="1037">
        <f t="shared" si="13"/>
        <v>0</v>
      </c>
      <c r="W49" s="238"/>
      <c r="X49" s="1043" t="str">
        <f t="shared" si="14"/>
        <v>압출 PCM</v>
      </c>
      <c r="Y49" s="1044">
        <f t="shared" si="4"/>
        <v>43</v>
      </c>
      <c r="Z49" s="1044" t="str">
        <f t="array" ref="Z49">IFERROR(INDEX($T$3:$T$373,MATCH(1,($X49=$R$3:$R$373)*($Y49=$S$3:$S$373),0))," ")</f>
        <v>550*270*165</v>
      </c>
      <c r="AA49" s="1044">
        <f t="array" ref="AA49">IFERROR(INDEX($U$3:$U$373,MATCH(1,($X49=$R$3:$R$373)*($Y49=$S$3:$S$373),0))," ")</f>
        <v>0</v>
      </c>
      <c r="AB49" s="1045">
        <f t="array" ref="AB49">IFERROR(INDEX($V$3:$V$373,MATCH(1,($X49=$R$3:$R$373)*($Y49=$S$3:$S$373),0))," ")</f>
        <v>0</v>
      </c>
      <c r="AC49" s="238"/>
      <c r="AE49" s="238"/>
      <c r="AF49" s="238"/>
      <c r="AG49" s="238"/>
      <c r="AH49" s="238"/>
      <c r="AI49" s="238"/>
      <c r="AJ49" s="238"/>
      <c r="AK49" s="238"/>
      <c r="AL49" s="238"/>
      <c r="AM49" s="238"/>
      <c r="AN49" s="238"/>
      <c r="AO49" s="353"/>
      <c r="AP49" s="353"/>
      <c r="AQ49" s="352"/>
      <c r="AR49" s="352"/>
      <c r="AS49" s="352"/>
      <c r="AT49" s="352"/>
      <c r="AU49" s="352"/>
      <c r="AV49" s="352"/>
    </row>
    <row r="50" spans="1:48" ht="15.75" customHeight="1" thickBot="1">
      <c r="A50" s="2357"/>
      <c r="B50" s="1657">
        <v>20</v>
      </c>
      <c r="C50" s="1128" t="str">
        <f>원자재매입내역!C49</f>
        <v>W60594FMB</v>
      </c>
      <c r="D50" s="1132" t="s">
        <v>666</v>
      </c>
      <c r="E50" s="1129"/>
      <c r="F50" s="2365"/>
      <c r="G50" s="1541">
        <v>0</v>
      </c>
      <c r="H50" s="709">
        <f>원자재매입내역!AL49</f>
        <v>0</v>
      </c>
      <c r="I50" s="709"/>
      <c r="J50" s="2084"/>
      <c r="K50" s="1321"/>
      <c r="L50" s="1436"/>
      <c r="M50" s="238"/>
      <c r="N50" s="238"/>
      <c r="O50" s="238"/>
      <c r="P50" s="238"/>
      <c r="Q50" s="238"/>
      <c r="S50" s="1038"/>
      <c r="T50" s="1038" t="str">
        <f t="shared" si="1"/>
        <v>W60594FMB</v>
      </c>
      <c r="U50" s="1037">
        <f t="shared" si="13"/>
        <v>0</v>
      </c>
      <c r="V50" s="1037">
        <f t="shared" si="13"/>
        <v>0</v>
      </c>
      <c r="W50" s="238"/>
      <c r="X50" s="1043" t="str">
        <f t="shared" si="14"/>
        <v>압출 PCM</v>
      </c>
      <c r="Y50" s="1044">
        <f t="shared" si="4"/>
        <v>44</v>
      </c>
      <c r="Z50" s="1044" t="str">
        <f t="array" ref="Z50">IFERROR(INDEX($T$3:$T$373,MATCH(1,($X50=$R$3:$R$373)*($Y50=$S$3:$S$373),0))," ")</f>
        <v>HSC-2000-B-3</v>
      </c>
      <c r="AA50" s="1044">
        <f t="array" ref="AA50">IFERROR(INDEX($U$3:$U$373,MATCH(1,($X50=$R$3:$R$373)*($Y50=$S$3:$S$373),0))," ")</f>
        <v>0</v>
      </c>
      <c r="AB50" s="1045">
        <f t="array" ref="AB50">IFERROR(INDEX($V$3:$V$373,MATCH(1,($X50=$R$3:$R$373)*($Y50=$S$3:$S$373),0))," ")</f>
        <v>0</v>
      </c>
      <c r="AC50" s="238"/>
      <c r="AE50" s="238"/>
      <c r="AF50" s="238"/>
      <c r="AG50" s="238"/>
      <c r="AH50" s="238"/>
      <c r="AI50" s="238"/>
      <c r="AJ50" s="238"/>
      <c r="AK50" s="238"/>
      <c r="AL50" s="238"/>
      <c r="AM50" s="238"/>
      <c r="AN50" s="238"/>
      <c r="AO50" s="353"/>
      <c r="AP50" s="353"/>
      <c r="AQ50" s="352"/>
      <c r="AR50" s="352"/>
      <c r="AS50" s="352"/>
      <c r="AT50" s="352"/>
      <c r="AU50" s="352"/>
      <c r="AV50" s="352"/>
    </row>
    <row r="51" spans="1:48" ht="15.75" customHeight="1">
      <c r="A51" s="2302"/>
      <c r="B51" s="1130" t="s">
        <v>1579</v>
      </c>
      <c r="C51" s="823" t="s">
        <v>966</v>
      </c>
      <c r="D51" s="533" t="s">
        <v>666</v>
      </c>
      <c r="E51" s="906" t="s">
        <v>1078</v>
      </c>
      <c r="F51" s="2341" t="s">
        <v>1040</v>
      </c>
      <c r="G51" s="1105">
        <v>3620</v>
      </c>
      <c r="H51" s="708">
        <f>원자재매입내역!AL51</f>
        <v>259</v>
      </c>
      <c r="I51" s="978">
        <f t="shared" si="15"/>
        <v>937580</v>
      </c>
      <c r="J51" s="2118">
        <f>SUM(I51:I64)</f>
        <v>152482120</v>
      </c>
      <c r="K51" s="954">
        <v>160335090</v>
      </c>
      <c r="L51" s="869">
        <f>J51-K51</f>
        <v>-7852970</v>
      </c>
      <c r="M51" s="238"/>
      <c r="N51" s="238"/>
      <c r="O51" s="238"/>
      <c r="P51" s="238"/>
      <c r="Q51" s="238"/>
      <c r="R51" s="1035" t="s">
        <v>1115</v>
      </c>
      <c r="S51" s="1038">
        <f>COUNTIF($R$3:R51,R51)</f>
        <v>20</v>
      </c>
      <c r="T51" s="1038" t="str">
        <f t="shared" si="1"/>
        <v>W60433</v>
      </c>
      <c r="U51" s="1037">
        <f t="shared" si="13"/>
        <v>259</v>
      </c>
      <c r="V51" s="1037">
        <f t="shared" si="13"/>
        <v>937580</v>
      </c>
      <c r="W51" s="238"/>
      <c r="X51" s="1043" t="str">
        <f t="shared" si="14"/>
        <v>압출 PCM</v>
      </c>
      <c r="Y51" s="1044">
        <f t="shared" si="4"/>
        <v>45</v>
      </c>
      <c r="Z51" s="1044" t="str">
        <f t="array" ref="Z51">IFERROR(INDEX($T$3:$T$373,MATCH(1,($X51=$R$3:$R$373)*($Y51=$S$3:$S$373),0))," ")</f>
        <v>HSP-500-2</v>
      </c>
      <c r="AA51" s="1044">
        <f t="array" ref="AA51">IFERROR(INDEX($U$3:$U$373,MATCH(1,($X51=$R$3:$R$373)*($Y51=$S$3:$S$373),0))," ")</f>
        <v>0</v>
      </c>
      <c r="AB51" s="1045">
        <f t="array" ref="AB51">IFERROR(INDEX($V$3:$V$373,MATCH(1,($X51=$R$3:$R$373)*($Y51=$S$3:$S$373),0))," ")</f>
        <v>0</v>
      </c>
      <c r="AC51" s="238"/>
      <c r="AE51" s="238"/>
      <c r="AF51" s="238"/>
      <c r="AG51" s="238"/>
      <c r="AH51" s="238"/>
      <c r="AI51" s="238"/>
      <c r="AJ51" s="238"/>
      <c r="AK51" s="238"/>
      <c r="AL51" s="238"/>
      <c r="AM51" s="238"/>
      <c r="AN51" s="238"/>
      <c r="AO51" s="353"/>
      <c r="AP51" s="353"/>
      <c r="AQ51" s="352"/>
      <c r="AR51" s="352"/>
      <c r="AS51" s="352"/>
      <c r="AT51" s="352"/>
      <c r="AU51" s="352"/>
      <c r="AV51" s="352"/>
    </row>
    <row r="52" spans="1:48" ht="15.75" customHeight="1">
      <c r="A52" s="2302"/>
      <c r="B52" s="753" t="s">
        <v>863</v>
      </c>
      <c r="C52" s="824" t="s">
        <v>1186</v>
      </c>
      <c r="D52" s="264" t="s">
        <v>666</v>
      </c>
      <c r="E52" s="905"/>
      <c r="F52" s="2341"/>
      <c r="G52" s="703">
        <v>3680</v>
      </c>
      <c r="H52" s="703">
        <f>원자재매입내역!AL52</f>
        <v>499</v>
      </c>
      <c r="I52" s="975">
        <f t="shared" si="15"/>
        <v>1836320</v>
      </c>
      <c r="J52" s="2118"/>
      <c r="K52" s="954"/>
      <c r="L52" s="869"/>
      <c r="M52" s="238"/>
      <c r="N52" s="238"/>
      <c r="O52" s="238"/>
      <c r="P52" s="238"/>
      <c r="Q52" s="238"/>
      <c r="R52" s="1035" t="s">
        <v>1115</v>
      </c>
      <c r="S52" s="1038">
        <f>COUNTIF($R$3:R52,R52)</f>
        <v>21</v>
      </c>
      <c r="T52" s="1038" t="str">
        <f t="shared" si="1"/>
        <v>W60433$GT</v>
      </c>
      <c r="U52" s="1037">
        <f t="shared" si="13"/>
        <v>499</v>
      </c>
      <c r="V52" s="1037">
        <f t="shared" si="13"/>
        <v>1836320</v>
      </c>
      <c r="W52" s="238"/>
      <c r="X52" s="1043" t="str">
        <f t="shared" si="14"/>
        <v>압출 PCM</v>
      </c>
      <c r="Y52" s="1044">
        <f t="shared" si="4"/>
        <v>46</v>
      </c>
      <c r="Z52" s="1044" t="str">
        <f t="array" ref="Z52">IFERROR(INDEX($T$3:$T$373,MATCH(1,($X52=$R$3:$R$373)*($Y52=$S$3:$S$373),0))," ")</f>
        <v>PR - 520</v>
      </c>
      <c r="AA52" s="1044">
        <f t="array" ref="AA52">IFERROR(INDEX($U$3:$U$373,MATCH(1,($X52=$R$3:$R$373)*($Y52=$S$3:$S$373),0))," ")</f>
        <v>0</v>
      </c>
      <c r="AB52" s="1045">
        <f t="array" ref="AB52">IFERROR(INDEX($V$3:$V$373,MATCH(1,($X52=$R$3:$R$373)*($Y52=$S$3:$S$373),0))," ")</f>
        <v>0</v>
      </c>
      <c r="AC52" s="238"/>
      <c r="AE52" s="238"/>
      <c r="AF52" s="238"/>
      <c r="AG52" s="238"/>
      <c r="AH52" s="238"/>
      <c r="AI52" s="238"/>
      <c r="AJ52" s="238"/>
      <c r="AK52" s="238"/>
      <c r="AL52" s="238"/>
      <c r="AM52" s="238"/>
      <c r="AN52" s="238"/>
      <c r="AO52" s="353"/>
      <c r="AP52" s="353"/>
      <c r="AQ52" s="352"/>
      <c r="AR52" s="352"/>
      <c r="AS52" s="352"/>
      <c r="AT52" s="352"/>
      <c r="AU52" s="352"/>
      <c r="AV52" s="352"/>
    </row>
    <row r="53" spans="1:48" ht="17.100000000000001" customHeight="1">
      <c r="A53" s="2302"/>
      <c r="B53" s="753" t="s">
        <v>1580</v>
      </c>
      <c r="C53" s="749" t="s">
        <v>925</v>
      </c>
      <c r="D53" s="264" t="s">
        <v>666</v>
      </c>
      <c r="E53" s="615" t="s">
        <v>1079</v>
      </c>
      <c r="F53" s="2341"/>
      <c r="G53" s="703">
        <v>3400</v>
      </c>
      <c r="H53" s="703">
        <f>원자재매입내역!AL53</f>
        <v>15665</v>
      </c>
      <c r="I53" s="975">
        <f t="shared" si="15"/>
        <v>53261000</v>
      </c>
      <c r="J53" s="2118"/>
      <c r="K53" s="954"/>
      <c r="L53" s="869"/>
      <c r="M53" s="238"/>
      <c r="N53" s="238"/>
      <c r="O53" s="238"/>
      <c r="P53" s="238"/>
      <c r="Q53" s="238"/>
      <c r="R53" s="1035" t="s">
        <v>1115</v>
      </c>
      <c r="S53" s="1038">
        <f>COUNTIF($R$3:R53,R53)</f>
        <v>22</v>
      </c>
      <c r="T53" s="1038" t="str">
        <f t="shared" si="1"/>
        <v>W60513M</v>
      </c>
      <c r="U53" s="1037">
        <f t="shared" si="13"/>
        <v>15665</v>
      </c>
      <c r="V53" s="1037">
        <f t="shared" si="13"/>
        <v>53261000</v>
      </c>
      <c r="W53" s="238"/>
      <c r="X53" s="1043" t="str">
        <f t="shared" si="14"/>
        <v>압출 PCM</v>
      </c>
      <c r="Y53" s="1044">
        <f t="shared" si="4"/>
        <v>47</v>
      </c>
      <c r="Z53" s="1044" t="str">
        <f t="array" ref="Z53">IFERROR(INDEX($T$3:$T$373,MATCH(1,($X53=$R$3:$R$373)*($Y53=$S$3:$S$373),0))," ")</f>
        <v>HSH-9604</v>
      </c>
      <c r="AA53" s="1044">
        <f t="array" ref="AA53">IFERROR(INDEX($U$3:$U$373,MATCH(1,($X53=$R$3:$R$373)*($Y53=$S$3:$S$373),0))," ")</f>
        <v>0</v>
      </c>
      <c r="AB53" s="1045">
        <f t="array" ref="AB53">IFERROR(INDEX($V$3:$V$373,MATCH(1,($X53=$R$3:$R$373)*($Y53=$S$3:$S$373),0))," ")</f>
        <v>0</v>
      </c>
      <c r="AC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353"/>
      <c r="AP53" s="353"/>
      <c r="AQ53" s="352"/>
      <c r="AR53" s="352"/>
      <c r="AS53" s="352"/>
      <c r="AT53" s="352"/>
      <c r="AU53" s="352"/>
      <c r="AV53" s="352"/>
    </row>
    <row r="54" spans="1:48" ht="17.100000000000001" customHeight="1">
      <c r="A54" s="2302"/>
      <c r="B54" s="753" t="s">
        <v>779</v>
      </c>
      <c r="C54" s="824" t="s">
        <v>1189</v>
      </c>
      <c r="D54" s="264" t="s">
        <v>666</v>
      </c>
      <c r="E54" s="905"/>
      <c r="F54" s="2341"/>
      <c r="G54" s="703">
        <v>2760</v>
      </c>
      <c r="H54" s="703">
        <f>원자재매입내역!AL54</f>
        <v>0</v>
      </c>
      <c r="I54" s="975">
        <f t="shared" si="15"/>
        <v>0</v>
      </c>
      <c r="J54" s="2118"/>
      <c r="K54" s="954"/>
      <c r="L54" s="869"/>
      <c r="M54" s="238"/>
      <c r="N54" s="238"/>
      <c r="O54" s="238"/>
      <c r="P54" s="238"/>
      <c r="Q54" s="238"/>
      <c r="R54" s="1035" t="s">
        <v>1115</v>
      </c>
      <c r="S54" s="1038">
        <f>COUNTIF($R$3:R54,R54)</f>
        <v>23</v>
      </c>
      <c r="T54" s="1038" t="str">
        <f t="shared" si="1"/>
        <v>W60514</v>
      </c>
      <c r="U54" s="1037">
        <f t="shared" si="13"/>
        <v>0</v>
      </c>
      <c r="V54" s="1037">
        <f t="shared" si="13"/>
        <v>0</v>
      </c>
      <c r="W54" s="238"/>
      <c r="X54" s="1043" t="str">
        <f t="shared" si="14"/>
        <v>압출 PCM</v>
      </c>
      <c r="Y54" s="1044">
        <f t="shared" si="4"/>
        <v>48</v>
      </c>
      <c r="Z54" s="1044" t="str">
        <f t="array" ref="Z54">IFERROR(INDEX($T$3:$T$373,MATCH(1,($X54=$R$3:$R$373)*($Y54=$S$3:$S$373),0))," ")</f>
        <v>2015*465*95</v>
      </c>
      <c r="AA54" s="1044">
        <f t="array" ref="AA54">IFERROR(INDEX($U$3:$U$373,MATCH(1,($X54=$R$3:$R$373)*($Y54=$S$3:$S$373),0))," ")</f>
        <v>0</v>
      </c>
      <c r="AB54" s="1045">
        <f t="array" ref="AB54">IFERROR(INDEX($V$3:$V$373,MATCH(1,($X54=$R$3:$R$373)*($Y54=$S$3:$S$373),0))," ")</f>
        <v>0</v>
      </c>
      <c r="AC54" s="238"/>
      <c r="AE54" s="238"/>
      <c r="AF54" s="238"/>
      <c r="AG54" s="238"/>
      <c r="AH54" s="238"/>
      <c r="AI54" s="238"/>
      <c r="AJ54" s="238"/>
      <c r="AK54" s="238"/>
      <c r="AL54" s="238"/>
      <c r="AM54" s="238"/>
      <c r="AN54" s="238"/>
      <c r="AO54" s="353"/>
      <c r="AP54" s="353"/>
      <c r="AQ54" s="352"/>
      <c r="AR54" s="352"/>
      <c r="AS54" s="352"/>
      <c r="AT54" s="352"/>
      <c r="AU54" s="352"/>
      <c r="AV54" s="352"/>
    </row>
    <row r="55" spans="1:48" ht="17.100000000000001" customHeight="1">
      <c r="A55" s="2302"/>
      <c r="B55" s="753" t="s">
        <v>1581</v>
      </c>
      <c r="C55" s="824" t="s">
        <v>1184</v>
      </c>
      <c r="D55" s="264" t="s">
        <v>666</v>
      </c>
      <c r="E55" s="905"/>
      <c r="F55" s="2341"/>
      <c r="G55" s="703">
        <v>3350</v>
      </c>
      <c r="H55" s="703">
        <f>원자재매입내역!AL55</f>
        <v>1018</v>
      </c>
      <c r="I55" s="975">
        <f t="shared" si="15"/>
        <v>3410300</v>
      </c>
      <c r="J55" s="2118"/>
      <c r="K55" s="954"/>
      <c r="L55" s="869"/>
      <c r="M55" s="238"/>
      <c r="N55" s="238"/>
      <c r="O55" s="238"/>
      <c r="P55" s="238"/>
      <c r="Q55" s="238"/>
      <c r="R55" s="1035" t="s">
        <v>1115</v>
      </c>
      <c r="S55" s="1038">
        <f>COUNTIF($R$3:R55,R55)</f>
        <v>24</v>
      </c>
      <c r="T55" s="1038" t="str">
        <f t="shared" si="1"/>
        <v>W60515</v>
      </c>
      <c r="U55" s="1037">
        <f t="shared" si="13"/>
        <v>1018</v>
      </c>
      <c r="V55" s="1037">
        <f t="shared" si="13"/>
        <v>3410300</v>
      </c>
      <c r="W55" s="238"/>
      <c r="X55" s="1043" t="str">
        <f t="shared" si="14"/>
        <v>압출 PCM</v>
      </c>
      <c r="Y55" s="1044">
        <f t="shared" si="4"/>
        <v>49</v>
      </c>
      <c r="Z55" s="1044" t="str">
        <f t="array" ref="Z55">IFERROR(INDEX($T$3:$T$373,MATCH(1,($X55=$R$3:$R$373)*($Y55=$S$3:$S$373),0))," ")</f>
        <v>1997*450*285</v>
      </c>
      <c r="AA55" s="1044">
        <f t="array" ref="AA55">IFERROR(INDEX($U$3:$U$373,MATCH(1,($X55=$R$3:$R$373)*($Y55=$S$3:$S$373),0))," ")</f>
        <v>0</v>
      </c>
      <c r="AB55" s="1045">
        <f t="array" ref="AB55">IFERROR(INDEX($V$3:$V$373,MATCH(1,($X55=$R$3:$R$373)*($Y55=$S$3:$S$373),0))," ")</f>
        <v>0</v>
      </c>
      <c r="AC55" s="238"/>
      <c r="AE55" s="238"/>
      <c r="AF55" s="238"/>
      <c r="AG55" s="238"/>
      <c r="AH55" s="238"/>
      <c r="AI55" s="238"/>
      <c r="AJ55" s="238"/>
      <c r="AK55" s="238"/>
      <c r="AL55" s="238"/>
      <c r="AM55" s="238"/>
      <c r="AN55" s="238"/>
      <c r="AO55" s="353"/>
      <c r="AP55" s="353"/>
      <c r="AQ55" s="352"/>
      <c r="AR55" s="352"/>
      <c r="AS55" s="352"/>
      <c r="AT55" s="352"/>
      <c r="AU55" s="352"/>
      <c r="AV55" s="352"/>
    </row>
    <row r="56" spans="1:48" ht="17.100000000000001" customHeight="1">
      <c r="A56" s="2302"/>
      <c r="B56" s="794" t="s">
        <v>807</v>
      </c>
      <c r="C56" s="824" t="s">
        <v>805</v>
      </c>
      <c r="D56" s="264" t="s">
        <v>666</v>
      </c>
      <c r="E56" s="905" t="s">
        <v>1080</v>
      </c>
      <c r="F56" s="2341"/>
      <c r="G56" s="703">
        <v>3520</v>
      </c>
      <c r="H56" s="703">
        <f>원자재매입내역!AL56</f>
        <v>3828</v>
      </c>
      <c r="I56" s="975">
        <f t="shared" si="15"/>
        <v>13474560</v>
      </c>
      <c r="J56" s="2118"/>
      <c r="K56" s="954"/>
      <c r="L56" s="869"/>
      <c r="M56" s="238"/>
      <c r="N56" s="238"/>
      <c r="O56" s="238"/>
      <c r="P56" s="238"/>
      <c r="Q56" s="238"/>
      <c r="R56" s="1035" t="s">
        <v>1115</v>
      </c>
      <c r="S56" s="1038">
        <f>COUNTIF($R$3:R56,R56)</f>
        <v>25</v>
      </c>
      <c r="T56" s="1038" t="str">
        <f t="shared" si="1"/>
        <v>W6085YU</v>
      </c>
      <c r="U56" s="1037">
        <f t="shared" si="13"/>
        <v>3828</v>
      </c>
      <c r="V56" s="1037">
        <f t="shared" si="13"/>
        <v>13474560</v>
      </c>
      <c r="W56" s="238"/>
      <c r="X56" s="1043" t="str">
        <f t="shared" si="14"/>
        <v>압출 PCM</v>
      </c>
      <c r="Y56" s="1044">
        <f t="shared" si="4"/>
        <v>50</v>
      </c>
      <c r="Z56" s="1044" t="str">
        <f t="array" ref="Z56">IFERROR(INDEX($T$3:$T$373,MATCH(1,($X56=$R$3:$R$373)*($Y56=$S$3:$S$373),0))," ")</f>
        <v>1977*430</v>
      </c>
      <c r="AA56" s="1044">
        <f t="array" ref="AA56">IFERROR(INDEX($U$3:$U$373,MATCH(1,($X56=$R$3:$R$373)*($Y56=$S$3:$S$373),0))," ")</f>
        <v>0</v>
      </c>
      <c r="AB56" s="1045">
        <f t="array" ref="AB56">IFERROR(INDEX($V$3:$V$373,MATCH(1,($X56=$R$3:$R$373)*($Y56=$S$3:$S$373),0))," ")</f>
        <v>0</v>
      </c>
      <c r="AC56" s="238"/>
      <c r="AE56" s="238"/>
      <c r="AF56" s="238"/>
      <c r="AG56" s="238"/>
      <c r="AH56" s="238"/>
      <c r="AI56" s="238"/>
      <c r="AJ56" s="238"/>
      <c r="AK56" s="238"/>
      <c r="AL56" s="238"/>
      <c r="AM56" s="238"/>
      <c r="AN56" s="238"/>
      <c r="AO56" s="353"/>
      <c r="AP56" s="353"/>
      <c r="AQ56" s="352"/>
      <c r="AR56" s="352"/>
      <c r="AS56" s="352"/>
      <c r="AT56" s="352"/>
      <c r="AU56" s="352"/>
      <c r="AV56" s="352"/>
    </row>
    <row r="57" spans="1:48" ht="17.100000000000001" customHeight="1">
      <c r="A57" s="2302"/>
      <c r="B57" s="822" t="s">
        <v>781</v>
      </c>
      <c r="C57" s="823" t="s">
        <v>1065</v>
      </c>
      <c r="D57" s="533" t="s">
        <v>666</v>
      </c>
      <c r="E57" s="906" t="s">
        <v>1086</v>
      </c>
      <c r="F57" s="2341"/>
      <c r="G57" s="1105">
        <v>4390</v>
      </c>
      <c r="H57" s="708">
        <f>원자재매입내역!AL57</f>
        <v>0</v>
      </c>
      <c r="I57" s="981">
        <f t="shared" si="15"/>
        <v>0</v>
      </c>
      <c r="J57" s="2118"/>
      <c r="K57" s="954"/>
      <c r="L57" s="869"/>
      <c r="M57" s="238"/>
      <c r="N57" s="238"/>
      <c r="O57" s="238"/>
      <c r="P57" s="238"/>
      <c r="Q57" s="238"/>
      <c r="R57" s="1035" t="s">
        <v>2016</v>
      </c>
      <c r="S57" s="1038">
        <f>COUNTIF($R$3:R57,R57)</f>
        <v>6</v>
      </c>
      <c r="T57" s="1038" t="str">
        <f t="shared" si="1"/>
        <v>W60804$OS</v>
      </c>
      <c r="U57" s="1037">
        <f t="shared" ref="U57:V76" si="17">H57</f>
        <v>0</v>
      </c>
      <c r="V57" s="1037">
        <f t="shared" si="17"/>
        <v>0</v>
      </c>
      <c r="W57" s="238"/>
      <c r="X57" s="1043" t="str">
        <f t="shared" si="14"/>
        <v>압출 PCM</v>
      </c>
      <c r="Y57" s="1044">
        <f t="shared" si="4"/>
        <v>51</v>
      </c>
      <c r="Z57" s="1044" t="str">
        <f t="array" ref="Z57">IFERROR(INDEX($T$3:$T$373,MATCH(1,($X57=$R$3:$R$373)*($Y57=$S$3:$S$373),0))," ")</f>
        <v>W60905$OS</v>
      </c>
      <c r="AA57" s="1044">
        <f t="array" ref="AA57">IFERROR(INDEX($U$3:$U$373,MATCH(1,($X57=$R$3:$R$373)*($Y57=$S$3:$S$373),0))," ")</f>
        <v>1744.8000000000002</v>
      </c>
      <c r="AB57" s="1045">
        <f t="array" ref="AB57">IFERROR(INDEX($V$3:$V$373,MATCH(1,($X57=$R$3:$R$373)*($Y57=$S$3:$S$373),0))," ")</f>
        <v>8619312</v>
      </c>
      <c r="AC57" s="238"/>
      <c r="AE57" s="238"/>
      <c r="AF57" s="238"/>
      <c r="AG57" s="238"/>
      <c r="AH57" s="238"/>
      <c r="AI57" s="238"/>
      <c r="AJ57" s="238"/>
      <c r="AK57" s="238"/>
      <c r="AL57" s="238"/>
      <c r="AM57" s="238"/>
      <c r="AN57" s="238"/>
      <c r="AO57" s="353"/>
      <c r="AP57" s="353"/>
      <c r="AQ57" s="352"/>
      <c r="AR57" s="352"/>
      <c r="AS57" s="352"/>
      <c r="AT57" s="352"/>
      <c r="AU57" s="352"/>
      <c r="AV57" s="352"/>
    </row>
    <row r="58" spans="1:48" ht="17.100000000000001" customHeight="1">
      <c r="A58" s="2302"/>
      <c r="B58" s="794" t="s">
        <v>1583</v>
      </c>
      <c r="C58" s="824" t="s">
        <v>825</v>
      </c>
      <c r="D58" s="264" t="s">
        <v>666</v>
      </c>
      <c r="E58" s="1268" t="s">
        <v>878</v>
      </c>
      <c r="F58" s="2341"/>
      <c r="G58" s="1104">
        <v>4940</v>
      </c>
      <c r="H58" s="703">
        <f>원자재매입내역!AL58</f>
        <v>0</v>
      </c>
      <c r="I58" s="975">
        <f t="shared" si="15"/>
        <v>0</v>
      </c>
      <c r="J58" s="2118"/>
      <c r="K58" s="954"/>
      <c r="L58" s="869"/>
      <c r="M58" s="238"/>
      <c r="N58" s="238"/>
      <c r="O58" s="238"/>
      <c r="P58" s="238"/>
      <c r="Q58" s="238"/>
      <c r="R58" s="1035" t="s">
        <v>2016</v>
      </c>
      <c r="S58" s="1038">
        <f>COUNTIF($R$3:R58,R58)</f>
        <v>7</v>
      </c>
      <c r="T58" s="1038" t="str">
        <f t="shared" si="1"/>
        <v>W60906</v>
      </c>
      <c r="U58" s="1037">
        <f t="shared" si="17"/>
        <v>0</v>
      </c>
      <c r="V58" s="1037">
        <f t="shared" si="17"/>
        <v>0</v>
      </c>
      <c r="W58" s="238"/>
      <c r="X58" s="1043" t="str">
        <f t="shared" si="14"/>
        <v>압출 PCM</v>
      </c>
      <c r="Y58" s="1044">
        <f t="shared" si="4"/>
        <v>52</v>
      </c>
      <c r="Z58" s="1044" t="str">
        <f t="array" ref="Z58">IFERROR(INDEX($T$3:$T$373,MATCH(1,($X58=$R$3:$R$373)*($Y58=$S$3:$S$373),0))," ")</f>
        <v>HSX-9600-1(경화제)</v>
      </c>
      <c r="AA58" s="1044">
        <f t="array" ref="AA58">IFERROR(INDEX($U$3:$U$373,MATCH(1,($X58=$R$3:$R$373)*($Y58=$S$3:$S$373),0))," ")</f>
        <v>0</v>
      </c>
      <c r="AB58" s="1045">
        <f t="array" ref="AB58">IFERROR(INDEX($V$3:$V$373,MATCH(1,($X58=$R$3:$R$373)*($Y58=$S$3:$S$373),0))," ")</f>
        <v>0</v>
      </c>
      <c r="AC58" s="238"/>
      <c r="AE58" s="238"/>
      <c r="AF58" s="238"/>
      <c r="AG58" s="238"/>
      <c r="AH58" s="238"/>
      <c r="AI58" s="238"/>
      <c r="AJ58" s="238"/>
      <c r="AK58" s="238"/>
      <c r="AL58" s="238"/>
      <c r="AM58" s="238"/>
      <c r="AN58" s="238"/>
      <c r="AO58" s="353"/>
      <c r="AP58" s="353"/>
      <c r="AQ58" s="352"/>
      <c r="AR58" s="352"/>
      <c r="AS58" s="352"/>
      <c r="AT58" s="352"/>
      <c r="AU58" s="352"/>
      <c r="AV58" s="352"/>
    </row>
    <row r="59" spans="1:48" ht="17.100000000000001" customHeight="1">
      <c r="A59" s="2302"/>
      <c r="B59" s="794"/>
      <c r="C59" s="824" t="s">
        <v>835</v>
      </c>
      <c r="D59" s="264" t="s">
        <v>666</v>
      </c>
      <c r="E59" s="905" t="s">
        <v>1087</v>
      </c>
      <c r="F59" s="2341"/>
      <c r="G59" s="1104">
        <v>3550</v>
      </c>
      <c r="H59" s="703">
        <f>원자재매입내역!AL59</f>
        <v>0</v>
      </c>
      <c r="I59" s="975">
        <f t="shared" si="15"/>
        <v>0</v>
      </c>
      <c r="J59" s="2118"/>
      <c r="K59" s="954"/>
      <c r="L59" s="869"/>
      <c r="M59" s="238"/>
      <c r="N59" s="238"/>
      <c r="O59" s="238"/>
      <c r="P59" s="238"/>
      <c r="Q59" s="238"/>
      <c r="R59" s="1035" t="s">
        <v>1115</v>
      </c>
      <c r="S59" s="1038">
        <f>COUNTIF($R$3:R59,R59)</f>
        <v>26</v>
      </c>
      <c r="T59" s="1038" t="str">
        <f t="shared" si="1"/>
        <v>W60351</v>
      </c>
      <c r="U59" s="1037">
        <f t="shared" si="17"/>
        <v>0</v>
      </c>
      <c r="V59" s="1037">
        <f t="shared" si="17"/>
        <v>0</v>
      </c>
      <c r="W59" s="238"/>
      <c r="X59" s="1043" t="str">
        <f t="shared" si="14"/>
        <v>압출 PCM</v>
      </c>
      <c r="Y59" s="1044">
        <f t="shared" si="4"/>
        <v>53</v>
      </c>
      <c r="Z59" s="1044" t="str">
        <f t="array" ref="Z59">IFERROR(INDEX($T$3:$T$373,MATCH(1,($X59=$R$3:$R$373)*($Y59=$S$3:$S$373),0))," ")</f>
        <v>HSY-6800-1</v>
      </c>
      <c r="AA59" s="1044">
        <f t="array" ref="AA59">IFERROR(INDEX($U$3:$U$373,MATCH(1,($X59=$R$3:$R$373)*($Y59=$S$3:$S$373),0))," ")</f>
        <v>1.2</v>
      </c>
      <c r="AB59" s="1045">
        <f t="array" ref="AB59">IFERROR(INDEX($V$3:$V$373,MATCH(1,($X59=$R$3:$R$373)*($Y59=$S$3:$S$373),0))," ")</f>
        <v>52696.44</v>
      </c>
      <c r="AC59" s="238"/>
      <c r="AE59" s="238"/>
      <c r="AF59" s="238"/>
      <c r="AG59" s="238"/>
      <c r="AH59" s="238"/>
      <c r="AI59" s="238"/>
      <c r="AJ59" s="238"/>
      <c r="AK59" s="238"/>
      <c r="AL59" s="238"/>
      <c r="AM59" s="238"/>
      <c r="AN59" s="238"/>
      <c r="AO59" s="353"/>
      <c r="AP59" s="353"/>
      <c r="AQ59" s="352"/>
      <c r="AR59" s="352"/>
      <c r="AS59" s="352"/>
      <c r="AT59" s="352"/>
      <c r="AU59" s="352"/>
      <c r="AV59" s="352"/>
    </row>
    <row r="60" spans="1:48" ht="17.100000000000001" customHeight="1">
      <c r="A60" s="2302"/>
      <c r="B60" s="794"/>
      <c r="C60" s="824" t="s">
        <v>836</v>
      </c>
      <c r="D60" s="264" t="s">
        <v>666</v>
      </c>
      <c r="E60" s="905" t="s">
        <v>845</v>
      </c>
      <c r="F60" s="2341"/>
      <c r="G60" s="1104">
        <v>5440</v>
      </c>
      <c r="H60" s="703">
        <f>원자재매입내역!AL60</f>
        <v>0</v>
      </c>
      <c r="I60" s="975">
        <f t="shared" si="15"/>
        <v>0</v>
      </c>
      <c r="J60" s="2118"/>
      <c r="K60" s="954"/>
      <c r="L60" s="869"/>
      <c r="M60" s="238"/>
      <c r="N60" s="238"/>
      <c r="O60" s="238"/>
      <c r="P60" s="238"/>
      <c r="Q60" s="238"/>
      <c r="R60" s="1035" t="s">
        <v>1115</v>
      </c>
      <c r="S60" s="1038">
        <f>COUNTIF($R$3:R60,R60)</f>
        <v>27</v>
      </c>
      <c r="T60" s="1038" t="str">
        <f t="shared" si="1"/>
        <v>W60664</v>
      </c>
      <c r="U60" s="1037">
        <f t="shared" si="17"/>
        <v>0</v>
      </c>
      <c r="V60" s="1037">
        <f t="shared" si="17"/>
        <v>0</v>
      </c>
      <c r="W60" s="238"/>
      <c r="X60" s="1043" t="str">
        <f t="shared" si="14"/>
        <v>압출 PCM</v>
      </c>
      <c r="Y60" s="1044">
        <f t="shared" si="4"/>
        <v>54</v>
      </c>
      <c r="Z60" s="1044" t="str">
        <f t="array" ref="Z60">IFERROR(INDEX($T$3:$T$373,MATCH(1,($X60=$R$3:$R$373)*($Y60=$S$3:$S$373),0))," ")</f>
        <v>PR-405(희석제)</v>
      </c>
      <c r="AA60" s="1044">
        <f t="array" ref="AA60">IFERROR(INDEX($U$3:$U$373,MATCH(1,($X60=$R$3:$R$373)*($Y60=$S$3:$S$373),0))," ")</f>
        <v>4.8</v>
      </c>
      <c r="AB60" s="1045">
        <f t="array" ref="AB60">IFERROR(INDEX($V$3:$V$373,MATCH(1,($X60=$R$3:$R$373)*($Y60=$S$3:$S$373),0))," ")</f>
        <v>153576</v>
      </c>
      <c r="AC60" s="238"/>
      <c r="AE60" s="238"/>
      <c r="AF60" s="238"/>
      <c r="AG60" s="238"/>
      <c r="AH60" s="238"/>
      <c r="AI60" s="238"/>
      <c r="AJ60" s="238"/>
      <c r="AK60" s="238"/>
      <c r="AL60" s="238"/>
      <c r="AM60" s="238"/>
      <c r="AN60" s="238"/>
      <c r="AO60" s="353"/>
      <c r="AP60" s="353"/>
      <c r="AQ60" s="352"/>
      <c r="AR60" s="352"/>
      <c r="AS60" s="352"/>
      <c r="AT60" s="352"/>
      <c r="AU60" s="352"/>
      <c r="AV60" s="352"/>
    </row>
    <row r="61" spans="1:48" ht="17.100000000000001" customHeight="1">
      <c r="A61" s="2302"/>
      <c r="B61" s="794"/>
      <c r="C61" s="824" t="s">
        <v>844</v>
      </c>
      <c r="D61" s="264" t="s">
        <v>666</v>
      </c>
      <c r="E61" s="905" t="s">
        <v>858</v>
      </c>
      <c r="F61" s="2341"/>
      <c r="G61" s="1104">
        <v>4190</v>
      </c>
      <c r="H61" s="703">
        <f>원자재매입내역!AL61</f>
        <v>0</v>
      </c>
      <c r="I61" s="975">
        <f t="shared" si="15"/>
        <v>0</v>
      </c>
      <c r="J61" s="2118"/>
      <c r="K61" s="954"/>
      <c r="L61" s="869"/>
      <c r="M61" s="238"/>
      <c r="N61" s="238"/>
      <c r="O61" s="238"/>
      <c r="P61" s="238"/>
      <c r="Q61" s="238"/>
      <c r="R61" s="1035" t="s">
        <v>1115</v>
      </c>
      <c r="S61" s="1038">
        <f>COUNTIF($R$3:R61,R61)</f>
        <v>28</v>
      </c>
      <c r="T61" s="1038" t="str">
        <f t="shared" si="1"/>
        <v>W60804</v>
      </c>
      <c r="U61" s="1037">
        <f t="shared" si="17"/>
        <v>0</v>
      </c>
      <c r="V61" s="1037">
        <f t="shared" si="17"/>
        <v>0</v>
      </c>
      <c r="W61" s="238"/>
      <c r="X61" s="1043" t="str">
        <f t="shared" si="14"/>
        <v>압출 PCM</v>
      </c>
      <c r="Y61" s="1044">
        <f t="shared" si="4"/>
        <v>55</v>
      </c>
      <c r="Z61" s="1044" t="str">
        <f t="array" ref="Z61">IFERROR(INDEX($T$3:$T$373,MATCH(1,($X61=$R$3:$R$373)*($Y61=$S$3:$S$373),0))," ")</f>
        <v>HSW-6000L</v>
      </c>
      <c r="AA61" s="1044">
        <f t="array" ref="AA61">IFERROR(INDEX($U$3:$U$373,MATCH(1,($X61=$R$3:$R$373)*($Y61=$S$3:$S$373),0))," ")</f>
        <v>72</v>
      </c>
      <c r="AB61" s="1045">
        <f t="array" ref="AB61">IFERROR(INDEX($V$3:$V$373,MATCH(1,($X61=$R$3:$R$373)*($Y61=$S$3:$S$373),0))," ")</f>
        <v>6039936</v>
      </c>
      <c r="AC61" s="238"/>
      <c r="AE61" s="238"/>
      <c r="AF61" s="238"/>
      <c r="AG61" s="238"/>
      <c r="AH61" s="238"/>
      <c r="AI61" s="238"/>
      <c r="AJ61" s="238"/>
      <c r="AK61" s="238"/>
      <c r="AL61" s="238"/>
      <c r="AM61" s="238"/>
      <c r="AN61" s="238"/>
      <c r="AO61" s="353"/>
      <c r="AP61" s="353"/>
      <c r="AQ61" s="352"/>
      <c r="AR61" s="352"/>
      <c r="AS61" s="352"/>
      <c r="AT61" s="352"/>
      <c r="AU61" s="352"/>
      <c r="AV61" s="352"/>
    </row>
    <row r="62" spans="1:48" ht="17.100000000000001" customHeight="1">
      <c r="A62" s="2302"/>
      <c r="B62" s="794" t="s">
        <v>1582</v>
      </c>
      <c r="C62" s="824" t="s">
        <v>842</v>
      </c>
      <c r="D62" s="264" t="s">
        <v>666</v>
      </c>
      <c r="E62" s="905" t="s">
        <v>1081</v>
      </c>
      <c r="F62" s="2341"/>
      <c r="G62" s="1104">
        <v>4250</v>
      </c>
      <c r="H62" s="703">
        <f>원자재매입내역!AL62</f>
        <v>3133</v>
      </c>
      <c r="I62" s="975">
        <f t="shared" si="15"/>
        <v>13315250</v>
      </c>
      <c r="J62" s="2118"/>
      <c r="K62" s="954"/>
      <c r="L62" s="869"/>
      <c r="M62" s="238"/>
      <c r="N62" s="238"/>
      <c r="O62" s="238"/>
      <c r="P62" s="238"/>
      <c r="Q62" s="238"/>
      <c r="R62" s="1035" t="s">
        <v>1115</v>
      </c>
      <c r="S62" s="1038">
        <f>COUNTIF($R$3:R62,R62)</f>
        <v>29</v>
      </c>
      <c r="T62" s="1038" t="str">
        <f t="shared" si="1"/>
        <v>w60922</v>
      </c>
      <c r="U62" s="1037">
        <f t="shared" si="17"/>
        <v>3133</v>
      </c>
      <c r="V62" s="1037">
        <f t="shared" si="17"/>
        <v>13315250</v>
      </c>
      <c r="W62" s="238"/>
      <c r="X62" s="1043" t="str">
        <f t="shared" si="14"/>
        <v>압출 PCM</v>
      </c>
      <c r="Y62" s="1044">
        <f t="shared" si="4"/>
        <v>56</v>
      </c>
      <c r="Z62" s="1044" t="str">
        <f t="array" ref="Z62">IFERROR(INDEX($T$3:$T$373,MATCH(1,($X62=$R$3:$R$373)*($Y62=$S$3:$S$373),0))," ")</f>
        <v>HSW-595V</v>
      </c>
      <c r="AA62" s="1044">
        <f t="array" ref="AA62">IFERROR(INDEX($U$3:$U$373,MATCH(1,($X62=$R$3:$R$373)*($Y62=$S$3:$S$373),0))," ")</f>
        <v>17</v>
      </c>
      <c r="AB62" s="1045">
        <f t="array" ref="AB62">IFERROR(INDEX($V$3:$V$373,MATCH(1,($X62=$R$3:$R$373)*($Y62=$S$3:$S$373),0))," ")</f>
        <v>567681</v>
      </c>
      <c r="AC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353"/>
      <c r="AP62" s="353"/>
      <c r="AQ62" s="352"/>
      <c r="AR62" s="352"/>
      <c r="AS62" s="352"/>
      <c r="AT62" s="352"/>
      <c r="AU62" s="352"/>
      <c r="AV62" s="352"/>
    </row>
    <row r="63" spans="1:48" ht="17.100000000000001" customHeight="1">
      <c r="A63" s="2302"/>
      <c r="B63" s="794" t="s">
        <v>779</v>
      </c>
      <c r="C63" s="824" t="s">
        <v>810</v>
      </c>
      <c r="D63" s="264" t="s">
        <v>666</v>
      </c>
      <c r="E63" s="905" t="s">
        <v>1082</v>
      </c>
      <c r="F63" s="2341"/>
      <c r="G63" s="1104">
        <v>3610</v>
      </c>
      <c r="H63" s="703">
        <f>원자재매입내역!AL63</f>
        <v>18351</v>
      </c>
      <c r="I63" s="975">
        <f t="shared" si="15"/>
        <v>66247110</v>
      </c>
      <c r="J63" s="2118"/>
      <c r="K63" s="954"/>
      <c r="L63" s="869"/>
      <c r="M63" s="238"/>
      <c r="N63" s="238"/>
      <c r="O63" s="238"/>
      <c r="P63" s="238"/>
      <c r="Q63" s="238"/>
      <c r="R63" s="1035" t="s">
        <v>1115</v>
      </c>
      <c r="S63" s="1038">
        <f>COUNTIF($R$3:R63,R63)</f>
        <v>30</v>
      </c>
      <c r="T63" s="1038" t="str">
        <f t="shared" si="1"/>
        <v>W60923</v>
      </c>
      <c r="U63" s="1037">
        <f t="shared" si="17"/>
        <v>18351</v>
      </c>
      <c r="V63" s="1037">
        <f t="shared" si="17"/>
        <v>66247110</v>
      </c>
      <c r="W63" s="238"/>
      <c r="X63" s="1043" t="str">
        <f t="shared" si="14"/>
        <v>압출 PCM</v>
      </c>
      <c r="Y63" s="1044">
        <f t="shared" si="4"/>
        <v>57</v>
      </c>
      <c r="Z63" s="1044" t="str">
        <f t="array" ref="Z63">IFERROR(INDEX($T$3:$T$373,MATCH(1,($X63=$R$3:$R$373)*($Y63=$S$3:$S$373),0))," ")</f>
        <v>HSP-700</v>
      </c>
      <c r="AA63" s="1044">
        <f t="array" ref="AA63">IFERROR(INDEX($U$3:$U$373,MATCH(1,($X63=$R$3:$R$373)*($Y63=$S$3:$S$373),0))," ")</f>
        <v>37</v>
      </c>
      <c r="AB63" s="1045">
        <f t="array" ref="AB63">IFERROR(INDEX($V$3:$V$373,MATCH(1,($X63=$R$3:$R$373)*($Y63=$S$3:$S$373),0))," ")</f>
        <v>1683426</v>
      </c>
      <c r="AC63" s="238"/>
      <c r="AE63" s="238"/>
      <c r="AF63" s="238"/>
      <c r="AG63" s="238"/>
      <c r="AH63" s="238"/>
      <c r="AI63" s="238"/>
      <c r="AJ63" s="238"/>
      <c r="AK63" s="238"/>
      <c r="AL63" s="238"/>
      <c r="AM63" s="238"/>
      <c r="AN63" s="238"/>
      <c r="AO63" s="353"/>
      <c r="AP63" s="353"/>
      <c r="AQ63" s="352"/>
      <c r="AR63" s="352"/>
      <c r="AS63" s="352"/>
      <c r="AT63" s="352"/>
      <c r="AU63" s="352"/>
      <c r="AV63" s="352"/>
    </row>
    <row r="64" spans="1:48" ht="17.100000000000001" customHeight="1" thickBot="1">
      <c r="A64" s="2330"/>
      <c r="B64" s="753" t="s">
        <v>1584</v>
      </c>
      <c r="C64" s="1126" t="s">
        <v>1200</v>
      </c>
      <c r="D64" s="543" t="s">
        <v>309</v>
      </c>
      <c r="E64" s="1121" t="s">
        <v>1082</v>
      </c>
      <c r="F64" s="2342"/>
      <c r="G64" s="1127">
        <v>2660</v>
      </c>
      <c r="H64" s="703">
        <f>원자재매입내역!AL64</f>
        <v>0</v>
      </c>
      <c r="I64" s="975">
        <f t="shared" si="15"/>
        <v>0</v>
      </c>
      <c r="J64" s="2151"/>
      <c r="K64" s="956"/>
      <c r="L64" s="916"/>
      <c r="M64" s="238"/>
      <c r="N64" s="238"/>
      <c r="O64" s="238"/>
      <c r="P64" s="238"/>
      <c r="Q64" s="238"/>
      <c r="R64" s="1035" t="s">
        <v>1115</v>
      </c>
      <c r="S64" s="1038">
        <f>COUNTIF($R$3:R64,R64)</f>
        <v>31</v>
      </c>
      <c r="T64" s="1038" t="str">
        <f t="shared" si="1"/>
        <v>W60924</v>
      </c>
      <c r="U64" s="1037">
        <f t="shared" si="17"/>
        <v>0</v>
      </c>
      <c r="V64" s="1037">
        <f t="shared" si="17"/>
        <v>0</v>
      </c>
      <c r="W64" s="238"/>
      <c r="X64" s="1043" t="str">
        <f t="shared" si="14"/>
        <v>압출 PCM</v>
      </c>
      <c r="Y64" s="1044">
        <f t="shared" si="4"/>
        <v>58</v>
      </c>
      <c r="Z64" s="1044" t="str">
        <f t="array" ref="Z64">IFERROR(INDEX($T$3:$T$373,MATCH(1,($X64=$R$3:$R$373)*($Y64=$S$3:$S$373),0))," ")</f>
        <v xml:space="preserve"> </v>
      </c>
      <c r="AA64" s="1044" t="str">
        <f t="array" ref="AA64">IFERROR(INDEX($U$3:$U$373,MATCH(1,($X64=$R$3:$R$373)*($Y64=$S$3:$S$373),0))," ")</f>
        <v xml:space="preserve"> </v>
      </c>
      <c r="AB64" s="1045" t="str">
        <f t="array" ref="AB64">IFERROR(INDEX($V$3:$V$373,MATCH(1,($X64=$R$3:$R$373)*($Y64=$S$3:$S$373),0))," ")</f>
        <v xml:space="preserve"> </v>
      </c>
      <c r="AC64" s="238"/>
      <c r="AE64" s="238"/>
      <c r="AF64" s="238"/>
      <c r="AG64" s="238"/>
      <c r="AH64" s="238"/>
      <c r="AI64" s="238"/>
      <c r="AJ64" s="238"/>
      <c r="AK64" s="238"/>
      <c r="AL64" s="238"/>
      <c r="AM64" s="238"/>
      <c r="AN64" s="238"/>
      <c r="AO64" s="353"/>
      <c r="AP64" s="353"/>
      <c r="AQ64" s="352"/>
      <c r="AR64" s="352"/>
      <c r="AS64" s="352"/>
      <c r="AT64" s="352"/>
      <c r="AU64" s="352"/>
      <c r="AV64" s="352"/>
    </row>
    <row r="65" spans="1:48" ht="17.100000000000001" customHeight="1">
      <c r="A65" s="2301" t="s">
        <v>180</v>
      </c>
      <c r="B65" s="813"/>
      <c r="C65" s="825" t="s">
        <v>2051</v>
      </c>
      <c r="D65" s="814" t="s">
        <v>666</v>
      </c>
      <c r="E65" s="907" t="s">
        <v>751</v>
      </c>
      <c r="F65" s="2113" t="s">
        <v>1041</v>
      </c>
      <c r="G65" s="2040">
        <v>5190</v>
      </c>
      <c r="H65" s="1640">
        <f>원자재매입내역!AL65</f>
        <v>2500</v>
      </c>
      <c r="I65" s="982">
        <f>G65*H65</f>
        <v>12975000</v>
      </c>
      <c r="J65" s="2117">
        <f>SUM(I65:I81)</f>
        <v>249891500</v>
      </c>
      <c r="K65" s="955">
        <v>304835000</v>
      </c>
      <c r="L65" s="868">
        <f>J65-K65</f>
        <v>-54943500</v>
      </c>
      <c r="M65" s="238"/>
      <c r="N65" s="238"/>
      <c r="O65" s="238"/>
      <c r="P65" s="238"/>
      <c r="Q65" s="238"/>
      <c r="R65" s="1035" t="s">
        <v>180</v>
      </c>
      <c r="S65" s="1038">
        <f>COUNTIF($R$3:R65,R65)</f>
        <v>2</v>
      </c>
      <c r="T65" s="1038" t="str">
        <f t="shared" si="1"/>
        <v>IA4-75B_1</v>
      </c>
      <c r="U65" s="1037">
        <f t="shared" si="17"/>
        <v>2500</v>
      </c>
      <c r="V65" s="1037">
        <f t="shared" si="17"/>
        <v>12975000</v>
      </c>
      <c r="W65" s="238"/>
      <c r="X65" s="1043" t="str">
        <f t="shared" si="14"/>
        <v>압출 PCM</v>
      </c>
      <c r="Y65" s="1044">
        <f t="shared" si="4"/>
        <v>59</v>
      </c>
      <c r="Z65" s="1044" t="str">
        <f t="array" ref="Z65">IFERROR(INDEX($T$3:$T$373,MATCH(1,($X65=$R$3:$R$373)*($Y65=$S$3:$S$373),0))," ")</f>
        <v xml:space="preserve"> </v>
      </c>
      <c r="AA65" s="1044" t="str">
        <f t="array" ref="AA65">IFERROR(INDEX($U$3:$U$373,MATCH(1,($X65=$R$3:$R$373)*($Y65=$S$3:$S$373),0))," ")</f>
        <v xml:space="preserve"> </v>
      </c>
      <c r="AB65" s="1045" t="str">
        <f t="array" ref="AB65">IFERROR(INDEX($V$3:$V$373,MATCH(1,($X65=$R$3:$R$373)*($Y65=$S$3:$S$373),0))," ")</f>
        <v xml:space="preserve"> </v>
      </c>
      <c r="AC65" s="238"/>
      <c r="AE65" s="238"/>
      <c r="AF65" s="238"/>
      <c r="AG65" s="238"/>
      <c r="AH65" s="238"/>
      <c r="AI65" s="238"/>
      <c r="AJ65" s="238"/>
      <c r="AK65" s="238"/>
      <c r="AL65" s="238"/>
      <c r="AM65" s="238"/>
      <c r="AN65" s="238"/>
      <c r="AO65" s="353"/>
      <c r="AP65" s="353"/>
      <c r="AQ65" s="352"/>
      <c r="AR65" s="352"/>
      <c r="AS65" s="352"/>
      <c r="AT65" s="352"/>
      <c r="AU65" s="352"/>
      <c r="AV65" s="352"/>
    </row>
    <row r="66" spans="1:48" ht="17.100000000000001" customHeight="1">
      <c r="A66" s="2302"/>
      <c r="B66" s="816">
        <v>12345679</v>
      </c>
      <c r="C66" s="821" t="s">
        <v>2052</v>
      </c>
      <c r="D66" s="817" t="s">
        <v>666</v>
      </c>
      <c r="E66" s="908" t="s">
        <v>497</v>
      </c>
      <c r="F66" s="2114"/>
      <c r="G66" s="818">
        <v>5080</v>
      </c>
      <c r="H66" s="703">
        <f>원자재매입내역!AL66</f>
        <v>6000</v>
      </c>
      <c r="I66" s="975">
        <f t="shared" si="7"/>
        <v>30480000</v>
      </c>
      <c r="J66" s="2118"/>
      <c r="K66" s="954"/>
      <c r="L66" s="869"/>
      <c r="M66" s="238"/>
      <c r="N66" s="238"/>
      <c r="O66" s="238"/>
      <c r="P66" s="238"/>
      <c r="Q66" s="238"/>
      <c r="R66" s="1035" t="s">
        <v>180</v>
      </c>
      <c r="S66" s="1038">
        <f>COUNTIF($R$3:R66,R66)</f>
        <v>3</v>
      </c>
      <c r="T66" s="1038" t="str">
        <f t="shared" si="1"/>
        <v>B64E</v>
      </c>
      <c r="U66" s="1037">
        <f t="shared" si="17"/>
        <v>6000</v>
      </c>
      <c r="V66" s="1037">
        <f t="shared" si="17"/>
        <v>30480000</v>
      </c>
      <c r="W66" s="238"/>
      <c r="X66" s="1043" t="str">
        <f t="shared" si="14"/>
        <v>압출 PCM</v>
      </c>
      <c r="Y66" s="1044">
        <f t="shared" si="4"/>
        <v>60</v>
      </c>
      <c r="Z66" s="1044" t="str">
        <f t="array" ref="Z66">IFERROR(INDEX($T$3:$T$373,MATCH(1,($X66=$R$3:$R$373)*($Y66=$S$3:$S$373),0))," ")</f>
        <v xml:space="preserve"> </v>
      </c>
      <c r="AA66" s="1044" t="str">
        <f t="array" ref="AA66">IFERROR(INDEX($U$3:$U$373,MATCH(1,($X66=$R$3:$R$373)*($Y66=$S$3:$S$373),0))," ")</f>
        <v xml:space="preserve"> </v>
      </c>
      <c r="AB66" s="1045" t="str">
        <f t="array" ref="AB66">IFERROR(INDEX($V$3:$V$373,MATCH(1,($X66=$R$3:$R$373)*($Y66=$S$3:$S$373),0))," ")</f>
        <v xml:space="preserve"> </v>
      </c>
      <c r="AC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353"/>
      <c r="AP66" s="353"/>
      <c r="AQ66" s="352"/>
      <c r="AR66" s="352"/>
      <c r="AS66" s="352"/>
      <c r="AT66" s="352"/>
      <c r="AU66" s="352"/>
      <c r="AV66" s="352"/>
    </row>
    <row r="67" spans="1:48" ht="17.100000000000001" customHeight="1">
      <c r="A67" s="2302"/>
      <c r="B67" s="816">
        <v>12345681</v>
      </c>
      <c r="C67" s="821" t="s">
        <v>2053</v>
      </c>
      <c r="D67" s="817" t="s">
        <v>666</v>
      </c>
      <c r="E67" s="908" t="s">
        <v>311</v>
      </c>
      <c r="F67" s="2114"/>
      <c r="G67" s="818">
        <v>0</v>
      </c>
      <c r="H67" s="703">
        <f>원자재매입내역!AL67</f>
        <v>0</v>
      </c>
      <c r="I67" s="975">
        <f t="shared" si="7"/>
        <v>0</v>
      </c>
      <c r="J67" s="2118"/>
      <c r="K67" s="954"/>
      <c r="L67" s="869"/>
      <c r="M67" s="238"/>
      <c r="N67" s="238"/>
      <c r="O67" s="238"/>
      <c r="P67" s="238"/>
      <c r="Q67" s="238"/>
      <c r="R67" s="1035" t="s">
        <v>180</v>
      </c>
      <c r="S67" s="1038">
        <f>COUNTIF($R$3:R67,R67)</f>
        <v>4</v>
      </c>
      <c r="T67" s="1038" t="str">
        <f t="shared" ref="T67:T84" si="18">C67</f>
        <v>L2KIA7-35B</v>
      </c>
      <c r="U67" s="1037">
        <f t="shared" si="17"/>
        <v>0</v>
      </c>
      <c r="V67" s="1037">
        <f t="shared" si="17"/>
        <v>0</v>
      </c>
      <c r="W67" s="238"/>
      <c r="X67" s="1043" t="str">
        <f t="shared" si="14"/>
        <v>압출 PCM</v>
      </c>
      <c r="Y67" s="1044">
        <f t="shared" si="4"/>
        <v>61</v>
      </c>
      <c r="Z67" s="1044" t="str">
        <f t="array" ref="Z67">IFERROR(INDEX($T$3:$T$373,MATCH(1,($X67=$R$3:$R$373)*($Y67=$S$3:$S$373),0))," ")</f>
        <v xml:space="preserve"> </v>
      </c>
      <c r="AA67" s="1044" t="str">
        <f t="array" ref="AA67">IFERROR(INDEX($U$3:$U$373,MATCH(1,($X67=$R$3:$R$373)*($Y67=$S$3:$S$373),0))," ")</f>
        <v xml:space="preserve"> </v>
      </c>
      <c r="AB67" s="1045" t="str">
        <f t="array" ref="AB67">IFERROR(INDEX($V$3:$V$373,MATCH(1,($X67=$R$3:$R$373)*($Y67=$S$3:$S$373),0))," ")</f>
        <v xml:space="preserve"> </v>
      </c>
      <c r="AC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353"/>
      <c r="AP67" s="353"/>
      <c r="AQ67" s="352"/>
      <c r="AR67" s="352"/>
      <c r="AS67" s="352"/>
      <c r="AT67" s="352"/>
      <c r="AU67" s="352"/>
      <c r="AV67" s="352"/>
    </row>
    <row r="68" spans="1:48" ht="17.100000000000001" customHeight="1">
      <c r="A68" s="2302"/>
      <c r="B68" s="1190" t="s">
        <v>1089</v>
      </c>
      <c r="C68" s="821" t="s">
        <v>2054</v>
      </c>
      <c r="D68" s="817" t="s">
        <v>27</v>
      </c>
      <c r="E68" s="908" t="s">
        <v>1620</v>
      </c>
      <c r="F68" s="2114"/>
      <c r="G68" s="818">
        <v>6020</v>
      </c>
      <c r="H68" s="703">
        <f>원자재매입내역!AL80</f>
        <v>1575</v>
      </c>
      <c r="I68" s="975">
        <f>G68*H68</f>
        <v>9481500</v>
      </c>
      <c r="J68" s="2118"/>
      <c r="K68" s="954"/>
      <c r="L68" s="869"/>
      <c r="M68" s="238"/>
      <c r="N68" s="238"/>
      <c r="O68" s="238"/>
      <c r="P68" s="238"/>
      <c r="Q68" s="238"/>
      <c r="R68" s="1035" t="s">
        <v>905</v>
      </c>
      <c r="S68" s="1038">
        <f>COUNTIF($R$3:R80,R68)</f>
        <v>16</v>
      </c>
      <c r="T68" s="1038" t="str">
        <f>C68</f>
        <v>IA4-80B (G)</v>
      </c>
      <c r="U68" s="1037">
        <f>H68</f>
        <v>1575</v>
      </c>
      <c r="V68" s="1037">
        <f>I68</f>
        <v>9481500</v>
      </c>
      <c r="W68" s="238"/>
      <c r="X68" s="1043" t="str">
        <f t="shared" si="14"/>
        <v>압출 PCM</v>
      </c>
      <c r="Y68" s="1044">
        <f t="shared" si="4"/>
        <v>62</v>
      </c>
      <c r="Z68" s="1044" t="str">
        <f t="array" ref="Z68">IFERROR(INDEX($T$3:$T$373,MATCH(1,($X68=$R$3:$R$373)*($Y68=$S$3:$S$373),0))," ")</f>
        <v xml:space="preserve"> </v>
      </c>
      <c r="AA68" s="1044" t="str">
        <f t="array" ref="AA68">IFERROR(INDEX($U$3:$U$373,MATCH(1,($X68=$R$3:$R$373)*($Y68=$S$3:$S$373),0))," ")</f>
        <v xml:space="preserve"> </v>
      </c>
      <c r="AB68" s="1045" t="str">
        <f t="array" ref="AB68">IFERROR(INDEX($V$3:$V$373,MATCH(1,($X68=$R$3:$R$373)*($Y68=$S$3:$S$373),0))," ")</f>
        <v xml:space="preserve"> </v>
      </c>
      <c r="AC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353"/>
      <c r="AP68" s="353"/>
      <c r="AQ68" s="352"/>
      <c r="AR68" s="352"/>
      <c r="AS68" s="352"/>
      <c r="AT68" s="352"/>
      <c r="AU68" s="352"/>
      <c r="AV68" s="352"/>
    </row>
    <row r="69" spans="1:48" ht="17.100000000000001" customHeight="1">
      <c r="A69" s="2302"/>
      <c r="B69" s="816"/>
      <c r="C69" s="821" t="s">
        <v>2055</v>
      </c>
      <c r="D69" s="817" t="s">
        <v>27</v>
      </c>
      <c r="E69" s="908" t="s">
        <v>650</v>
      </c>
      <c r="F69" s="2114"/>
      <c r="G69" s="818">
        <v>5740</v>
      </c>
      <c r="H69" s="703">
        <f>원자재매입내역!AL68</f>
        <v>1500</v>
      </c>
      <c r="I69" s="975">
        <f t="shared" si="7"/>
        <v>8610000</v>
      </c>
      <c r="J69" s="2118"/>
      <c r="K69" s="954"/>
      <c r="L69" s="869"/>
      <c r="M69" s="238"/>
      <c r="N69" s="238"/>
      <c r="O69" s="238"/>
      <c r="P69" s="238"/>
      <c r="Q69" s="238"/>
      <c r="R69" s="1035" t="s">
        <v>180</v>
      </c>
      <c r="S69" s="1038">
        <f>COUNTIF($R$3:R69,R69)</f>
        <v>5</v>
      </c>
      <c r="T69" s="1038" t="str">
        <f t="shared" si="18"/>
        <v>IA4-68B</v>
      </c>
      <c r="U69" s="1037">
        <f t="shared" si="17"/>
        <v>1500</v>
      </c>
      <c r="V69" s="1037">
        <f t="shared" si="17"/>
        <v>8610000</v>
      </c>
      <c r="W69" s="238"/>
      <c r="X69" s="1043" t="str">
        <f t="shared" si="14"/>
        <v>압출 PCM</v>
      </c>
      <c r="Y69" s="1044">
        <f t="shared" si="4"/>
        <v>63</v>
      </c>
      <c r="Z69" s="1044" t="str">
        <f t="array" ref="Z69">IFERROR(INDEX($T$3:$T$373,MATCH(1,($X69=$R$3:$R$373)*($Y69=$S$3:$S$373),0))," ")</f>
        <v xml:space="preserve"> </v>
      </c>
      <c r="AA69" s="1044" t="str">
        <f t="array" ref="AA69">IFERROR(INDEX($U$3:$U$373,MATCH(1,($X69=$R$3:$R$373)*($Y69=$S$3:$S$373),0))," ")</f>
        <v xml:space="preserve"> </v>
      </c>
      <c r="AB69" s="1045" t="str">
        <f t="array" ref="AB69">IFERROR(INDEX($V$3:$V$373,MATCH(1,($X69=$R$3:$R$373)*($Y69=$S$3:$S$373),0))," ")</f>
        <v xml:space="preserve"> </v>
      </c>
      <c r="AC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353"/>
      <c r="AP69" s="353"/>
      <c r="AQ69" s="352"/>
      <c r="AR69" s="352"/>
      <c r="AS69" s="352"/>
      <c r="AT69" s="352"/>
      <c r="AU69" s="352"/>
      <c r="AV69" s="352"/>
    </row>
    <row r="70" spans="1:48" ht="17.100000000000001" customHeight="1">
      <c r="A70" s="2302"/>
      <c r="B70" s="816"/>
      <c r="C70" s="821" t="s">
        <v>2056</v>
      </c>
      <c r="D70" s="817" t="s">
        <v>27</v>
      </c>
      <c r="E70" s="908" t="s">
        <v>1090</v>
      </c>
      <c r="F70" s="2114"/>
      <c r="G70" s="818">
        <v>6250</v>
      </c>
      <c r="H70" s="703">
        <f>원자재매입내역!AL69</f>
        <v>500</v>
      </c>
      <c r="I70" s="975">
        <f>G70*H70</f>
        <v>3125000</v>
      </c>
      <c r="J70" s="2118"/>
      <c r="K70" s="954"/>
      <c r="L70" s="869"/>
      <c r="M70" s="238"/>
      <c r="N70" s="238"/>
      <c r="O70" s="238"/>
      <c r="P70" s="238"/>
      <c r="Q70" s="238"/>
      <c r="R70" s="1035" t="s">
        <v>180</v>
      </c>
      <c r="S70" s="1038">
        <f>COUNTIF($R$3:R70,R70)</f>
        <v>6</v>
      </c>
      <c r="T70" s="1038" t="str">
        <f t="shared" si="18"/>
        <v>IA4-78B</v>
      </c>
      <c r="U70" s="1037">
        <f t="shared" si="17"/>
        <v>500</v>
      </c>
      <c r="V70" s="1037">
        <f t="shared" si="17"/>
        <v>3125000</v>
      </c>
      <c r="W70" s="238"/>
      <c r="X70" s="1043" t="str">
        <f t="shared" si="14"/>
        <v>압출 PCM</v>
      </c>
      <c r="Y70" s="1044">
        <f t="shared" si="4"/>
        <v>64</v>
      </c>
      <c r="Z70" s="1044" t="str">
        <f t="array" ref="Z70">IFERROR(INDEX($T$3:$T$373,MATCH(1,($X70=$R$3:$R$373)*($Y70=$S$3:$S$373),0))," ")</f>
        <v xml:space="preserve"> </v>
      </c>
      <c r="AA70" s="1044" t="str">
        <f t="array" ref="AA70">IFERROR(INDEX($U$3:$U$373,MATCH(1,($X70=$R$3:$R$373)*($Y70=$S$3:$S$373),0))," ")</f>
        <v xml:space="preserve"> </v>
      </c>
      <c r="AB70" s="1045" t="str">
        <f t="array" ref="AB70">IFERROR(INDEX($V$3:$V$373,MATCH(1,($X70=$R$3:$R$373)*($Y70=$S$3:$S$373),0))," ")</f>
        <v xml:space="preserve"> </v>
      </c>
      <c r="AC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353"/>
      <c r="AP70" s="353"/>
      <c r="AQ70" s="352"/>
      <c r="AR70" s="352"/>
      <c r="AS70" s="352"/>
      <c r="AT70" s="352"/>
      <c r="AU70" s="352"/>
      <c r="AV70" s="352"/>
    </row>
    <row r="71" spans="1:48" ht="17.100000000000001" customHeight="1">
      <c r="A71" s="2302"/>
      <c r="B71" s="2292" t="s">
        <v>563</v>
      </c>
      <c r="C71" s="821" t="s">
        <v>2057</v>
      </c>
      <c r="D71" s="817" t="s">
        <v>27</v>
      </c>
      <c r="E71" s="2363" t="s">
        <v>1075</v>
      </c>
      <c r="F71" s="2114"/>
      <c r="G71" s="818">
        <v>4660</v>
      </c>
      <c r="H71" s="703">
        <f>원자재매입내역!AL70</f>
        <v>14000</v>
      </c>
      <c r="I71" s="975">
        <f t="shared" ref="I71:I72" si="19">G71*H71</f>
        <v>65240000</v>
      </c>
      <c r="J71" s="2118"/>
      <c r="K71" s="954"/>
      <c r="L71" s="869"/>
      <c r="M71" s="238"/>
      <c r="N71" s="238"/>
      <c r="O71" s="238"/>
      <c r="P71" s="1047">
        <f>AK8</f>
        <v>0.59593608585751401</v>
      </c>
      <c r="Q71" s="1047">
        <f>AK14</f>
        <v>0.40406391414248594</v>
      </c>
      <c r="R71" s="1048" t="s">
        <v>1116</v>
      </c>
      <c r="S71" s="1049">
        <f>COUNTIF($R$3:R71,R71)</f>
        <v>1</v>
      </c>
      <c r="T71" s="1038" t="str">
        <f t="shared" si="18"/>
        <v>XA1-65B_001 (명례)</v>
      </c>
      <c r="U71" s="1037">
        <f t="shared" si="17"/>
        <v>14000</v>
      </c>
      <c r="V71" s="1037">
        <f t="shared" si="17"/>
        <v>65240000</v>
      </c>
      <c r="W71" s="238"/>
      <c r="X71" s="1043" t="str">
        <f t="shared" si="14"/>
        <v>압출 PCM</v>
      </c>
      <c r="Y71" s="1044">
        <f t="shared" si="4"/>
        <v>65</v>
      </c>
      <c r="Z71" s="1044" t="str">
        <f t="array" ref="Z71">IFERROR(INDEX($T$3:$T$373,MATCH(1,($X71=$R$3:$R$373)*($Y71=$S$3:$S$373),0))," ")</f>
        <v xml:space="preserve"> </v>
      </c>
      <c r="AA71" s="1044" t="str">
        <f t="array" ref="AA71">IFERROR(INDEX($U$3:$U$373,MATCH(1,($X71=$R$3:$R$373)*($Y71=$S$3:$S$373),0))," ")</f>
        <v xml:space="preserve"> </v>
      </c>
      <c r="AB71" s="1045" t="str">
        <f t="array" ref="AB71">IFERROR(INDEX($V$3:$V$373,MATCH(1,($X71=$R$3:$R$373)*($Y71=$S$3:$S$373),0))," ")</f>
        <v xml:space="preserve"> </v>
      </c>
      <c r="AC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353"/>
      <c r="AP71" s="353"/>
      <c r="AQ71" s="352"/>
      <c r="AR71" s="352"/>
      <c r="AS71" s="352"/>
      <c r="AT71" s="352"/>
      <c r="AU71" s="352"/>
      <c r="AV71" s="352"/>
    </row>
    <row r="72" spans="1:48" ht="17.100000000000001" customHeight="1">
      <c r="A72" s="2302"/>
      <c r="B72" s="2292"/>
      <c r="C72" s="821" t="s">
        <v>2058</v>
      </c>
      <c r="D72" s="817" t="s">
        <v>27</v>
      </c>
      <c r="E72" s="2363"/>
      <c r="F72" s="2114"/>
      <c r="G72" s="818">
        <v>4600</v>
      </c>
      <c r="H72" s="703">
        <f>원자재매입내역!AL71</f>
        <v>4000</v>
      </c>
      <c r="I72" s="975">
        <f t="shared" si="19"/>
        <v>18400000</v>
      </c>
      <c r="J72" s="2118"/>
      <c r="K72" s="954"/>
      <c r="L72" s="869"/>
      <c r="M72" s="238"/>
      <c r="N72" s="238"/>
      <c r="O72" s="238"/>
      <c r="P72" s="1047"/>
      <c r="Q72" s="1047"/>
      <c r="R72" s="1035" t="s">
        <v>180</v>
      </c>
      <c r="S72" s="1038">
        <f>COUNTIF($R$3:R72,R72)</f>
        <v>7</v>
      </c>
      <c r="T72" s="1038" t="str">
        <f t="shared" si="18"/>
        <v>XA1-80B_001 (명례)</v>
      </c>
      <c r="U72" s="1037">
        <f t="shared" si="17"/>
        <v>4000</v>
      </c>
      <c r="V72" s="1037">
        <f t="shared" si="17"/>
        <v>18400000</v>
      </c>
      <c r="W72" s="238"/>
      <c r="X72" s="1043" t="str">
        <f t="shared" si="14"/>
        <v>압출 PCM</v>
      </c>
      <c r="Y72" s="1044">
        <f t="shared" ref="Y72:Y164" si="20">ROW()-6</f>
        <v>66</v>
      </c>
      <c r="Z72" s="1044" t="str">
        <f t="array" ref="Z72">IFERROR(INDEX($T$3:$T$373,MATCH(1,($X72=$R$3:$R$373)*($Y72=$S$3:$S$373),0))," ")</f>
        <v xml:space="preserve"> </v>
      </c>
      <c r="AA72" s="1044" t="str">
        <f t="array" ref="AA72">IFERROR(INDEX($U$3:$U$373,MATCH(1,($X72=$R$3:$R$373)*($Y72=$S$3:$S$373),0))," ")</f>
        <v xml:space="preserve"> </v>
      </c>
      <c r="AB72" s="1045" t="str">
        <f t="array" ref="AB72">IFERROR(INDEX($V$3:$V$373,MATCH(1,($X72=$R$3:$R$373)*($Y72=$S$3:$S$373),0))," ")</f>
        <v xml:space="preserve"> </v>
      </c>
      <c r="AC72" s="238"/>
      <c r="AF72" s="238"/>
      <c r="AG72" s="238"/>
      <c r="AH72" s="238"/>
      <c r="AI72" s="238"/>
      <c r="AJ72" s="238"/>
      <c r="AK72" s="238"/>
      <c r="AL72" s="238"/>
      <c r="AM72" s="238"/>
      <c r="AN72" s="238"/>
      <c r="AO72" s="353"/>
      <c r="AP72" s="353"/>
      <c r="AQ72" s="352"/>
      <c r="AR72" s="352"/>
      <c r="AS72" s="352"/>
      <c r="AT72" s="352"/>
      <c r="AU72" s="352"/>
      <c r="AV72" s="352"/>
    </row>
    <row r="73" spans="1:48" ht="18.600000000000001" customHeight="1">
      <c r="A73" s="2302"/>
      <c r="B73" s="816"/>
      <c r="C73" s="821" t="s">
        <v>2059</v>
      </c>
      <c r="D73" s="817" t="s">
        <v>27</v>
      </c>
      <c r="E73" s="908" t="s">
        <v>496</v>
      </c>
      <c r="F73" s="2114"/>
      <c r="G73" s="818">
        <v>10380</v>
      </c>
      <c r="H73" s="703">
        <f>원자재매입내역!AL72</f>
        <v>0</v>
      </c>
      <c r="I73" s="975">
        <f>G73*H73</f>
        <v>0</v>
      </c>
      <c r="J73" s="2118"/>
      <c r="K73" s="954"/>
      <c r="L73" s="869"/>
      <c r="R73" s="1035" t="s">
        <v>180</v>
      </c>
      <c r="S73" s="1038">
        <f>COUNTIF($R$3:R73,R73)</f>
        <v>8</v>
      </c>
      <c r="T73" s="1038" t="str">
        <f t="shared" si="18"/>
        <v>ED2-53B</v>
      </c>
      <c r="U73" s="1037">
        <f t="shared" si="17"/>
        <v>0</v>
      </c>
      <c r="V73" s="1037">
        <f t="shared" si="17"/>
        <v>0</v>
      </c>
      <c r="X73" s="1043" t="str">
        <f t="shared" si="14"/>
        <v>압출 PCM</v>
      </c>
      <c r="Y73" s="1044">
        <f t="shared" si="20"/>
        <v>67</v>
      </c>
      <c r="Z73" s="1044" t="str">
        <f t="array" ref="Z73">IFERROR(INDEX($T$3:$T$373,MATCH(1,($X73=$R$3:$R$373)*($Y73=$S$3:$S$373),0))," ")</f>
        <v xml:space="preserve"> </v>
      </c>
      <c r="AA73" s="1044" t="str">
        <f t="array" ref="AA73">IFERROR(INDEX($U$3:$U$373,MATCH(1,($X73=$R$3:$R$373)*($Y73=$S$3:$S$373),0))," ")</f>
        <v xml:space="preserve"> </v>
      </c>
      <c r="AB73" s="1045" t="str">
        <f t="array" ref="AB73">IFERROR(INDEX($V$3:$V$373,MATCH(1,($X73=$R$3:$R$373)*($Y73=$S$3:$S$373),0))," ")</f>
        <v xml:space="preserve"> </v>
      </c>
    </row>
    <row r="74" spans="1:48" ht="17.100000000000001" customHeight="1">
      <c r="A74" s="2302"/>
      <c r="B74" s="816">
        <v>12345680</v>
      </c>
      <c r="C74" s="821" t="s">
        <v>2060</v>
      </c>
      <c r="D74" s="817" t="s">
        <v>27</v>
      </c>
      <c r="E74" s="908" t="s">
        <v>510</v>
      </c>
      <c r="F74" s="2114"/>
      <c r="G74" s="818">
        <v>11330</v>
      </c>
      <c r="H74" s="703">
        <f>원자재매입내역!AL73</f>
        <v>500</v>
      </c>
      <c r="I74" s="975">
        <f>G74*H74</f>
        <v>5665000</v>
      </c>
      <c r="J74" s="2118"/>
      <c r="K74" s="954"/>
      <c r="L74" s="869"/>
      <c r="R74" s="1035" t="s">
        <v>180</v>
      </c>
      <c r="S74" s="1038">
        <f>COUNTIF($R$3:R74,R74)</f>
        <v>9</v>
      </c>
      <c r="T74" s="1038" t="str">
        <f t="shared" si="18"/>
        <v>ED2-52B</v>
      </c>
      <c r="U74" s="1037">
        <f t="shared" si="17"/>
        <v>500</v>
      </c>
      <c r="V74" s="1037">
        <f t="shared" si="17"/>
        <v>5665000</v>
      </c>
      <c r="X74" s="1043" t="str">
        <f t="shared" si="14"/>
        <v>압출 PCM</v>
      </c>
      <c r="Y74" s="1044">
        <f t="shared" si="20"/>
        <v>68</v>
      </c>
      <c r="Z74" s="1044" t="str">
        <f t="array" ref="Z74">IFERROR(INDEX($T$3:$T$373,MATCH(1,($X74=$R$3:$R$373)*($Y74=$S$3:$S$373),0))," ")</f>
        <v xml:space="preserve"> </v>
      </c>
      <c r="AA74" s="1044" t="str">
        <f t="array" ref="AA74">IFERROR(INDEX($U$3:$U$373,MATCH(1,($X74=$R$3:$R$373)*($Y74=$S$3:$S$373),0))," ")</f>
        <v xml:space="preserve"> </v>
      </c>
      <c r="AB74" s="1045" t="str">
        <f t="array" ref="AB74">IFERROR(INDEX($V$3:$V$373,MATCH(1,($X74=$R$3:$R$373)*($Y74=$S$3:$S$373),0))," ")</f>
        <v xml:space="preserve"> </v>
      </c>
    </row>
    <row r="75" spans="1:48" ht="17.100000000000001" customHeight="1">
      <c r="A75" s="2302"/>
      <c r="B75" s="816"/>
      <c r="C75" s="821" t="s">
        <v>2061</v>
      </c>
      <c r="D75" s="817" t="s">
        <v>27</v>
      </c>
      <c r="E75" s="908" t="s">
        <v>510</v>
      </c>
      <c r="F75" s="2114"/>
      <c r="G75" s="818">
        <v>0</v>
      </c>
      <c r="H75" s="703">
        <f>원자재매입내역!AL74</f>
        <v>0</v>
      </c>
      <c r="I75" s="975">
        <f>G75*H75</f>
        <v>0</v>
      </c>
      <c r="J75" s="2118"/>
      <c r="K75" s="954"/>
      <c r="L75" s="869"/>
      <c r="R75" s="1035" t="s">
        <v>180</v>
      </c>
      <c r="S75" s="1038">
        <f>COUNTIF($R$3:R75,R75)</f>
        <v>10</v>
      </c>
      <c r="T75" s="1038" t="str">
        <f t="shared" si="18"/>
        <v>ED2-50B</v>
      </c>
      <c r="U75" s="1037">
        <f t="shared" si="17"/>
        <v>0</v>
      </c>
      <c r="V75" s="1037">
        <f t="shared" si="17"/>
        <v>0</v>
      </c>
      <c r="X75" s="1043" t="str">
        <f t="shared" si="14"/>
        <v>압출 PCM</v>
      </c>
      <c r="Y75" s="1044">
        <f t="shared" si="20"/>
        <v>69</v>
      </c>
      <c r="Z75" s="1044" t="str">
        <f t="array" ref="Z75">IFERROR(INDEX($T$3:$T$373,MATCH(1,($X75=$R$3:$R$373)*($Y75=$S$3:$S$373),0))," ")</f>
        <v xml:space="preserve"> </v>
      </c>
      <c r="AA75" s="1044" t="str">
        <f t="array" ref="AA75">IFERROR(INDEX($U$3:$U$373,MATCH(1,($X75=$R$3:$R$373)*($Y75=$S$3:$S$373),0))," ")</f>
        <v xml:space="preserve"> </v>
      </c>
      <c r="AB75" s="1045" t="str">
        <f t="array" ref="AB75">IFERROR(INDEX($V$3:$V$373,MATCH(1,($X75=$R$3:$R$373)*($Y75=$S$3:$S$373),0))," ")</f>
        <v xml:space="preserve"> </v>
      </c>
    </row>
    <row r="76" spans="1:48" ht="17.100000000000001" customHeight="1">
      <c r="A76" s="2302"/>
      <c r="B76" s="816" t="s">
        <v>893</v>
      </c>
      <c r="C76" s="821" t="s">
        <v>2062</v>
      </c>
      <c r="D76" s="817" t="s">
        <v>27</v>
      </c>
      <c r="E76" s="908" t="s">
        <v>1076</v>
      </c>
      <c r="F76" s="2114"/>
      <c r="G76" s="818">
        <v>14250</v>
      </c>
      <c r="H76" s="703">
        <f>원자재매입내역!AL75</f>
        <v>500</v>
      </c>
      <c r="I76" s="975">
        <f t="shared" ref="I76:I77" si="21">G76*H76</f>
        <v>7125000</v>
      </c>
      <c r="J76" s="2118"/>
      <c r="K76" s="954"/>
      <c r="L76" s="869"/>
      <c r="R76" s="1035" t="s">
        <v>905</v>
      </c>
      <c r="S76" s="1038">
        <f>COUNTIF($R$3:R76,R76)</f>
        <v>15</v>
      </c>
      <c r="T76" s="1038" t="str">
        <f t="shared" si="18"/>
        <v>ED2-50B_001</v>
      </c>
      <c r="U76" s="1037">
        <f t="shared" si="17"/>
        <v>500</v>
      </c>
      <c r="V76" s="1037">
        <f t="shared" si="17"/>
        <v>7125000</v>
      </c>
      <c r="X76" s="1043" t="str">
        <f t="shared" si="14"/>
        <v>압출 PCM</v>
      </c>
      <c r="Y76" s="1044">
        <f t="shared" si="20"/>
        <v>70</v>
      </c>
      <c r="Z76" s="1044" t="str">
        <f t="array" ref="Z76">IFERROR(INDEX($T$3:$T$373,MATCH(1,($X76=$R$3:$R$373)*($Y76=$S$3:$S$373),0))," ")</f>
        <v xml:space="preserve"> </v>
      </c>
      <c r="AA76" s="1044" t="str">
        <f t="array" ref="AA76">IFERROR(INDEX($U$3:$U$373,MATCH(1,($X76=$R$3:$R$373)*($Y76=$S$3:$S$373),0))," ")</f>
        <v xml:space="preserve"> </v>
      </c>
      <c r="AB76" s="1045" t="str">
        <f t="array" ref="AB76">IFERROR(INDEX($V$3:$V$373,MATCH(1,($X76=$R$3:$R$373)*($Y76=$S$3:$S$373),0))," ")</f>
        <v xml:space="preserve"> </v>
      </c>
    </row>
    <row r="77" spans="1:48" ht="17.100000000000001" customHeight="1">
      <c r="A77" s="2302"/>
      <c r="B77" s="816" t="s">
        <v>893</v>
      </c>
      <c r="C77" s="821" t="s">
        <v>2063</v>
      </c>
      <c r="D77" s="817" t="s">
        <v>27</v>
      </c>
      <c r="E77" s="908" t="s">
        <v>1077</v>
      </c>
      <c r="F77" s="2114"/>
      <c r="G77" s="818">
        <v>5050</v>
      </c>
      <c r="H77" s="703">
        <f>원자재매입내역!AL76</f>
        <v>11000</v>
      </c>
      <c r="I77" s="975">
        <f t="shared" si="21"/>
        <v>55550000</v>
      </c>
      <c r="J77" s="2118"/>
      <c r="K77" s="954"/>
      <c r="L77" s="869"/>
      <c r="O77" s="2359"/>
      <c r="R77" s="1035" t="s">
        <v>905</v>
      </c>
      <c r="S77" s="1038">
        <f>COUNTIF($R$3:R77,R77)</f>
        <v>16</v>
      </c>
      <c r="T77" s="1038" t="str">
        <f t="shared" si="18"/>
        <v>EA1-73B</v>
      </c>
      <c r="U77" s="1037">
        <f t="shared" ref="U77:V84" si="22">H77</f>
        <v>11000</v>
      </c>
      <c r="V77" s="1037">
        <f t="shared" si="22"/>
        <v>55550000</v>
      </c>
      <c r="X77" s="1043" t="str">
        <f t="shared" si="14"/>
        <v>압출 PCM</v>
      </c>
      <c r="Y77" s="1044">
        <f t="shared" si="20"/>
        <v>71</v>
      </c>
      <c r="Z77" s="1044" t="str">
        <f t="array" ref="Z77">IFERROR(INDEX($T$3:$T$373,MATCH(1,($X77=$R$3:$R$373)*($Y77=$S$3:$S$373),0))," ")</f>
        <v xml:space="preserve"> </v>
      </c>
      <c r="AA77" s="1044" t="str">
        <f t="array" ref="AA77">IFERROR(INDEX($U$3:$U$373,MATCH(1,($X77=$R$3:$R$373)*($Y77=$S$3:$S$373),0))," ")</f>
        <v xml:space="preserve"> </v>
      </c>
      <c r="AB77" s="1045" t="str">
        <f t="array" ref="AB77">IFERROR(INDEX($V$3:$V$373,MATCH(1,($X77=$R$3:$R$373)*($Y77=$S$3:$S$373),0))," ")</f>
        <v xml:space="preserve"> </v>
      </c>
    </row>
    <row r="78" spans="1:48" ht="17.100000000000001" customHeight="1">
      <c r="A78" s="2302"/>
      <c r="B78" s="2292" t="s">
        <v>563</v>
      </c>
      <c r="C78" s="821" t="s">
        <v>2064</v>
      </c>
      <c r="D78" s="817" t="s">
        <v>27</v>
      </c>
      <c r="E78" s="908" t="s">
        <v>726</v>
      </c>
      <c r="F78" s="2114"/>
      <c r="G78" s="818">
        <v>5050</v>
      </c>
      <c r="H78" s="703">
        <f>원자재매입내역!AL77</f>
        <v>0</v>
      </c>
      <c r="I78" s="975">
        <f t="shared" ref="I78" si="23">G78*H78</f>
        <v>0</v>
      </c>
      <c r="J78" s="2118"/>
      <c r="K78" s="954"/>
      <c r="L78" s="869"/>
      <c r="O78" s="2359"/>
      <c r="R78" s="1035" t="s">
        <v>180</v>
      </c>
      <c r="S78" s="1038">
        <f>COUNTIF($R$3:R78,R78)</f>
        <v>11</v>
      </c>
      <c r="T78" s="1038" t="str">
        <f t="shared" si="18"/>
        <v>XD1-40B_002</v>
      </c>
      <c r="U78" s="1037">
        <f t="shared" si="22"/>
        <v>0</v>
      </c>
      <c r="V78" s="1037">
        <f t="shared" si="22"/>
        <v>0</v>
      </c>
      <c r="X78" s="1043" t="str">
        <f t="shared" si="14"/>
        <v>압출 PCM</v>
      </c>
      <c r="Y78" s="1044">
        <f t="shared" si="20"/>
        <v>72</v>
      </c>
      <c r="Z78" s="1044" t="str">
        <f t="array" ref="Z78">IFERROR(INDEX($T$3:$T$373,MATCH(1,($X78=$R$3:$R$373)*($Y78=$S$3:$S$373),0))," ")</f>
        <v xml:space="preserve"> </v>
      </c>
      <c r="AA78" s="1044" t="str">
        <f t="array" ref="AA78">IFERROR(INDEX($U$3:$U$373,MATCH(1,($X78=$R$3:$R$373)*($Y78=$S$3:$S$373),0))," ")</f>
        <v xml:space="preserve"> </v>
      </c>
      <c r="AB78" s="1045" t="str">
        <f t="array" ref="AB78">IFERROR(INDEX($V$3:$V$373,MATCH(1,($X78=$R$3:$R$373)*($Y78=$S$3:$S$373),0))," ")</f>
        <v xml:space="preserve"> </v>
      </c>
    </row>
    <row r="79" spans="1:48" ht="17.100000000000001" customHeight="1">
      <c r="A79" s="2302"/>
      <c r="B79" s="2292"/>
      <c r="C79" s="821" t="s">
        <v>2065</v>
      </c>
      <c r="D79" s="817" t="s">
        <v>27</v>
      </c>
      <c r="E79" s="908" t="s">
        <v>725</v>
      </c>
      <c r="F79" s="2114"/>
      <c r="G79" s="818">
        <v>4930</v>
      </c>
      <c r="H79" s="703">
        <f>원자재매입내역!AL78</f>
        <v>0</v>
      </c>
      <c r="I79" s="975">
        <f>G79*H79</f>
        <v>0</v>
      </c>
      <c r="J79" s="2118"/>
      <c r="K79" s="954"/>
      <c r="L79" s="869"/>
      <c r="R79" s="1035" t="s">
        <v>180</v>
      </c>
      <c r="S79" s="1038">
        <f>COUNTIF($R$3:R79,R79)</f>
        <v>12</v>
      </c>
      <c r="T79" s="1038" t="str">
        <f t="shared" si="18"/>
        <v>ED2-48B</v>
      </c>
      <c r="U79" s="1037">
        <f t="shared" si="22"/>
        <v>0</v>
      </c>
      <c r="V79" s="1037">
        <f t="shared" si="22"/>
        <v>0</v>
      </c>
      <c r="X79" s="1043" t="str">
        <f t="shared" si="14"/>
        <v>압출 PCM</v>
      </c>
      <c r="Y79" s="1044">
        <f t="shared" si="20"/>
        <v>73</v>
      </c>
      <c r="Z79" s="1044" t="str">
        <f t="array" ref="Z79">IFERROR(INDEX($T$3:$T$373,MATCH(1,($X79=$R$3:$R$373)*($Y79=$S$3:$S$373),0))," ")</f>
        <v xml:space="preserve"> </v>
      </c>
      <c r="AA79" s="1044" t="str">
        <f t="array" ref="AA79">IFERROR(INDEX($U$3:$U$373,MATCH(1,($X79=$R$3:$R$373)*($Y79=$S$3:$S$373),0))," ")</f>
        <v xml:space="preserve"> </v>
      </c>
      <c r="AB79" s="1045" t="str">
        <f t="array" ref="AB79">IFERROR(INDEX($V$3:$V$373,MATCH(1,($X79=$R$3:$R$373)*($Y79=$S$3:$S$373),0))," ")</f>
        <v xml:space="preserve"> </v>
      </c>
    </row>
    <row r="80" spans="1:48" ht="17.100000000000001" customHeight="1">
      <c r="A80" s="2302"/>
      <c r="B80" s="816" t="s">
        <v>594</v>
      </c>
      <c r="C80" s="821" t="s">
        <v>2066</v>
      </c>
      <c r="D80" s="817" t="s">
        <v>27</v>
      </c>
      <c r="E80" s="908" t="s">
        <v>696</v>
      </c>
      <c r="F80" s="2114"/>
      <c r="G80" s="818">
        <v>12400</v>
      </c>
      <c r="H80" s="703">
        <f>원자재매입내역!AL79</f>
        <v>0</v>
      </c>
      <c r="I80" s="975">
        <f>G80*H80</f>
        <v>0</v>
      </c>
      <c r="J80" s="2118"/>
      <c r="K80" s="954"/>
      <c r="L80" s="869"/>
      <c r="R80" s="1035" t="s">
        <v>180</v>
      </c>
      <c r="S80" s="1038">
        <f>COUNTIF($R$3:R80,R80)</f>
        <v>13</v>
      </c>
      <c r="T80" s="1038" t="str">
        <f t="shared" si="18"/>
        <v>GM-B70EM</v>
      </c>
      <c r="U80" s="1037">
        <f t="shared" si="22"/>
        <v>0</v>
      </c>
      <c r="V80" s="1037">
        <f t="shared" si="22"/>
        <v>0</v>
      </c>
      <c r="X80" s="1043" t="str">
        <f t="shared" si="14"/>
        <v>압출 PCM</v>
      </c>
      <c r="Y80" s="1044">
        <f t="shared" si="20"/>
        <v>74</v>
      </c>
      <c r="Z80" s="1044" t="str">
        <f t="array" ref="Z80">IFERROR(INDEX($T$3:$T$373,MATCH(1,($X80=$R$3:$R$373)*($Y80=$S$3:$S$373),0))," ")</f>
        <v xml:space="preserve"> </v>
      </c>
      <c r="AA80" s="1044" t="str">
        <f t="array" ref="AA80">IFERROR(INDEX($U$3:$U$373,MATCH(1,($X80=$R$3:$R$373)*($Y80=$S$3:$S$373),0))," ")</f>
        <v xml:space="preserve"> </v>
      </c>
      <c r="AB80" s="1045" t="str">
        <f t="array" ref="AB80">IFERROR(INDEX($V$3:$V$373,MATCH(1,($X80=$R$3:$R$373)*($Y80=$S$3:$S$373),0))," ")</f>
        <v xml:space="preserve"> </v>
      </c>
    </row>
    <row r="81" spans="1:42" ht="15" customHeight="1" thickBot="1">
      <c r="A81" s="2302"/>
      <c r="B81" s="1190" t="s">
        <v>1089</v>
      </c>
      <c r="C81" s="1191" t="s">
        <v>2067</v>
      </c>
      <c r="D81" s="826" t="s">
        <v>27</v>
      </c>
      <c r="E81" s="1192" t="s">
        <v>1085</v>
      </c>
      <c r="F81" s="2114"/>
      <c r="G81" s="2039">
        <v>5540</v>
      </c>
      <c r="H81" s="793">
        <f>원자재매입내역!AL81</f>
        <v>6000</v>
      </c>
      <c r="I81" s="983">
        <f>G81*H81</f>
        <v>33240000</v>
      </c>
      <c r="J81" s="2118"/>
      <c r="K81" s="954"/>
      <c r="L81" s="869"/>
      <c r="R81" s="1035" t="s">
        <v>905</v>
      </c>
      <c r="S81" s="1038">
        <f>COUNTIF($R$3:R81,R81)</f>
        <v>17</v>
      </c>
      <c r="T81" s="1038" t="str">
        <f t="shared" si="18"/>
        <v>GM-B64EM</v>
      </c>
      <c r="U81" s="1037">
        <f t="shared" si="22"/>
        <v>6000</v>
      </c>
      <c r="V81" s="1037">
        <f t="shared" si="22"/>
        <v>33240000</v>
      </c>
      <c r="X81" s="1043" t="str">
        <f t="shared" si="14"/>
        <v>압출 PCM</v>
      </c>
      <c r="Y81" s="1044">
        <f t="shared" si="20"/>
        <v>75</v>
      </c>
      <c r="Z81" s="1044" t="str">
        <f t="array" ref="Z81">IFERROR(INDEX($T$3:$T$373,MATCH(1,($X81=$R$3:$R$373)*($Y81=$S$3:$S$373),0))," ")</f>
        <v xml:space="preserve"> </v>
      </c>
      <c r="AA81" s="1044" t="str">
        <f t="array" ref="AA81">IFERROR(INDEX($U$3:$U$373,MATCH(1,($X81=$R$3:$R$373)*($Y81=$S$3:$S$373),0))," ")</f>
        <v xml:space="preserve"> </v>
      </c>
      <c r="AB81" s="1045" t="str">
        <f t="array" ref="AB81">IFERROR(INDEX($V$3:$V$373,MATCH(1,($X81=$R$3:$R$373)*($Y81=$S$3:$S$373),0))," ")</f>
        <v xml:space="preserve"> </v>
      </c>
    </row>
    <row r="82" spans="1:42" ht="14.25" customHeight="1">
      <c r="A82" s="2115"/>
      <c r="B82" s="2054" t="str">
        <f>원자재매입내역!B84</f>
        <v>G2102-2012</v>
      </c>
      <c r="C82" s="1761" t="str">
        <f>원자재매입내역!C84</f>
        <v>NX4 G/RUN FRT A</v>
      </c>
      <c r="D82" s="1759">
        <v>1</v>
      </c>
      <c r="E82" s="1917"/>
      <c r="F82" s="2370" t="s">
        <v>2215</v>
      </c>
      <c r="G82" s="1918">
        <f>원자재매입내역!E84</f>
        <v>3725</v>
      </c>
      <c r="H82" s="707">
        <f>원자재매입내역!AL84</f>
        <v>31880</v>
      </c>
      <c r="I82" s="1830">
        <f>G82*H82</f>
        <v>118753000</v>
      </c>
      <c r="J82" s="2117">
        <f>SUM(I82:I90)</f>
        <v>331849800</v>
      </c>
      <c r="K82" s="2087">
        <v>266222040</v>
      </c>
      <c r="L82" s="868">
        <f>J82-K82</f>
        <v>65627760</v>
      </c>
      <c r="R82" s="1035" t="s">
        <v>2016</v>
      </c>
      <c r="S82" s="1038">
        <f>COUNTIF($R$3:R82,R82)</f>
        <v>8</v>
      </c>
      <c r="T82" s="1038" t="str">
        <f t="shared" si="18"/>
        <v>NX4 G/RUN FRT A</v>
      </c>
      <c r="U82" s="1037">
        <f t="shared" si="22"/>
        <v>31880</v>
      </c>
      <c r="V82" s="1037">
        <f t="shared" si="22"/>
        <v>118753000</v>
      </c>
      <c r="X82" s="1043" t="str">
        <f t="shared" si="14"/>
        <v>압출 PCM</v>
      </c>
      <c r="Y82" s="1044">
        <f t="shared" si="20"/>
        <v>76</v>
      </c>
      <c r="Z82" s="1044" t="str">
        <f t="array" ref="Z82">IFERROR(INDEX($T$3:$T$373,MATCH(1,($X82=$R$3:$R$373)*($Y82=$S$3:$S$373),0))," ")</f>
        <v xml:space="preserve"> </v>
      </c>
      <c r="AA82" s="1044" t="str">
        <f t="array" ref="AA82">IFERROR(INDEX($U$3:$U$373,MATCH(1,($X82=$R$3:$R$373)*($Y82=$S$3:$S$373),0))," ")</f>
        <v xml:space="preserve"> </v>
      </c>
      <c r="AB82" s="1045" t="str">
        <f t="array" ref="AB82">IFERROR(INDEX($V$3:$V$373,MATCH(1,($X82=$R$3:$R$373)*($Y82=$S$3:$S$373),0))," ")</f>
        <v xml:space="preserve"> </v>
      </c>
    </row>
    <row r="83" spans="1:42" ht="16.5" customHeight="1">
      <c r="A83" s="2115"/>
      <c r="B83" s="2055" t="str">
        <f>원자재매입내역!B85</f>
        <v>G2102-2013</v>
      </c>
      <c r="C83" s="1754" t="str">
        <f>원자재매입내역!C85</f>
        <v>NX4 G/RUN FRT B</v>
      </c>
      <c r="D83" s="1755">
        <v>2</v>
      </c>
      <c r="E83" s="1897"/>
      <c r="F83" s="2290"/>
      <c r="G83" s="1760">
        <f>원자재매입내역!E85</f>
        <v>4468</v>
      </c>
      <c r="H83" s="703">
        <f>원자재매입내역!AL85</f>
        <v>22620</v>
      </c>
      <c r="I83" s="979">
        <f t="shared" ref="I83:I95" si="24">G83*H83</f>
        <v>101066160</v>
      </c>
      <c r="J83" s="2118"/>
      <c r="K83" s="2088"/>
      <c r="L83" s="869"/>
      <c r="R83" s="1035" t="s">
        <v>2016</v>
      </c>
      <c r="S83" s="1038">
        <f>COUNTIF($R$3:R83,R83)</f>
        <v>9</v>
      </c>
      <c r="T83" s="1038" t="str">
        <f t="shared" si="18"/>
        <v>NX4 G/RUN FRT B</v>
      </c>
      <c r="U83" s="1037">
        <f t="shared" si="22"/>
        <v>22620</v>
      </c>
      <c r="V83" s="1037">
        <f t="shared" si="22"/>
        <v>101066160</v>
      </c>
      <c r="X83" s="1043" t="str">
        <f t="shared" si="14"/>
        <v>압출 PCM</v>
      </c>
      <c r="Y83" s="1044">
        <f t="shared" si="20"/>
        <v>77</v>
      </c>
      <c r="Z83" s="1044" t="str">
        <f t="array" ref="Z83">IFERROR(INDEX($T$3:$T$373,MATCH(1,($X83=$R$3:$R$373)*($Y83=$S$3:$S$373),0))," ")</f>
        <v xml:space="preserve"> </v>
      </c>
      <c r="AA83" s="1044" t="str">
        <f t="array" ref="AA83">IFERROR(INDEX($U$3:$U$373,MATCH(1,($X83=$R$3:$R$373)*($Y83=$S$3:$S$373),0))," ")</f>
        <v xml:space="preserve"> </v>
      </c>
      <c r="AB83" s="1045" t="str">
        <f t="array" ref="AB83">IFERROR(INDEX($V$3:$V$373,MATCH(1,($X83=$R$3:$R$373)*($Y83=$S$3:$S$373),0))," ")</f>
        <v xml:space="preserve"> </v>
      </c>
    </row>
    <row r="84" spans="1:42" ht="16.5" customHeight="1">
      <c r="A84" s="2115"/>
      <c r="B84" s="2055" t="str">
        <f>원자재매입내역!B86</f>
        <v>G2102-2014</v>
      </c>
      <c r="C84" s="1754" t="str">
        <f>원자재매입내역!C86</f>
        <v>NX4 G/RUN FRT C</v>
      </c>
      <c r="D84" s="1755">
        <v>3</v>
      </c>
      <c r="E84" s="1897"/>
      <c r="F84" s="2290"/>
      <c r="G84" s="1760">
        <f>원자재매입내역!E86</f>
        <v>2178</v>
      </c>
      <c r="H84" s="703">
        <f>원자재매입내역!AL86</f>
        <v>24500</v>
      </c>
      <c r="I84" s="979">
        <f t="shared" si="24"/>
        <v>53361000</v>
      </c>
      <c r="J84" s="2118"/>
      <c r="K84" s="2088"/>
      <c r="L84" s="869"/>
      <c r="R84" s="1035" t="s">
        <v>2016</v>
      </c>
      <c r="S84" s="1038">
        <f>COUNTIF($R$3:R84,R84)</f>
        <v>10</v>
      </c>
      <c r="T84" s="1038" t="str">
        <f t="shared" si="18"/>
        <v>NX4 G/RUN FRT C</v>
      </c>
      <c r="U84" s="1037">
        <f t="shared" si="22"/>
        <v>24500</v>
      </c>
      <c r="V84" s="1037">
        <f t="shared" si="22"/>
        <v>53361000</v>
      </c>
      <c r="X84" s="1043" t="str">
        <f t="shared" si="14"/>
        <v>압출 PCM</v>
      </c>
      <c r="Y84" s="1044">
        <f t="shared" si="20"/>
        <v>78</v>
      </c>
      <c r="Z84" s="1044" t="str">
        <f t="array" ref="Z84">IFERROR(INDEX($T$3:$T$373,MATCH(1,($X84=$R$3:$R$373)*($Y84=$S$3:$S$373),0))," ")</f>
        <v xml:space="preserve"> </v>
      </c>
      <c r="AA84" s="1044" t="str">
        <f t="array" ref="AA84">IFERROR(INDEX($U$3:$U$373,MATCH(1,($X84=$R$3:$R$373)*($Y84=$S$3:$S$373),0))," ")</f>
        <v xml:space="preserve"> </v>
      </c>
      <c r="AB84" s="1045" t="str">
        <f t="array" ref="AB84">IFERROR(INDEX($V$3:$V$373,MATCH(1,($X84=$R$3:$R$373)*($Y84=$S$3:$S$373),0))," ")</f>
        <v xml:space="preserve"> </v>
      </c>
    </row>
    <row r="85" spans="1:42" ht="16.5" customHeight="1">
      <c r="A85" s="2115"/>
      <c r="B85" s="2055" t="str">
        <f>원자재매입내역!B87</f>
        <v>G2110-0097</v>
      </c>
      <c r="C85" s="1754" t="str">
        <f>원자재매입내역!C87</f>
        <v>DT HOOD SEAL FRT "A"</v>
      </c>
      <c r="D85" s="1755">
        <v>4</v>
      </c>
      <c r="E85" s="1897"/>
      <c r="F85" s="2290"/>
      <c r="G85" s="1760">
        <f>원자재매입내역!E87</f>
        <v>1516</v>
      </c>
      <c r="H85" s="703">
        <f>원자재매입내역!AL87</f>
        <v>13690</v>
      </c>
      <c r="I85" s="979">
        <f t="shared" si="24"/>
        <v>20754040</v>
      </c>
      <c r="J85" s="2118"/>
      <c r="K85" s="2088"/>
      <c r="L85" s="869"/>
      <c r="S85" s="1038"/>
      <c r="T85" s="1038"/>
      <c r="U85" s="1037"/>
      <c r="V85" s="1037"/>
      <c r="X85" s="1043"/>
      <c r="Y85" s="1044"/>
      <c r="Z85" s="1044"/>
      <c r="AA85" s="1044"/>
      <c r="AB85" s="1045"/>
    </row>
    <row r="86" spans="1:42" ht="16.5" customHeight="1">
      <c r="A86" s="2115"/>
      <c r="B86" s="2055" t="str">
        <f>원자재매입내역!B88</f>
        <v>G2110-0098</v>
      </c>
      <c r="C86" s="1754" t="str">
        <f>원자재매입내역!C88</f>
        <v>DT HOOD SEAL FRT "B"</v>
      </c>
      <c r="D86" s="1755">
        <v>5</v>
      </c>
      <c r="E86" s="1897"/>
      <c r="F86" s="2290"/>
      <c r="G86" s="1760">
        <f>원자재매입내역!E88</f>
        <v>1064</v>
      </c>
      <c r="H86" s="703">
        <f>원자재매입내역!AL88</f>
        <v>7980</v>
      </c>
      <c r="I86" s="979">
        <f t="shared" si="24"/>
        <v>8490720</v>
      </c>
      <c r="J86" s="2118"/>
      <c r="K86" s="2088"/>
      <c r="L86" s="869"/>
      <c r="S86" s="1038"/>
      <c r="T86" s="1038"/>
      <c r="U86" s="1037"/>
      <c r="V86" s="1037"/>
      <c r="X86" s="1043"/>
      <c r="Y86" s="1044"/>
      <c r="Z86" s="1044"/>
      <c r="AA86" s="1044"/>
      <c r="AB86" s="1045"/>
    </row>
    <row r="87" spans="1:42" ht="16.5" customHeight="1">
      <c r="A87" s="2115"/>
      <c r="B87" s="2055" t="str">
        <f>원자재매입내역!B89</f>
        <v>F2144-0032</v>
      </c>
      <c r="C87" s="1754" t="str">
        <f>원자재매입내역!C89</f>
        <v>CE1 B parting seal RR SECT</v>
      </c>
      <c r="D87" s="1755">
        <v>6</v>
      </c>
      <c r="E87" s="1897"/>
      <c r="F87" s="2290"/>
      <c r="G87" s="1760">
        <f>원자재매입내역!E89</f>
        <v>349</v>
      </c>
      <c r="H87" s="703">
        <f>원자재매입내역!AL89</f>
        <v>2000</v>
      </c>
      <c r="I87" s="979">
        <f t="shared" ref="I87" si="25">G87*H87</f>
        <v>698000</v>
      </c>
      <c r="J87" s="2118"/>
      <c r="K87" s="2088"/>
      <c r="L87" s="869"/>
      <c r="R87" s="1035" t="s">
        <v>2016</v>
      </c>
      <c r="S87" s="1038">
        <f>COUNTIF($R$3:R87,R87)</f>
        <v>11</v>
      </c>
      <c r="T87" s="1038" t="str">
        <f>C87</f>
        <v>CE1 B parting seal RR SECT</v>
      </c>
      <c r="U87" s="1037">
        <f t="shared" ref="U87:V87" si="26">H87</f>
        <v>2000</v>
      </c>
      <c r="V87" s="1037">
        <f t="shared" si="26"/>
        <v>698000</v>
      </c>
      <c r="X87" s="1043" t="str">
        <f t="shared" si="14"/>
        <v>압출 PCM</v>
      </c>
      <c r="Y87" s="1044">
        <f t="shared" si="20"/>
        <v>81</v>
      </c>
      <c r="Z87" s="1044" t="str">
        <f t="array" ref="Z87">IFERROR(INDEX($T$3:$T$373,MATCH(1,($X87=$R$3:$R$373)*($Y87=$S$3:$S$373),0))," ")</f>
        <v xml:space="preserve"> </v>
      </c>
      <c r="AA87" s="1044" t="str">
        <f t="array" ref="AA87">IFERROR(INDEX($U$3:$U$373,MATCH(1,($X87=$R$3:$R$373)*($Y87=$S$3:$S$373),0))," ")</f>
        <v xml:space="preserve"> </v>
      </c>
      <c r="AB87" s="1045" t="str">
        <f t="array" ref="AB87">IFERROR(INDEX($V$3:$V$373,MATCH(1,($X87=$R$3:$R$373)*($Y87=$S$3:$S$373),0))," ")</f>
        <v xml:space="preserve"> </v>
      </c>
    </row>
    <row r="88" spans="1:42" ht="16.5" customHeight="1">
      <c r="A88" s="2115"/>
      <c r="B88" s="2055" t="str">
        <f>원자재매입내역!B90</f>
        <v>G1103-0683</v>
      </c>
      <c r="C88" s="1754" t="str">
        <f>원자재매입내역!C90</f>
        <v xml:space="preserve">FS D/SIDE FRT A </v>
      </c>
      <c r="D88" s="1755">
        <v>7</v>
      </c>
      <c r="E88" s="1897"/>
      <c r="F88" s="2290"/>
      <c r="G88" s="1760">
        <f>원자재매입내역!E90</f>
        <v>1036</v>
      </c>
      <c r="H88" s="703">
        <f>원자재매입내역!AL101</f>
        <v>0</v>
      </c>
      <c r="I88" s="979">
        <f>G88*H88</f>
        <v>0</v>
      </c>
      <c r="J88" s="2118"/>
      <c r="K88" s="2088"/>
      <c r="L88" s="869"/>
      <c r="R88" s="1035" t="s">
        <v>2016</v>
      </c>
      <c r="S88" s="1038">
        <f>COUNTIF($R$3:R111,R88)</f>
        <v>21</v>
      </c>
      <c r="T88" s="1038" t="str">
        <f>C88</f>
        <v xml:space="preserve">FS D/SIDE FRT A </v>
      </c>
      <c r="U88" s="1037">
        <f>H88</f>
        <v>0</v>
      </c>
      <c r="V88" s="1037">
        <f>I88</f>
        <v>0</v>
      </c>
      <c r="X88" s="1043" t="str">
        <f t="shared" si="14"/>
        <v>압출 PCM</v>
      </c>
      <c r="Y88" s="1044">
        <f t="shared" si="20"/>
        <v>82</v>
      </c>
      <c r="Z88" s="1044" t="str">
        <f t="array" ref="Z88">IFERROR(INDEX($T$3:$T$373,MATCH(1,($X88=$R$3:$R$373)*($Y88=$S$3:$S$373),0))," ")</f>
        <v xml:space="preserve"> </v>
      </c>
      <c r="AA88" s="1044" t="str">
        <f t="array" ref="AA88">IFERROR(INDEX($U$3:$U$373,MATCH(1,($X88=$R$3:$R$373)*($Y88=$S$3:$S$373),0))," ")</f>
        <v xml:space="preserve"> </v>
      </c>
      <c r="AB88" s="1045" t="str">
        <f t="array" ref="AB88">IFERROR(INDEX($V$3:$V$373,MATCH(1,($X88=$R$3:$R$373)*($Y88=$S$3:$S$373),0))," ")</f>
        <v xml:space="preserve"> </v>
      </c>
    </row>
    <row r="89" spans="1:42" ht="16.5" customHeight="1">
      <c r="A89" s="2115"/>
      <c r="B89" s="2055" t="str">
        <f>원자재매입내역!B101</f>
        <v>F2109-0143</v>
      </c>
      <c r="C89" s="1754" t="str">
        <f>원자재매입내역!C101</f>
        <v>P417 BODY UPR SEAL</v>
      </c>
      <c r="D89" s="1755">
        <v>8</v>
      </c>
      <c r="E89" s="1897"/>
      <c r="F89" s="2290"/>
      <c r="G89" s="1760">
        <f>원자재매입내역!E101</f>
        <v>3729</v>
      </c>
      <c r="H89" s="703">
        <f>원자재매입내역!AL101</f>
        <v>0</v>
      </c>
      <c r="I89" s="979">
        <f>G89*H89</f>
        <v>0</v>
      </c>
      <c r="J89" s="2118"/>
      <c r="K89" s="2088"/>
      <c r="L89" s="869"/>
      <c r="S89" s="1038"/>
      <c r="T89" s="1038"/>
      <c r="U89" s="1037"/>
      <c r="V89" s="1037"/>
      <c r="X89" s="1043"/>
      <c r="Y89" s="1044"/>
      <c r="Z89" s="1044"/>
      <c r="AA89" s="1044"/>
      <c r="AB89" s="1045"/>
    </row>
    <row r="90" spans="1:42" ht="16.5" customHeight="1" thickBot="1">
      <c r="A90" s="2115"/>
      <c r="B90" s="2056" t="str">
        <f>원자재매입내역!B91</f>
        <v>G2103-0614</v>
      </c>
      <c r="C90" s="1756" t="str">
        <f>원자재매입내역!C91</f>
        <v>DS DR SIDE SECT D, HALF RR (475mm)</v>
      </c>
      <c r="D90" s="1757">
        <v>9</v>
      </c>
      <c r="E90" s="1898"/>
      <c r="F90" s="2290"/>
      <c r="G90" s="1884">
        <f>원자재매입내역!E91</f>
        <v>869</v>
      </c>
      <c r="H90" s="1541" t="s">
        <v>2269</v>
      </c>
      <c r="I90" s="2061">
        <v>28726880</v>
      </c>
      <c r="J90" s="2151"/>
      <c r="K90" s="2089"/>
      <c r="L90" s="869"/>
      <c r="M90" s="235" t="s">
        <v>2224</v>
      </c>
      <c r="S90" s="1038"/>
      <c r="T90" s="1038"/>
      <c r="U90" s="1037"/>
      <c r="V90" s="1037"/>
      <c r="X90" s="1043"/>
      <c r="Y90" s="1044"/>
      <c r="Z90" s="1044"/>
      <c r="AA90" s="1044"/>
      <c r="AB90" s="1045"/>
    </row>
    <row r="91" spans="1:42" ht="16.5" customHeight="1">
      <c r="A91" s="2115"/>
      <c r="B91" s="2059" t="str">
        <f>원자재매입내역!B102</f>
        <v>G2103-2396</v>
      </c>
      <c r="C91" s="2058" t="str">
        <f>원자재매입내역!C102</f>
        <v xml:space="preserve">NE1a Door Side FR  "A" </v>
      </c>
      <c r="D91" s="1896">
        <v>1</v>
      </c>
      <c r="E91" s="2207"/>
      <c r="F91" s="2212"/>
      <c r="G91" s="2210">
        <f>원자재매입내역!E102</f>
        <v>1536</v>
      </c>
      <c r="H91" s="708">
        <f>원자재매입내역!AL102</f>
        <v>0</v>
      </c>
      <c r="I91" s="978">
        <f>G91*H91</f>
        <v>0</v>
      </c>
      <c r="J91" s="2117">
        <f>SUM(I91:I111)</f>
        <v>285970943</v>
      </c>
      <c r="K91" s="2087">
        <v>244320727</v>
      </c>
      <c r="L91" s="868">
        <f>J91-K91</f>
        <v>41650216</v>
      </c>
      <c r="M91" s="253">
        <f>J82+J91</f>
        <v>617820743</v>
      </c>
      <c r="S91" s="1038"/>
      <c r="T91" s="1038"/>
      <c r="U91" s="1037"/>
      <c r="V91" s="1037"/>
      <c r="X91" s="1043"/>
      <c r="Y91" s="1044"/>
      <c r="Z91" s="1044"/>
      <c r="AA91" s="1044"/>
      <c r="AB91" s="1045"/>
    </row>
    <row r="92" spans="1:42" ht="16.5" customHeight="1">
      <c r="A92" s="2115"/>
      <c r="B92" s="2055" t="str">
        <f>원자재매입내역!B103</f>
        <v>G2103-2398</v>
      </c>
      <c r="C92" s="1754" t="str">
        <f>원자재매입내역!C103</f>
        <v xml:space="preserve">NE1a Door Side RR  "A" </v>
      </c>
      <c r="D92" s="1755">
        <v>2</v>
      </c>
      <c r="E92" s="2205"/>
      <c r="F92" s="2163"/>
      <c r="G92" s="2208">
        <f>원자재매입내역!E103</f>
        <v>909</v>
      </c>
      <c r="H92" s="703">
        <f>원자재매입내역!AL103</f>
        <v>0</v>
      </c>
      <c r="I92" s="979">
        <f>G92*H92</f>
        <v>0</v>
      </c>
      <c r="J92" s="2118"/>
      <c r="K92" s="2088"/>
      <c r="L92" s="869"/>
      <c r="S92" s="1038"/>
      <c r="T92" s="1038"/>
      <c r="U92" s="1037"/>
      <c r="V92" s="1037"/>
      <c r="X92" s="1043"/>
      <c r="Y92" s="1044"/>
      <c r="Z92" s="1044"/>
      <c r="AA92" s="1044"/>
      <c r="AB92" s="1045"/>
    </row>
    <row r="93" spans="1:42" ht="15" customHeight="1">
      <c r="A93" s="2115"/>
      <c r="B93" s="2055" t="str">
        <f>원자재매입내역!B104</f>
        <v>G2103-2405</v>
      </c>
      <c r="C93" s="1754" t="str">
        <f>원자재매입내역!C104</f>
        <v>NE1a Door Side RR SECT  "C"</v>
      </c>
      <c r="D93" s="1755">
        <v>3</v>
      </c>
      <c r="E93" s="2211"/>
      <c r="F93" s="2163"/>
      <c r="G93" s="2208">
        <f>원자재매입내역!E104</f>
        <v>272</v>
      </c>
      <c r="H93" s="703">
        <f>원자재매입내역!AL104</f>
        <v>0</v>
      </c>
      <c r="I93" s="979">
        <f>G93*H93</f>
        <v>0</v>
      </c>
      <c r="J93" s="2118"/>
      <c r="K93" s="2088"/>
      <c r="L93" s="869"/>
      <c r="M93" s="253"/>
      <c r="R93" s="1035" t="s">
        <v>2016</v>
      </c>
      <c r="S93" s="1038">
        <f>COUNTIF($R$3:R93,R93)</f>
        <v>13</v>
      </c>
      <c r="T93" s="1038" t="str">
        <f>C93</f>
        <v>NE1a Door Side RR SECT  "C"</v>
      </c>
      <c r="U93" s="1037">
        <f>H93</f>
        <v>0</v>
      </c>
      <c r="V93" s="1037">
        <f>I93</f>
        <v>0</v>
      </c>
      <c r="X93" s="1043" t="str">
        <f t="shared" si="14"/>
        <v>압출 PCM</v>
      </c>
      <c r="Y93" s="1044">
        <f t="shared" si="20"/>
        <v>87</v>
      </c>
      <c r="Z93" s="1044" t="str">
        <f t="array" ref="Z93">IFERROR(INDEX($T$3:$T$373,MATCH(1,($X93=$R$3:$R$373)*($Y93=$S$3:$S$373),0))," ")</f>
        <v xml:space="preserve"> </v>
      </c>
      <c r="AA93" s="1044" t="str">
        <f t="array" ref="AA93">IFERROR(INDEX($U$3:$U$373,MATCH(1,($X93=$R$3:$R$373)*($Y93=$S$3:$S$373),0))," ")</f>
        <v xml:space="preserve"> </v>
      </c>
      <c r="AB93" s="1045" t="str">
        <f t="array" ref="AB93">IFERROR(INDEX($V$3:$V$373,MATCH(1,($X93=$R$3:$R$373)*($Y93=$S$3:$S$373),0))," ")</f>
        <v xml:space="preserve"> </v>
      </c>
      <c r="AO93" s="1661"/>
      <c r="AP93" s="1661"/>
    </row>
    <row r="94" spans="1:42" ht="15" customHeight="1" thickBot="1">
      <c r="A94" s="2115"/>
      <c r="B94" s="2056" t="str">
        <f>원자재매입내역!B105</f>
        <v>G2103-2407</v>
      </c>
      <c r="C94" s="1756" t="str">
        <f>원자재매입내역!C105</f>
        <v>NE1a Door Side RR SECT  "D"</v>
      </c>
      <c r="D94" s="1757">
        <v>4</v>
      </c>
      <c r="E94" s="2206"/>
      <c r="F94" s="2163"/>
      <c r="G94" s="2209">
        <f>원자재매입내역!E105</f>
        <v>387</v>
      </c>
      <c r="H94" s="709" t="s">
        <v>2271</v>
      </c>
      <c r="I94" s="1829"/>
      <c r="J94" s="2118"/>
      <c r="K94" s="2088"/>
      <c r="L94" s="869"/>
      <c r="M94" s="253"/>
      <c r="R94" s="1035" t="s">
        <v>2016</v>
      </c>
      <c r="S94" s="1038">
        <f>COUNTIF($R$3:R111,R94)</f>
        <v>21</v>
      </c>
      <c r="T94" s="1038" t="str">
        <f>C94</f>
        <v>NE1a Door Side RR SECT  "D"</v>
      </c>
      <c r="U94" s="1037" t="str">
        <f>H94</f>
        <v>4월이월수량포함</v>
      </c>
      <c r="V94" s="1037">
        <f>I94</f>
        <v>0</v>
      </c>
      <c r="X94" s="1043" t="str">
        <f t="shared" si="14"/>
        <v>압출 PCM</v>
      </c>
      <c r="Y94" s="1044">
        <f t="shared" si="20"/>
        <v>88</v>
      </c>
      <c r="Z94" s="1044" t="str">
        <f t="array" ref="Z94">IFERROR(INDEX($T$3:$T$373,MATCH(1,($X94=$R$3:$R$373)*($Y94=$S$3:$S$373),0))," ")</f>
        <v xml:space="preserve"> </v>
      </c>
      <c r="AA94" s="1044" t="str">
        <f t="array" ref="AA94">IFERROR(INDEX($U$3:$U$373,MATCH(1,($X94=$R$3:$R$373)*($Y94=$S$3:$S$373),0))," ")</f>
        <v xml:space="preserve"> </v>
      </c>
      <c r="AB94" s="1045" t="str">
        <f t="array" ref="AB94">IFERROR(INDEX($V$3:$V$373,MATCH(1,($X94=$R$3:$R$373)*($Y94=$S$3:$S$373),0))," ")</f>
        <v xml:space="preserve"> </v>
      </c>
      <c r="AO94" s="1661"/>
      <c r="AP94" s="1661"/>
    </row>
    <row r="95" spans="1:42" ht="15" customHeight="1">
      <c r="A95" s="2115"/>
      <c r="B95" s="2059" t="str">
        <f>원자재매입내역!B106</f>
        <v>F2103-0814-01</v>
      </c>
      <c r="C95" s="2058" t="str">
        <f>원자재매입내역!C106</f>
        <v>DS D/SIDE RR B LH(CREW)</v>
      </c>
      <c r="D95" s="1896">
        <v>5</v>
      </c>
      <c r="E95" s="2207"/>
      <c r="F95" s="2289" t="s">
        <v>2214</v>
      </c>
      <c r="G95" s="2210">
        <f>원자재매입내역!E106</f>
        <v>1425</v>
      </c>
      <c r="H95" s="708">
        <f>원자재매입내역!AL106</f>
        <v>21545</v>
      </c>
      <c r="I95" s="2060">
        <f t="shared" si="24"/>
        <v>30701625</v>
      </c>
      <c r="J95" s="2118"/>
      <c r="K95" s="2088"/>
      <c r="L95" s="869"/>
      <c r="M95" s="253"/>
      <c r="R95" s="1035" t="s">
        <v>2016</v>
      </c>
      <c r="S95" s="1038">
        <f>COUNTIF($R$3:R95,R95)</f>
        <v>15</v>
      </c>
      <c r="T95" s="1038" t="str">
        <f t="shared" ref="T95:T165" si="27">C95</f>
        <v>DS D/SIDE RR B LH(CREW)</v>
      </c>
      <c r="U95" s="1037">
        <f t="shared" ref="U95:V127" si="28">H95</f>
        <v>21545</v>
      </c>
      <c r="V95" s="1037">
        <f t="shared" si="28"/>
        <v>30701625</v>
      </c>
      <c r="X95" s="1043" t="str">
        <f t="shared" si="14"/>
        <v>압출 PCM</v>
      </c>
      <c r="Y95" s="1044">
        <f t="shared" si="20"/>
        <v>89</v>
      </c>
      <c r="Z95" s="1044" t="str">
        <f t="array" ref="Z95">IFERROR(INDEX($T$3:$T$373,MATCH(1,($X95=$R$3:$R$373)*($Y95=$S$3:$S$373),0))," ")</f>
        <v xml:space="preserve"> </v>
      </c>
      <c r="AA95" s="1044" t="str">
        <f t="array" ref="AA95">IFERROR(INDEX($U$3:$U$373,MATCH(1,($X95=$R$3:$R$373)*($Y95=$S$3:$S$373),0))," ")</f>
        <v xml:space="preserve"> </v>
      </c>
      <c r="AB95" s="1045" t="str">
        <f t="array" ref="AB95">IFERROR(INDEX($V$3:$V$373,MATCH(1,($X95=$R$3:$R$373)*($Y95=$S$3:$S$373),0))," ")</f>
        <v xml:space="preserve"> </v>
      </c>
      <c r="AO95" s="1661"/>
      <c r="AP95" s="1661"/>
    </row>
    <row r="96" spans="1:42" ht="15" customHeight="1">
      <c r="A96" s="2115"/>
      <c r="B96" s="2055" t="str">
        <f>원자재매입내역!B107</f>
        <v>F2103-0813-01</v>
      </c>
      <c r="C96" s="1754" t="str">
        <f>원자재매입내역!C107</f>
        <v>DS D/SIDE RR B RH(CREW)</v>
      </c>
      <c r="D96" s="1755">
        <v>6</v>
      </c>
      <c r="E96" s="2205"/>
      <c r="F96" s="2290"/>
      <c r="G96" s="2208">
        <f>원자재매입내역!E107</f>
        <v>1425</v>
      </c>
      <c r="H96" s="703">
        <f>원자재매입내역!AL107</f>
        <v>21258</v>
      </c>
      <c r="I96" s="1831">
        <f>G96*H96</f>
        <v>30292650</v>
      </c>
      <c r="J96" s="2118"/>
      <c r="K96" s="2088"/>
      <c r="L96" s="869"/>
      <c r="M96" s="253"/>
      <c r="R96" s="1035" t="s">
        <v>2016</v>
      </c>
      <c r="S96" s="1038">
        <f>COUNTIF($R$3:R102,R96)</f>
        <v>16</v>
      </c>
      <c r="T96" s="1038" t="str">
        <f>C96</f>
        <v>DS D/SIDE RR B RH(CREW)</v>
      </c>
      <c r="U96" s="1037">
        <f>H96</f>
        <v>21258</v>
      </c>
      <c r="V96" s="1037">
        <f>I96</f>
        <v>30292650</v>
      </c>
      <c r="X96" s="1043" t="str">
        <f t="shared" si="14"/>
        <v>압출 PCM</v>
      </c>
      <c r="Y96" s="1044">
        <f t="shared" si="20"/>
        <v>90</v>
      </c>
      <c r="Z96" s="1044" t="str">
        <f t="array" ref="Z96">IFERROR(INDEX($T$3:$T$373,MATCH(1,($X96=$R$3:$R$373)*($Y96=$S$3:$S$373),0))," ")</f>
        <v xml:space="preserve"> </v>
      </c>
      <c r="AA96" s="1044" t="str">
        <f t="array" ref="AA96">IFERROR(INDEX($U$3:$U$373,MATCH(1,($X96=$R$3:$R$373)*($Y96=$S$3:$S$373),0))," ")</f>
        <v xml:space="preserve"> </v>
      </c>
      <c r="AB96" s="1045" t="str">
        <f t="array" ref="AB96">IFERROR(INDEX($V$3:$V$373,MATCH(1,($X96=$R$3:$R$373)*($Y96=$S$3:$S$373),0))," ")</f>
        <v xml:space="preserve"> </v>
      </c>
      <c r="AO96" s="1661"/>
      <c r="AP96" s="1661"/>
    </row>
    <row r="97" spans="1:42" ht="15" customHeight="1">
      <c r="A97" s="2115"/>
      <c r="B97" s="2055" t="str">
        <f>원자재매입내역!B108</f>
        <v>F2103-0818</v>
      </c>
      <c r="C97" s="1754" t="str">
        <f>원자재매입내역!C108</f>
        <v>DS D/SIDE FRT B LH(CREW)</v>
      </c>
      <c r="D97" s="1755">
        <v>7</v>
      </c>
      <c r="E97" s="2205"/>
      <c r="F97" s="2290"/>
      <c r="G97" s="2208">
        <f>원자재매입내역!E108</f>
        <v>1908</v>
      </c>
      <c r="H97" s="703">
        <f>원자재매입내역!AL108</f>
        <v>2240</v>
      </c>
      <c r="I97" s="1831">
        <f t="shared" ref="I97:I102" si="29">G97*H97</f>
        <v>4273920</v>
      </c>
      <c r="J97" s="2118"/>
      <c r="K97" s="2088"/>
      <c r="L97" s="869"/>
      <c r="M97" s="253"/>
      <c r="S97" s="1038"/>
      <c r="T97" s="1038"/>
      <c r="U97" s="1037"/>
      <c r="V97" s="1037"/>
      <c r="X97" s="1043"/>
      <c r="Y97" s="1044"/>
      <c r="Z97" s="1044"/>
      <c r="AA97" s="1044"/>
      <c r="AB97" s="1045"/>
      <c r="AO97" s="1661"/>
      <c r="AP97" s="1661"/>
    </row>
    <row r="98" spans="1:42" ht="15" customHeight="1">
      <c r="A98" s="2115"/>
      <c r="B98" s="2055" t="str">
        <f>원자재매입내역!B109</f>
        <v>F2103-0817</v>
      </c>
      <c r="C98" s="1754" t="str">
        <f>원자재매입내역!C109</f>
        <v>DS D/SIDE FRT B RH(CREW)</v>
      </c>
      <c r="D98" s="1755">
        <v>8</v>
      </c>
      <c r="E98" s="2205"/>
      <c r="F98" s="2290"/>
      <c r="G98" s="2208">
        <f>원자재매입내역!E109</f>
        <v>1908</v>
      </c>
      <c r="H98" s="703">
        <f>원자재매입내역!AL109</f>
        <v>2360</v>
      </c>
      <c r="I98" s="1831">
        <f t="shared" si="29"/>
        <v>4502880</v>
      </c>
      <c r="J98" s="2118"/>
      <c r="K98" s="2088"/>
      <c r="L98" s="869"/>
      <c r="M98" s="253"/>
      <c r="S98" s="1038"/>
      <c r="T98" s="1038"/>
      <c r="U98" s="1037"/>
      <c r="V98" s="1037"/>
      <c r="X98" s="1043"/>
      <c r="Y98" s="1044"/>
      <c r="Z98" s="1044"/>
      <c r="AA98" s="1044"/>
      <c r="AB98" s="1045"/>
      <c r="AO98" s="1661"/>
      <c r="AP98" s="1661"/>
    </row>
    <row r="99" spans="1:42" ht="15" customHeight="1">
      <c r="A99" s="2115"/>
      <c r="B99" s="2055" t="str">
        <f>원자재매입내역!B110</f>
        <v>F2103-2400</v>
      </c>
      <c r="C99" s="1754" t="str">
        <f>원자재매입내역!C110</f>
        <v>NE1a Door Side FR LH SECT "B" 클립머신</v>
      </c>
      <c r="D99" s="1755">
        <v>9</v>
      </c>
      <c r="E99" s="2205"/>
      <c r="F99" s="2290"/>
      <c r="G99" s="2208">
        <f>원자재매입내역!E110</f>
        <v>1719</v>
      </c>
      <c r="H99" s="703">
        <f>원자재매입내역!AL110</f>
        <v>3440</v>
      </c>
      <c r="I99" s="1831">
        <f t="shared" si="29"/>
        <v>5913360</v>
      </c>
      <c r="J99" s="2118"/>
      <c r="K99" s="2088"/>
      <c r="L99" s="869"/>
      <c r="M99" s="253"/>
      <c r="S99" s="1038"/>
      <c r="T99" s="1038"/>
      <c r="U99" s="1037"/>
      <c r="V99" s="1037"/>
      <c r="X99" s="1043"/>
      <c r="Y99" s="1044"/>
      <c r="Z99" s="1044"/>
      <c r="AA99" s="1044"/>
      <c r="AB99" s="1045"/>
      <c r="AO99" s="1661"/>
      <c r="AP99" s="1661"/>
    </row>
    <row r="100" spans="1:42" ht="15" customHeight="1">
      <c r="A100" s="2115"/>
      <c r="B100" s="2055" t="str">
        <f>원자재매입내역!B111</f>
        <v>F2103-2402</v>
      </c>
      <c r="C100" s="1754" t="str">
        <f>원자재매입내역!C111</f>
        <v>NE1a Door Side FR RH SECT "B"클립머신</v>
      </c>
      <c r="D100" s="1755">
        <v>10</v>
      </c>
      <c r="E100" s="2205"/>
      <c r="F100" s="2290"/>
      <c r="G100" s="2208">
        <f>원자재매입내역!E111</f>
        <v>1719</v>
      </c>
      <c r="H100" s="703">
        <f>원자재매입내역!AL111</f>
        <v>3540</v>
      </c>
      <c r="I100" s="1831">
        <f t="shared" si="29"/>
        <v>6085260</v>
      </c>
      <c r="J100" s="2118"/>
      <c r="K100" s="2088"/>
      <c r="L100" s="869"/>
      <c r="M100" s="253"/>
      <c r="S100" s="1038"/>
      <c r="T100" s="1038"/>
      <c r="U100" s="1037"/>
      <c r="V100" s="1037"/>
      <c r="X100" s="1043"/>
      <c r="Y100" s="1044"/>
      <c r="Z100" s="1044"/>
      <c r="AA100" s="1044"/>
      <c r="AB100" s="1045"/>
      <c r="AO100" s="1661"/>
      <c r="AP100" s="1661"/>
    </row>
    <row r="101" spans="1:42" ht="15" customHeight="1">
      <c r="A101" s="2115"/>
      <c r="B101" s="2055" t="str">
        <f>원자재매입내역!B112</f>
        <v>F2103-2403</v>
      </c>
      <c r="C101" s="1754" t="str">
        <f>원자재매입내역!C112</f>
        <v>NE1a Door Side RR LH SECT "B"클립머신</v>
      </c>
      <c r="D101" s="1755">
        <v>11</v>
      </c>
      <c r="E101" s="2205"/>
      <c r="F101" s="2290"/>
      <c r="G101" s="2208">
        <f>원자재매입내역!E112</f>
        <v>1988</v>
      </c>
      <c r="H101" s="703">
        <f>원자재매입내역!AL112</f>
        <v>2880</v>
      </c>
      <c r="I101" s="1831">
        <f t="shared" si="29"/>
        <v>5725440</v>
      </c>
      <c r="J101" s="2118"/>
      <c r="K101" s="2088"/>
      <c r="L101" s="869"/>
      <c r="M101" s="253"/>
      <c r="S101" s="1038"/>
      <c r="T101" s="1038"/>
      <c r="U101" s="1037"/>
      <c r="V101" s="1037"/>
      <c r="X101" s="1043"/>
      <c r="Y101" s="1044"/>
      <c r="Z101" s="1044"/>
      <c r="AA101" s="1044"/>
      <c r="AB101" s="1045"/>
      <c r="AO101" s="1661"/>
      <c r="AP101" s="1661"/>
    </row>
    <row r="102" spans="1:42" ht="15" customHeight="1" thickBot="1">
      <c r="A102" s="2115"/>
      <c r="B102" s="2056" t="str">
        <f>원자재매입내역!B113</f>
        <v>F2103-2404</v>
      </c>
      <c r="C102" s="1756" t="str">
        <f>원자재매입내역!C113</f>
        <v>NE1a Door Side RR RH SECT "B"클립머신</v>
      </c>
      <c r="D102" s="1757">
        <v>12</v>
      </c>
      <c r="E102" s="2206"/>
      <c r="F102" s="2290"/>
      <c r="G102" s="2209">
        <f>원자재매입내역!E113</f>
        <v>1988</v>
      </c>
      <c r="H102" s="709">
        <f>원자재매입내역!AL113</f>
        <v>3600</v>
      </c>
      <c r="I102" s="1829">
        <f t="shared" si="29"/>
        <v>7156800</v>
      </c>
      <c r="J102" s="2118"/>
      <c r="K102" s="2088"/>
      <c r="L102" s="869"/>
      <c r="M102" s="253"/>
      <c r="S102" s="1038"/>
      <c r="T102" s="1038"/>
      <c r="U102" s="1037"/>
      <c r="V102" s="1037"/>
      <c r="X102" s="1043"/>
      <c r="Y102" s="1044"/>
      <c r="Z102" s="1044"/>
      <c r="AA102" s="1044"/>
      <c r="AB102" s="1045"/>
      <c r="AO102" s="1661"/>
      <c r="AP102" s="1661"/>
    </row>
    <row r="103" spans="1:42" ht="16.5" customHeight="1">
      <c r="A103" s="2115"/>
      <c r="B103" s="2057" t="str">
        <f>원자재매입내역!B92</f>
        <v>F2103-1709</v>
      </c>
      <c r="C103" s="2058" t="str">
        <f>원자재매입내역!C92</f>
        <v>DT(CREW) D/SIDE "A" RR ROLL</v>
      </c>
      <c r="D103" s="1896">
        <v>13</v>
      </c>
      <c r="E103" s="2207"/>
      <c r="F103" s="2290"/>
      <c r="G103" s="2210">
        <f>원자재매입내역!E92</f>
        <v>1125</v>
      </c>
      <c r="H103" s="708">
        <f>원자재매입내역!AL92</f>
        <v>55540</v>
      </c>
      <c r="I103" s="978">
        <f t="shared" ref="I103:I108" si="30">G103*H103</f>
        <v>62482500</v>
      </c>
      <c r="J103" s="2118"/>
      <c r="K103" s="2088"/>
      <c r="L103" s="869"/>
      <c r="R103" s="1035" t="s">
        <v>2016</v>
      </c>
      <c r="S103" s="1038">
        <f>COUNTIF($R$3:R103,R103)</f>
        <v>17</v>
      </c>
      <c r="T103" s="1038" t="str">
        <f>C103</f>
        <v>DT(CREW) D/SIDE "A" RR ROLL</v>
      </c>
      <c r="U103" s="1037">
        <f t="shared" ref="U103:V105" si="31">H103</f>
        <v>55540</v>
      </c>
      <c r="V103" s="1037">
        <f t="shared" si="31"/>
        <v>62482500</v>
      </c>
      <c r="X103" s="1043" t="str">
        <f t="shared" si="14"/>
        <v>압출 PCM</v>
      </c>
      <c r="Y103" s="1044">
        <f t="shared" si="20"/>
        <v>97</v>
      </c>
      <c r="Z103" s="1044" t="str">
        <f t="array" ref="Z103">IFERROR(INDEX($T$3:$T$373,MATCH(1,($X103=$R$3:$R$373)*($Y103=$S$3:$S$373),0))," ")</f>
        <v xml:space="preserve"> </v>
      </c>
      <c r="AA103" s="1044" t="str">
        <f t="array" ref="AA103">IFERROR(INDEX($U$3:$U$373,MATCH(1,($X103=$R$3:$R$373)*($Y103=$S$3:$S$373),0))," ")</f>
        <v xml:space="preserve"> </v>
      </c>
      <c r="AB103" s="1045" t="str">
        <f t="array" ref="AB103">IFERROR(INDEX($V$3:$V$373,MATCH(1,($X103=$R$3:$R$373)*($Y103=$S$3:$S$373),0))," ")</f>
        <v xml:space="preserve"> </v>
      </c>
    </row>
    <row r="104" spans="1:42" ht="16.5" customHeight="1">
      <c r="A104" s="2115"/>
      <c r="B104" s="1753" t="str">
        <f>원자재매입내역!B93</f>
        <v>F2103-1710</v>
      </c>
      <c r="C104" s="1754" t="str">
        <f>원자재매입내역!C93</f>
        <v>DT(CREW) D/SIDE RR "B" ROLL</v>
      </c>
      <c r="D104" s="1755">
        <v>14</v>
      </c>
      <c r="E104" s="2205"/>
      <c r="F104" s="2290"/>
      <c r="G104" s="2208">
        <f>원자재매입내역!E93</f>
        <v>423</v>
      </c>
      <c r="H104" s="703">
        <f>원자재매입내역!AL93</f>
        <v>170754</v>
      </c>
      <c r="I104" s="979">
        <f t="shared" si="30"/>
        <v>72228942</v>
      </c>
      <c r="J104" s="2118"/>
      <c r="K104" s="2088"/>
      <c r="L104" s="869"/>
      <c r="R104" s="1035" t="s">
        <v>2016</v>
      </c>
      <c r="S104" s="1038">
        <f>COUNTIF($R$3:R108,R104)</f>
        <v>21</v>
      </c>
      <c r="T104" s="1038" t="str">
        <f>C104</f>
        <v>DT(CREW) D/SIDE RR "B" ROLL</v>
      </c>
      <c r="U104" s="1037">
        <f t="shared" si="31"/>
        <v>170754</v>
      </c>
      <c r="V104" s="1037">
        <f t="shared" si="31"/>
        <v>72228942</v>
      </c>
      <c r="X104" s="1043" t="str">
        <f t="shared" si="14"/>
        <v>압출 PCM</v>
      </c>
      <c r="Y104" s="1044">
        <f t="shared" si="20"/>
        <v>98</v>
      </c>
      <c r="Z104" s="1044" t="str">
        <f t="array" ref="Z104">IFERROR(INDEX($T$3:$T$373,MATCH(1,($X104=$R$3:$R$373)*($Y104=$S$3:$S$373),0))," ")</f>
        <v xml:space="preserve"> </v>
      </c>
      <c r="AA104" s="1044" t="str">
        <f t="array" ref="AA104">IFERROR(INDEX($U$3:$U$373,MATCH(1,($X104=$R$3:$R$373)*($Y104=$S$3:$S$373),0))," ")</f>
        <v xml:space="preserve"> </v>
      </c>
      <c r="AB104" s="1045" t="str">
        <f t="array" ref="AB104">IFERROR(INDEX($V$3:$V$373,MATCH(1,($X104=$R$3:$R$373)*($Y104=$S$3:$S$373),0))," ")</f>
        <v xml:space="preserve"> </v>
      </c>
    </row>
    <row r="105" spans="1:42" ht="16.5" customHeight="1">
      <c r="A105" s="2115"/>
      <c r="B105" s="1753" t="str">
        <f>원자재매입내역!B94</f>
        <v>F2103-1533</v>
      </c>
      <c r="C105" s="1754" t="str">
        <f>원자재매입내역!C94</f>
        <v>DT(CREW) D/SIDE "C" RR</v>
      </c>
      <c r="D105" s="1755">
        <v>15</v>
      </c>
      <c r="E105" s="2205"/>
      <c r="F105" s="2290"/>
      <c r="G105" s="2208">
        <f>원자재매입내역!E94</f>
        <v>2779</v>
      </c>
      <c r="H105" s="703">
        <f>원자재매입내역!AL94</f>
        <v>8000</v>
      </c>
      <c r="I105" s="979">
        <f t="shared" si="30"/>
        <v>22232000</v>
      </c>
      <c r="J105" s="2118"/>
      <c r="K105" s="2088"/>
      <c r="L105" s="869"/>
      <c r="R105" s="1035" t="s">
        <v>2016</v>
      </c>
      <c r="S105" s="1038">
        <f>COUNTIF($R$3:R108,R105)</f>
        <v>21</v>
      </c>
      <c r="T105" s="1038" t="str">
        <f>C105</f>
        <v>DT(CREW) D/SIDE "C" RR</v>
      </c>
      <c r="U105" s="1037">
        <f t="shared" si="31"/>
        <v>8000</v>
      </c>
      <c r="V105" s="1037">
        <f t="shared" si="31"/>
        <v>22232000</v>
      </c>
      <c r="X105" s="1043" t="str">
        <f t="shared" si="14"/>
        <v>압출 PCM</v>
      </c>
      <c r="Y105" s="1044">
        <f t="shared" si="20"/>
        <v>99</v>
      </c>
      <c r="Z105" s="1044" t="str">
        <f t="array" ref="Z105">IFERROR(INDEX($T$3:$T$373,MATCH(1,($X105=$R$3:$R$373)*($Y105=$S$3:$S$373),0))," ")</f>
        <v xml:space="preserve"> </v>
      </c>
      <c r="AA105" s="1044" t="str">
        <f t="array" ref="AA105">IFERROR(INDEX($U$3:$U$373,MATCH(1,($X105=$R$3:$R$373)*($Y105=$S$3:$S$373),0))," ")</f>
        <v xml:space="preserve"> </v>
      </c>
      <c r="AB105" s="1045" t="str">
        <f t="array" ref="AB105">IFERROR(INDEX($V$3:$V$373,MATCH(1,($X105=$R$3:$R$373)*($Y105=$S$3:$S$373),0))," ")</f>
        <v xml:space="preserve"> </v>
      </c>
    </row>
    <row r="106" spans="1:42" ht="16.5" customHeight="1">
      <c r="A106" s="2115"/>
      <c r="B106" s="1753" t="str">
        <f>원자재매입내역!B95</f>
        <v>F2103-1536</v>
      </c>
      <c r="C106" s="1754" t="str">
        <f>원자재매입내역!C95</f>
        <v>DT D/SIDE QUAD "C"</v>
      </c>
      <c r="D106" s="1755">
        <v>16</v>
      </c>
      <c r="E106" s="2205"/>
      <c r="F106" s="2290"/>
      <c r="G106" s="2208">
        <f>원자재매입내역!E95</f>
        <v>2866</v>
      </c>
      <c r="H106" s="703">
        <f>원자재매입내역!AL95</f>
        <v>0</v>
      </c>
      <c r="I106" s="979">
        <f t="shared" si="30"/>
        <v>0</v>
      </c>
      <c r="J106" s="2118"/>
      <c r="K106" s="2088"/>
      <c r="L106" s="869"/>
      <c r="S106" s="1038"/>
      <c r="T106" s="1038"/>
      <c r="U106" s="1037"/>
      <c r="V106" s="1037"/>
      <c r="X106" s="1043"/>
      <c r="Y106" s="1044"/>
      <c r="Z106" s="1044"/>
      <c r="AA106" s="1044"/>
      <c r="AB106" s="1045"/>
    </row>
    <row r="107" spans="1:42" ht="16.5" customHeight="1">
      <c r="A107" s="2115"/>
      <c r="B107" s="1753" t="str">
        <f>원자재매입내역!B96</f>
        <v>F2103-0606</v>
      </c>
      <c r="C107" s="1754" t="str">
        <f>원자재매입내역!C96</f>
        <v>DS D/SIDE RR A(CREW)</v>
      </c>
      <c r="D107" s="1755">
        <v>17</v>
      </c>
      <c r="E107" s="2205"/>
      <c r="F107" s="2290"/>
      <c r="G107" s="2208">
        <f>원자재매입내역!E96</f>
        <v>2047</v>
      </c>
      <c r="H107" s="703">
        <f>원자재매입내역!AL96</f>
        <v>9500</v>
      </c>
      <c r="I107" s="979">
        <f t="shared" si="30"/>
        <v>19446500</v>
      </c>
      <c r="J107" s="2118"/>
      <c r="K107" s="2088"/>
      <c r="L107" s="869"/>
      <c r="R107" s="1035" t="s">
        <v>2016</v>
      </c>
      <c r="S107" s="1038">
        <f>COUNTIF($R$3:R107,R107)</f>
        <v>20</v>
      </c>
      <c r="T107" s="1038" t="str">
        <f>C107</f>
        <v>DS D/SIDE RR A(CREW)</v>
      </c>
      <c r="U107" s="1037">
        <f>H107</f>
        <v>9500</v>
      </c>
      <c r="V107" s="1037">
        <f>I107</f>
        <v>19446500</v>
      </c>
      <c r="X107" s="1043" t="str">
        <f t="shared" si="14"/>
        <v>압출 PCM</v>
      </c>
      <c r="Y107" s="1044">
        <f t="shared" si="20"/>
        <v>101</v>
      </c>
      <c r="Z107" s="1044" t="str">
        <f t="array" ref="Z107">IFERROR(INDEX($T$3:$T$373,MATCH(1,($X107=$R$3:$R$373)*($Y107=$S$3:$S$373),0))," ")</f>
        <v xml:space="preserve"> </v>
      </c>
      <c r="AA107" s="1044" t="str">
        <f t="array" ref="AA107">IFERROR(INDEX($U$3:$U$373,MATCH(1,($X107=$R$3:$R$373)*($Y107=$S$3:$S$373),0))," ")</f>
        <v xml:space="preserve"> </v>
      </c>
      <c r="AB107" s="1045" t="str">
        <f t="array" ref="AB107">IFERROR(INDEX($V$3:$V$373,MATCH(1,($X107=$R$3:$R$373)*($Y107=$S$3:$S$373),0))," ")</f>
        <v xml:space="preserve"> </v>
      </c>
    </row>
    <row r="108" spans="1:42" ht="16.5" customHeight="1">
      <c r="A108" s="2115"/>
      <c r="B108" s="1753" t="str">
        <f>원자재매입내역!B97</f>
        <v>F2103-0608</v>
      </c>
      <c r="C108" s="1754" t="str">
        <f>원자재매입내역!C97</f>
        <v>DS D/SIDE RR C (CREW)</v>
      </c>
      <c r="D108" s="1755">
        <v>18</v>
      </c>
      <c r="E108" s="2205"/>
      <c r="F108" s="2290"/>
      <c r="G108" s="2208">
        <f>원자재매입내역!E97</f>
        <v>2108</v>
      </c>
      <c r="H108" s="703">
        <f>원자재매입내역!AL97</f>
        <v>5547</v>
      </c>
      <c r="I108" s="979">
        <f t="shared" si="30"/>
        <v>11693076</v>
      </c>
      <c r="J108" s="2118"/>
      <c r="K108" s="2088"/>
      <c r="L108" s="869"/>
      <c r="R108" s="1035" t="s">
        <v>2016</v>
      </c>
      <c r="S108" s="1038">
        <f>COUNTIF($R$3:R108,R108)</f>
        <v>21</v>
      </c>
      <c r="T108" s="1038" t="str">
        <f>C108</f>
        <v>DS D/SIDE RR C (CREW)</v>
      </c>
      <c r="U108" s="1037">
        <f>H108</f>
        <v>5547</v>
      </c>
      <c r="V108" s="1037">
        <f>I108</f>
        <v>11693076</v>
      </c>
      <c r="X108" s="1043" t="str">
        <f t="shared" si="14"/>
        <v>압출 PCM</v>
      </c>
      <c r="Y108" s="1044">
        <f t="shared" si="20"/>
        <v>102</v>
      </c>
      <c r="Z108" s="1044" t="str">
        <f t="array" ref="Z108">IFERROR(INDEX($T$3:$T$373,MATCH(1,($X108=$R$3:$R$373)*($Y108=$S$3:$S$373),0))," ")</f>
        <v xml:space="preserve"> </v>
      </c>
      <c r="AA108" s="1044" t="str">
        <f t="array" ref="AA108">IFERROR(INDEX($U$3:$U$373,MATCH(1,($X108=$R$3:$R$373)*($Y108=$S$3:$S$373),0))," ")</f>
        <v xml:space="preserve"> </v>
      </c>
      <c r="AB108" s="1045" t="str">
        <f t="array" ref="AB108">IFERROR(INDEX($V$3:$V$373,MATCH(1,($X108=$R$3:$R$373)*($Y108=$S$3:$S$373),0))," ")</f>
        <v xml:space="preserve"> </v>
      </c>
    </row>
    <row r="109" spans="1:42" ht="16.5" customHeight="1">
      <c r="A109" s="2115"/>
      <c r="B109" s="1753" t="str">
        <f>원자재매입내역!B98</f>
        <v>F2103-0615</v>
      </c>
      <c r="C109" s="1754" t="str">
        <f>원자재매입내역!C98</f>
        <v>DS D/SIDE   A  (STD)</v>
      </c>
      <c r="D109" s="1755">
        <v>19</v>
      </c>
      <c r="E109" s="2205"/>
      <c r="F109" s="2290"/>
      <c r="G109" s="2208">
        <f>원자재매입내역!E98</f>
        <v>1498</v>
      </c>
      <c r="H109" s="703">
        <f>원자재매입내역!AL98</f>
        <v>805</v>
      </c>
      <c r="I109" s="979">
        <f t="shared" ref="I109:I110" si="32">G109*H109</f>
        <v>1205890</v>
      </c>
      <c r="J109" s="2118"/>
      <c r="K109" s="2088"/>
      <c r="L109" s="869"/>
      <c r="S109" s="1038"/>
      <c r="T109" s="1038"/>
      <c r="U109" s="1037"/>
      <c r="V109" s="1037"/>
      <c r="X109" s="1043"/>
      <c r="Y109" s="1044"/>
      <c r="Z109" s="1044"/>
      <c r="AA109" s="1044"/>
      <c r="AB109" s="1045"/>
    </row>
    <row r="110" spans="1:42" ht="16.5" customHeight="1">
      <c r="A110" s="2115"/>
      <c r="B110" s="1753" t="str">
        <f>원자재매입내역!B99</f>
        <v>F2103-0618</v>
      </c>
      <c r="C110" s="1754" t="str">
        <f>원자재매입내역!C99</f>
        <v>DS D/SIDE  C (STD)</v>
      </c>
      <c r="D110" s="1755">
        <v>20</v>
      </c>
      <c r="E110" s="2205"/>
      <c r="F110" s="2290"/>
      <c r="G110" s="2208">
        <f>원자재매입내역!E99</f>
        <v>1843</v>
      </c>
      <c r="H110" s="703">
        <f>원자재매입내역!AL99</f>
        <v>0</v>
      </c>
      <c r="I110" s="979">
        <f t="shared" si="32"/>
        <v>0</v>
      </c>
      <c r="J110" s="2118"/>
      <c r="K110" s="2088"/>
      <c r="L110" s="869"/>
      <c r="S110" s="1038"/>
      <c r="T110" s="1038"/>
      <c r="U110" s="1037"/>
      <c r="V110" s="1037"/>
      <c r="X110" s="1043"/>
      <c r="Y110" s="1044"/>
      <c r="Z110" s="1044"/>
      <c r="AA110" s="1044"/>
      <c r="AB110" s="1045"/>
    </row>
    <row r="111" spans="1:42" ht="16.5" customHeight="1" thickBot="1">
      <c r="A111" s="2116"/>
      <c r="B111" s="2191" t="str">
        <f>원자재매입내역!B114</f>
        <v>F2119-0258</v>
      </c>
      <c r="C111" s="2192" t="str">
        <f>원자재매입내역!C114</f>
        <v>MX5a Hood RR</v>
      </c>
      <c r="D111" s="1755">
        <v>21</v>
      </c>
      <c r="E111" s="2206"/>
      <c r="F111" s="2291"/>
      <c r="G111" s="2209">
        <f>원자재매입내역!E114</f>
        <v>1212</v>
      </c>
      <c r="H111" s="709">
        <f>원자재매입내역!AL114</f>
        <v>1675</v>
      </c>
      <c r="I111" s="1919">
        <f>G111*H111</f>
        <v>2030100</v>
      </c>
      <c r="J111" s="2151"/>
      <c r="K111" s="2089"/>
      <c r="L111" s="916"/>
      <c r="S111" s="1038"/>
      <c r="T111" s="1038"/>
      <c r="U111" s="1037"/>
      <c r="V111" s="1037"/>
      <c r="X111" s="1043"/>
      <c r="Y111" s="1044"/>
      <c r="Z111" s="1044"/>
      <c r="AA111" s="1044"/>
      <c r="AB111" s="1045"/>
    </row>
    <row r="112" spans="1:42" ht="17.100000000000001" customHeight="1">
      <c r="A112" s="2294" t="s">
        <v>316</v>
      </c>
      <c r="B112" s="1542" t="s">
        <v>1633</v>
      </c>
      <c r="C112" s="1223" t="s">
        <v>317</v>
      </c>
      <c r="D112" s="1224" t="s">
        <v>32</v>
      </c>
      <c r="E112" s="2303" t="s">
        <v>57</v>
      </c>
      <c r="F112" s="2360" t="s">
        <v>2165</v>
      </c>
      <c r="G112" s="984">
        <v>27</v>
      </c>
      <c r="H112" s="793">
        <f>부자재매입내역!AL5</f>
        <v>11000</v>
      </c>
      <c r="I112" s="978">
        <f t="shared" si="7"/>
        <v>297000</v>
      </c>
      <c r="J112" s="2160">
        <f>SUM(I112:I238)</f>
        <v>85324000</v>
      </c>
      <c r="K112" s="954">
        <v>40626700</v>
      </c>
      <c r="L112" s="869">
        <f>J112-K112</f>
        <v>44697300</v>
      </c>
      <c r="M112"/>
      <c r="R112" s="1035" t="s">
        <v>83</v>
      </c>
      <c r="S112" s="1038">
        <f>COUNTIF($R$3:R112,R112)</f>
        <v>8</v>
      </c>
      <c r="T112" s="1038" t="str">
        <f t="shared" si="27"/>
        <v>CAP 82210-4E000</v>
      </c>
      <c r="U112" s="1037">
        <f t="shared" si="28"/>
        <v>11000</v>
      </c>
      <c r="V112" s="1037">
        <f t="shared" si="28"/>
        <v>297000</v>
      </c>
      <c r="X112" s="1043" t="str">
        <f t="shared" si="14"/>
        <v>압출 PCM</v>
      </c>
      <c r="Y112" s="1044">
        <f t="shared" si="20"/>
        <v>106</v>
      </c>
      <c r="Z112" s="1044" t="str">
        <f t="array" ref="Z112">IFERROR(INDEX($T$3:$T$373,MATCH(1,($X112=$R$3:$R$373)*($Y112=$S$3:$S$373),0))," ")</f>
        <v xml:space="preserve"> </v>
      </c>
      <c r="AA112" s="1044" t="str">
        <f t="array" ref="AA112">IFERROR(INDEX($U$3:$U$373,MATCH(1,($X112=$R$3:$R$373)*($Y112=$S$3:$S$373),0))," ")</f>
        <v xml:space="preserve"> </v>
      </c>
      <c r="AB112" s="1045" t="str">
        <f t="array" ref="AB112">IFERROR(INDEX($V$3:$V$373,MATCH(1,($X112=$R$3:$R$373)*($Y112=$S$3:$S$373),0))," ")</f>
        <v xml:space="preserve"> </v>
      </c>
    </row>
    <row r="113" spans="1:40" ht="17.100000000000001" customHeight="1">
      <c r="A113" s="2295"/>
      <c r="B113" s="1543" t="s">
        <v>1634</v>
      </c>
      <c r="C113" s="1225" t="s">
        <v>318</v>
      </c>
      <c r="D113" s="1226" t="s">
        <v>32</v>
      </c>
      <c r="E113" s="2303"/>
      <c r="F113" s="2360"/>
      <c r="G113" s="858">
        <v>27</v>
      </c>
      <c r="H113" s="703">
        <f>부자재매입내역!AL6</f>
        <v>11000</v>
      </c>
      <c r="I113" s="979">
        <f t="shared" si="7"/>
        <v>297000</v>
      </c>
      <c r="J113" s="2118"/>
      <c r="K113" s="954"/>
      <c r="L113" s="869"/>
      <c r="M113"/>
      <c r="R113" s="1035" t="s">
        <v>83</v>
      </c>
      <c r="S113" s="1038">
        <f>COUNTIF($R$3:R113,R113)</f>
        <v>9</v>
      </c>
      <c r="T113" s="1038" t="str">
        <f t="shared" si="27"/>
        <v>CAP 82220-4E000</v>
      </c>
      <c r="U113" s="1037">
        <f t="shared" si="28"/>
        <v>11000</v>
      </c>
      <c r="V113" s="1037">
        <f t="shared" si="28"/>
        <v>297000</v>
      </c>
      <c r="X113" s="1043" t="str">
        <f t="shared" si="14"/>
        <v>압출 PCM</v>
      </c>
      <c r="Y113" s="1044">
        <f t="shared" si="20"/>
        <v>107</v>
      </c>
      <c r="Z113" s="1044" t="str">
        <f t="array" ref="Z113">IFERROR(INDEX($T$3:$T$373,MATCH(1,($X113=$R$3:$R$373)*($Y113=$S$3:$S$373),0))," ")</f>
        <v xml:space="preserve"> </v>
      </c>
      <c r="AA113" s="1044" t="str">
        <f t="array" ref="AA113">IFERROR(INDEX($U$3:$U$373,MATCH(1,($X113=$R$3:$R$373)*($Y113=$S$3:$S$373),0))," ")</f>
        <v xml:space="preserve"> </v>
      </c>
      <c r="AB113" s="1045" t="str">
        <f t="array" ref="AB113">IFERROR(INDEX($V$3:$V$373,MATCH(1,($X113=$R$3:$R$373)*($Y113=$S$3:$S$373),0))," ")</f>
        <v xml:space="preserve"> </v>
      </c>
    </row>
    <row r="114" spans="1:40" ht="17.100000000000001" customHeight="1">
      <c r="A114" s="2295"/>
      <c r="B114" s="1543" t="s">
        <v>1635</v>
      </c>
      <c r="C114" s="1225" t="s">
        <v>33</v>
      </c>
      <c r="D114" s="1226" t="s">
        <v>32</v>
      </c>
      <c r="E114" s="2303"/>
      <c r="F114" s="2360"/>
      <c r="G114" s="858">
        <v>19</v>
      </c>
      <c r="H114" s="703">
        <f>부자재매입내역!AL7</f>
        <v>90000</v>
      </c>
      <c r="I114" s="979">
        <f t="shared" si="7"/>
        <v>1710000</v>
      </c>
      <c r="J114" s="2118"/>
      <c r="K114" s="954"/>
      <c r="L114" s="869"/>
      <c r="M114"/>
      <c r="R114" s="1035" t="s">
        <v>83</v>
      </c>
      <c r="S114" s="1038">
        <f>COUNTIF($R$3:R114,R114)</f>
        <v>10</v>
      </c>
      <c r="T114" s="1038" t="str">
        <f t="shared" si="27"/>
        <v>CLIP 82210-4E000(WHITE)</v>
      </c>
      <c r="U114" s="1037">
        <f t="shared" si="28"/>
        <v>90000</v>
      </c>
      <c r="V114" s="1037">
        <f t="shared" si="28"/>
        <v>1710000</v>
      </c>
      <c r="X114" s="1043" t="str">
        <f t="shared" si="14"/>
        <v>압출 PCM</v>
      </c>
      <c r="Y114" s="1044">
        <f t="shared" si="20"/>
        <v>108</v>
      </c>
      <c r="Z114" s="1044" t="str">
        <f t="array" ref="Z114">IFERROR(INDEX($T$3:$T$373,MATCH(1,($X114=$R$3:$R$373)*($Y114=$S$3:$S$373),0))," ")</f>
        <v xml:space="preserve"> </v>
      </c>
      <c r="AA114" s="1044" t="str">
        <f t="array" ref="AA114">IFERROR(INDEX($U$3:$U$373,MATCH(1,($X114=$R$3:$R$373)*($Y114=$S$3:$S$373),0))," ")</f>
        <v xml:space="preserve"> </v>
      </c>
      <c r="AB114" s="1045" t="str">
        <f t="array" ref="AB114">IFERROR(INDEX($V$3:$V$373,MATCH(1,($X114=$R$3:$R$373)*($Y114=$S$3:$S$373),0))," ")</f>
        <v xml:space="preserve"> </v>
      </c>
      <c r="AE114" s="253"/>
    </row>
    <row r="115" spans="1:40" ht="17.100000000000001" customHeight="1">
      <c r="A115" s="2295"/>
      <c r="B115" s="1543" t="s">
        <v>1636</v>
      </c>
      <c r="C115" s="1225" t="s">
        <v>34</v>
      </c>
      <c r="D115" s="1226" t="s">
        <v>32</v>
      </c>
      <c r="E115" s="2303"/>
      <c r="F115" s="2360"/>
      <c r="G115" s="858">
        <v>19</v>
      </c>
      <c r="H115" s="703">
        <f>부자재매입내역!AL8</f>
        <v>90000</v>
      </c>
      <c r="I115" s="979">
        <f t="shared" si="7"/>
        <v>1710000</v>
      </c>
      <c r="J115" s="2118"/>
      <c r="K115" s="954"/>
      <c r="L115" s="869"/>
      <c r="M115"/>
      <c r="R115" s="1035" t="s">
        <v>83</v>
      </c>
      <c r="S115" s="1038">
        <f>COUNTIF($R$3:R115,R115)</f>
        <v>11</v>
      </c>
      <c r="T115" s="1038" t="str">
        <f t="shared" si="27"/>
        <v>CLIP 82220-4E000(YELLOW)</v>
      </c>
      <c r="U115" s="1037">
        <f t="shared" si="28"/>
        <v>90000</v>
      </c>
      <c r="V115" s="1037">
        <f t="shared" si="28"/>
        <v>1710000</v>
      </c>
      <c r="X115" s="1043" t="str">
        <f t="shared" si="14"/>
        <v>압출 PCM</v>
      </c>
      <c r="Y115" s="1044">
        <f t="shared" si="20"/>
        <v>109</v>
      </c>
      <c r="Z115" s="1044" t="str">
        <f t="array" ref="Z115">IFERROR(INDEX($T$3:$T$373,MATCH(1,($X115=$R$3:$R$373)*($Y115=$S$3:$S$373),0))," ")</f>
        <v xml:space="preserve"> </v>
      </c>
      <c r="AA115" s="1044" t="str">
        <f t="array" ref="AA115">IFERROR(INDEX($U$3:$U$373,MATCH(1,($X115=$R$3:$R$373)*($Y115=$S$3:$S$373),0))," ")</f>
        <v xml:space="preserve"> </v>
      </c>
      <c r="AB115" s="1045" t="str">
        <f t="array" ref="AB115">IFERROR(INDEX($V$3:$V$373,MATCH(1,($X115=$R$3:$R$373)*($Y115=$S$3:$S$373),0))," ")</f>
        <v xml:space="preserve"> </v>
      </c>
    </row>
    <row r="116" spans="1:40" ht="14.25" customHeight="1">
      <c r="A116" s="2295"/>
      <c r="B116" s="1543" t="s">
        <v>1637</v>
      </c>
      <c r="C116" s="1225" t="s">
        <v>319</v>
      </c>
      <c r="D116" s="1226" t="s">
        <v>32</v>
      </c>
      <c r="E116" s="2303"/>
      <c r="F116" s="2360"/>
      <c r="G116" s="858">
        <v>28</v>
      </c>
      <c r="H116" s="703">
        <f>부자재매입내역!AL9</f>
        <v>1000</v>
      </c>
      <c r="I116" s="979">
        <f t="shared" si="7"/>
        <v>28000</v>
      </c>
      <c r="J116" s="2118"/>
      <c r="K116" s="954"/>
      <c r="L116" s="869"/>
      <c r="M116"/>
      <c r="N116" s="253"/>
      <c r="O116" s="253"/>
      <c r="P116" s="253"/>
      <c r="Q116" s="253"/>
      <c r="R116" s="1035" t="s">
        <v>83</v>
      </c>
      <c r="S116" s="1038">
        <f>COUNTIF($R$3:R116,R116)</f>
        <v>12</v>
      </c>
      <c r="T116" s="1038" t="str">
        <f t="shared" si="27"/>
        <v>PU D/C END CAP①</v>
      </c>
      <c r="U116" s="1037">
        <f t="shared" si="28"/>
        <v>1000</v>
      </c>
      <c r="V116" s="1037">
        <f t="shared" si="28"/>
        <v>28000</v>
      </c>
      <c r="W116" s="253"/>
      <c r="X116" s="1043" t="str">
        <f t="shared" si="14"/>
        <v>압출 PCM</v>
      </c>
      <c r="Y116" s="1044">
        <f t="shared" si="20"/>
        <v>110</v>
      </c>
      <c r="Z116" s="1044" t="str">
        <f t="array" ref="Z116">IFERROR(INDEX($T$3:$T$373,MATCH(1,($X116=$R$3:$R$373)*($Y116=$S$3:$S$373),0))," ")</f>
        <v xml:space="preserve"> </v>
      </c>
      <c r="AA116" s="1044" t="str">
        <f t="array" ref="AA116">IFERROR(INDEX($U$3:$U$373,MATCH(1,($X116=$R$3:$R$373)*($Y116=$S$3:$S$373),0))," ")</f>
        <v xml:space="preserve"> </v>
      </c>
      <c r="AB116" s="1045" t="str">
        <f t="array" ref="AB116">IFERROR(INDEX($V$3:$V$373,MATCH(1,($X116=$R$3:$R$373)*($Y116=$S$3:$S$373),0))," ")</f>
        <v xml:space="preserve"> </v>
      </c>
      <c r="AC116" s="253"/>
      <c r="AF116" s="253"/>
      <c r="AG116" s="253"/>
      <c r="AH116" s="253"/>
      <c r="AI116" s="253"/>
      <c r="AJ116" s="253"/>
      <c r="AK116" s="253"/>
      <c r="AL116" s="253"/>
      <c r="AM116" s="253"/>
      <c r="AN116" s="253"/>
    </row>
    <row r="117" spans="1:40" ht="17.100000000000001" customHeight="1">
      <c r="A117" s="2295"/>
      <c r="B117" s="1543" t="s">
        <v>1638</v>
      </c>
      <c r="C117" s="1225" t="s">
        <v>320</v>
      </c>
      <c r="D117" s="1226" t="s">
        <v>32</v>
      </c>
      <c r="E117" s="2303"/>
      <c r="F117" s="2360"/>
      <c r="G117" s="858">
        <v>28</v>
      </c>
      <c r="H117" s="703">
        <f>부자재매입내역!AL10</f>
        <v>1000</v>
      </c>
      <c r="I117" s="979">
        <f t="shared" si="7"/>
        <v>28000</v>
      </c>
      <c r="J117" s="2118"/>
      <c r="K117" s="954"/>
      <c r="L117" s="869"/>
      <c r="M117"/>
      <c r="R117" s="1035" t="s">
        <v>83</v>
      </c>
      <c r="S117" s="1038">
        <f>COUNTIF($R$3:R117,R117)</f>
        <v>13</v>
      </c>
      <c r="T117" s="1038" t="str">
        <f t="shared" si="27"/>
        <v>PU D/C END CAP②</v>
      </c>
      <c r="U117" s="1037">
        <f t="shared" si="28"/>
        <v>1000</v>
      </c>
      <c r="V117" s="1037">
        <f t="shared" si="28"/>
        <v>28000</v>
      </c>
      <c r="X117" s="1043" t="str">
        <f t="shared" si="14"/>
        <v>압출 PCM</v>
      </c>
      <c r="Y117" s="1044">
        <f t="shared" si="20"/>
        <v>111</v>
      </c>
      <c r="Z117" s="1044" t="str">
        <f t="array" ref="Z117">IFERROR(INDEX($T$3:$T$373,MATCH(1,($X117=$R$3:$R$373)*($Y117=$S$3:$S$373),0))," ")</f>
        <v xml:space="preserve"> </v>
      </c>
      <c r="AA117" s="1044" t="str">
        <f t="array" ref="AA117">IFERROR(INDEX($U$3:$U$373,MATCH(1,($X117=$R$3:$R$373)*($Y117=$S$3:$S$373),0))," ")</f>
        <v xml:space="preserve"> </v>
      </c>
      <c r="AB117" s="1045" t="str">
        <f t="array" ref="AB117">IFERROR(INDEX($V$3:$V$373,MATCH(1,($X117=$R$3:$R$373)*($Y117=$S$3:$S$373),0))," ")</f>
        <v xml:space="preserve"> </v>
      </c>
      <c r="AE117" s="261"/>
    </row>
    <row r="118" spans="1:40" ht="17.100000000000001" customHeight="1">
      <c r="A118" s="2295"/>
      <c r="B118" s="1543" t="s">
        <v>1639</v>
      </c>
      <c r="C118" s="1225" t="s">
        <v>321</v>
      </c>
      <c r="D118" s="1226" t="s">
        <v>32</v>
      </c>
      <c r="E118" s="2303"/>
      <c r="F118" s="2360"/>
      <c r="G118" s="858">
        <v>28</v>
      </c>
      <c r="H118" s="703">
        <f>부자재매입내역!AL11</f>
        <v>1000</v>
      </c>
      <c r="I118" s="979">
        <f t="shared" si="7"/>
        <v>28000</v>
      </c>
      <c r="J118" s="2118"/>
      <c r="K118" s="954"/>
      <c r="L118" s="869"/>
      <c r="M118" s="1024"/>
      <c r="R118" s="1035" t="s">
        <v>83</v>
      </c>
      <c r="S118" s="1038">
        <f>COUNTIF($R$3:R118,R118)</f>
        <v>14</v>
      </c>
      <c r="T118" s="1038" t="str">
        <f t="shared" si="27"/>
        <v>PU D/C END CAP③</v>
      </c>
      <c r="U118" s="1037">
        <f t="shared" si="28"/>
        <v>1000</v>
      </c>
      <c r="V118" s="1037">
        <f t="shared" si="28"/>
        <v>28000</v>
      </c>
      <c r="X118" s="1043" t="str">
        <f t="shared" si="14"/>
        <v>압출 PCM</v>
      </c>
      <c r="Y118" s="1044">
        <f t="shared" si="20"/>
        <v>112</v>
      </c>
      <c r="Z118" s="1044" t="str">
        <f t="array" ref="Z118">IFERROR(INDEX($T$3:$T$373,MATCH(1,($X118=$R$3:$R$373)*($Y118=$S$3:$S$373),0))," ")</f>
        <v xml:space="preserve"> </v>
      </c>
      <c r="AA118" s="1044" t="str">
        <f t="array" ref="AA118">IFERROR(INDEX($U$3:$U$373,MATCH(1,($X118=$R$3:$R$373)*($Y118=$S$3:$S$373),0))," ")</f>
        <v xml:space="preserve"> </v>
      </c>
      <c r="AB118" s="1045" t="str">
        <f t="array" ref="AB118">IFERROR(INDEX($V$3:$V$373,MATCH(1,($X118=$R$3:$R$373)*($Y118=$S$3:$S$373),0))," ")</f>
        <v xml:space="preserve"> </v>
      </c>
    </row>
    <row r="119" spans="1:40" ht="17.100000000000001" customHeight="1">
      <c r="A119" s="2295"/>
      <c r="B119" s="1543" t="s">
        <v>1640</v>
      </c>
      <c r="C119" s="1225" t="s">
        <v>322</v>
      </c>
      <c r="D119" s="1226" t="s">
        <v>32</v>
      </c>
      <c r="E119" s="2304"/>
      <c r="F119" s="2360"/>
      <c r="G119" s="858">
        <v>28</v>
      </c>
      <c r="H119" s="703">
        <f>부자재매입내역!AL12</f>
        <v>1000</v>
      </c>
      <c r="I119" s="979">
        <f t="shared" si="7"/>
        <v>28000</v>
      </c>
      <c r="J119" s="2118"/>
      <c r="K119" s="954"/>
      <c r="L119" s="869"/>
      <c r="M119"/>
      <c r="N119" s="261"/>
      <c r="O119" s="261"/>
      <c r="P119" s="261"/>
      <c r="Q119" s="261"/>
      <c r="R119" s="1035" t="s">
        <v>83</v>
      </c>
      <c r="S119" s="1038">
        <f>COUNTIF($R$3:R119,R119)</f>
        <v>15</v>
      </c>
      <c r="T119" s="1038" t="str">
        <f t="shared" si="27"/>
        <v>PU D/C END CAP④</v>
      </c>
      <c r="U119" s="1037">
        <f t="shared" si="28"/>
        <v>1000</v>
      </c>
      <c r="V119" s="1037">
        <f t="shared" si="28"/>
        <v>28000</v>
      </c>
      <c r="W119" s="261"/>
      <c r="X119" s="1043" t="str">
        <f t="shared" si="14"/>
        <v>압출 PCM</v>
      </c>
      <c r="Y119" s="1044">
        <f t="shared" si="20"/>
        <v>113</v>
      </c>
      <c r="Z119" s="1044" t="str">
        <f t="array" ref="Z119">IFERROR(INDEX($T$3:$T$373,MATCH(1,($X119=$R$3:$R$373)*($Y119=$S$3:$S$373),0))," ")</f>
        <v xml:space="preserve"> </v>
      </c>
      <c r="AA119" s="1044" t="str">
        <f t="array" ref="AA119">IFERROR(INDEX($U$3:$U$373,MATCH(1,($X119=$R$3:$R$373)*($Y119=$S$3:$S$373),0))," ")</f>
        <v xml:space="preserve"> </v>
      </c>
      <c r="AB119" s="1045" t="str">
        <f t="array" ref="AB119">IFERROR(INDEX($V$3:$V$373,MATCH(1,($X119=$R$3:$R$373)*($Y119=$S$3:$S$373),0))," ")</f>
        <v xml:space="preserve"> </v>
      </c>
      <c r="AC119" s="261"/>
      <c r="AF119" s="261"/>
      <c r="AG119" s="261"/>
      <c r="AH119" s="261"/>
      <c r="AI119" s="261"/>
      <c r="AJ119" s="261"/>
      <c r="AK119" s="261"/>
      <c r="AL119" s="261"/>
      <c r="AM119" s="261"/>
      <c r="AN119" s="261"/>
    </row>
    <row r="120" spans="1:40" ht="17.100000000000001" customHeight="1">
      <c r="A120" s="2295"/>
      <c r="B120" s="1543" t="s">
        <v>1641</v>
      </c>
      <c r="C120" s="1225" t="s">
        <v>35</v>
      </c>
      <c r="D120" s="1226" t="s">
        <v>32</v>
      </c>
      <c r="E120" s="2368" t="s">
        <v>93</v>
      </c>
      <c r="F120" s="2360"/>
      <c r="G120" s="858">
        <v>40.700000000000003</v>
      </c>
      <c r="H120" s="703">
        <f>부자재매입내역!AL57</f>
        <v>0</v>
      </c>
      <c r="I120" s="979">
        <f t="shared" si="7"/>
        <v>0</v>
      </c>
      <c r="J120" s="2118"/>
      <c r="K120" s="954"/>
      <c r="L120" s="869"/>
      <c r="M120"/>
      <c r="R120" s="1035" t="s">
        <v>83</v>
      </c>
      <c r="S120" s="1038">
        <f>COUNTIF($R$3:R120,R120)</f>
        <v>16</v>
      </c>
      <c r="T120" s="1038" t="str">
        <f t="shared" si="27"/>
        <v>EG END CAP ①</v>
      </c>
      <c r="U120" s="1037">
        <f t="shared" si="28"/>
        <v>0</v>
      </c>
      <c r="V120" s="1037">
        <f t="shared" si="28"/>
        <v>0</v>
      </c>
      <c r="X120" s="1043" t="str">
        <f t="shared" ref="X120:X183" si="33">$X$4</f>
        <v>압출 PCM</v>
      </c>
      <c r="Y120" s="1044">
        <f t="shared" si="20"/>
        <v>114</v>
      </c>
      <c r="Z120" s="1044" t="str">
        <f t="array" ref="Z120">IFERROR(INDEX($T$3:$T$373,MATCH(1,($X120=$R$3:$R$373)*($Y120=$S$3:$S$373),0))," ")</f>
        <v xml:space="preserve"> </v>
      </c>
      <c r="AA120" s="1044" t="str">
        <f t="array" ref="AA120">IFERROR(INDEX($U$3:$U$373,MATCH(1,($X120=$R$3:$R$373)*($Y120=$S$3:$S$373),0))," ")</f>
        <v xml:space="preserve"> </v>
      </c>
      <c r="AB120" s="1045" t="str">
        <f t="array" ref="AB120">IFERROR(INDEX($V$3:$V$373,MATCH(1,($X120=$R$3:$R$373)*($Y120=$S$3:$S$373),0))," ")</f>
        <v xml:space="preserve"> </v>
      </c>
    </row>
    <row r="121" spans="1:40" ht="17.100000000000001" customHeight="1">
      <c r="A121" s="2295"/>
      <c r="B121" s="1543" t="s">
        <v>1642</v>
      </c>
      <c r="C121" s="1225" t="s">
        <v>37</v>
      </c>
      <c r="D121" s="1226" t="s">
        <v>32</v>
      </c>
      <c r="E121" s="2303"/>
      <c r="F121" s="2360"/>
      <c r="G121" s="858">
        <v>40.700000000000003</v>
      </c>
      <c r="H121" s="703">
        <f>부자재매입내역!AL58</f>
        <v>0</v>
      </c>
      <c r="I121" s="979">
        <f t="shared" si="7"/>
        <v>0</v>
      </c>
      <c r="J121" s="2118"/>
      <c r="K121" s="954"/>
      <c r="L121" s="869"/>
      <c r="M121"/>
      <c r="R121" s="1035" t="s">
        <v>83</v>
      </c>
      <c r="S121" s="1038">
        <f>COUNTIF($R$3:R121,R121)</f>
        <v>17</v>
      </c>
      <c r="T121" s="1038" t="str">
        <f t="shared" si="27"/>
        <v>EG END CAP ②</v>
      </c>
      <c r="U121" s="1037">
        <f t="shared" si="28"/>
        <v>0</v>
      </c>
      <c r="V121" s="1037">
        <f t="shared" si="28"/>
        <v>0</v>
      </c>
      <c r="X121" s="1043" t="str">
        <f t="shared" si="33"/>
        <v>압출 PCM</v>
      </c>
      <c r="Y121" s="1044">
        <f t="shared" si="20"/>
        <v>115</v>
      </c>
      <c r="Z121" s="1044" t="str">
        <f t="array" ref="Z121">IFERROR(INDEX($T$3:$T$373,MATCH(1,($X121=$R$3:$R$373)*($Y121=$S$3:$S$373),0))," ")</f>
        <v xml:space="preserve"> </v>
      </c>
      <c r="AA121" s="1044" t="str">
        <f t="array" ref="AA121">IFERROR(INDEX($U$3:$U$373,MATCH(1,($X121=$R$3:$R$373)*($Y121=$S$3:$S$373),0))," ")</f>
        <v xml:space="preserve"> </v>
      </c>
      <c r="AB121" s="1045" t="str">
        <f t="array" ref="AB121">IFERROR(INDEX($V$3:$V$373,MATCH(1,($X121=$R$3:$R$373)*($Y121=$S$3:$S$373),0))," ")</f>
        <v xml:space="preserve"> </v>
      </c>
    </row>
    <row r="122" spans="1:40" ht="17.100000000000001" customHeight="1">
      <c r="A122" s="2295"/>
      <c r="B122" s="1543" t="s">
        <v>1643</v>
      </c>
      <c r="C122" s="1225" t="s">
        <v>38</v>
      </c>
      <c r="D122" s="1226" t="s">
        <v>32</v>
      </c>
      <c r="E122" s="2303"/>
      <c r="F122" s="2360"/>
      <c r="G122" s="858">
        <v>40.700000000000003</v>
      </c>
      <c r="H122" s="703">
        <f>부자재매입내역!AL59</f>
        <v>0</v>
      </c>
      <c r="I122" s="979">
        <f t="shared" si="7"/>
        <v>0</v>
      </c>
      <c r="J122" s="2118"/>
      <c r="K122" s="954"/>
      <c r="L122" s="869"/>
      <c r="M122"/>
      <c r="R122" s="1035" t="s">
        <v>83</v>
      </c>
      <c r="S122" s="1038">
        <f>COUNTIF($R$3:R122,R122)</f>
        <v>18</v>
      </c>
      <c r="T122" s="1038" t="str">
        <f t="shared" si="27"/>
        <v>EG END CAP ③</v>
      </c>
      <c r="U122" s="1037">
        <f t="shared" si="28"/>
        <v>0</v>
      </c>
      <c r="V122" s="1037">
        <f t="shared" si="28"/>
        <v>0</v>
      </c>
      <c r="X122" s="1043" t="str">
        <f t="shared" si="33"/>
        <v>압출 PCM</v>
      </c>
      <c r="Y122" s="1044">
        <f t="shared" si="20"/>
        <v>116</v>
      </c>
      <c r="Z122" s="1044" t="str">
        <f t="array" ref="Z122">IFERROR(INDEX($T$3:$T$373,MATCH(1,($X122=$R$3:$R$373)*($Y122=$S$3:$S$373),0))," ")</f>
        <v xml:space="preserve"> </v>
      </c>
      <c r="AA122" s="1044" t="str">
        <f t="array" ref="AA122">IFERROR(INDEX($U$3:$U$373,MATCH(1,($X122=$R$3:$R$373)*($Y122=$S$3:$S$373),0))," ")</f>
        <v xml:space="preserve"> </v>
      </c>
      <c r="AB122" s="1045" t="str">
        <f t="array" ref="AB122">IFERROR(INDEX($V$3:$V$373,MATCH(1,($X122=$R$3:$R$373)*($Y122=$S$3:$S$373),0))," ")</f>
        <v xml:space="preserve"> </v>
      </c>
    </row>
    <row r="123" spans="1:40" ht="17.100000000000001" customHeight="1">
      <c r="A123" s="2295"/>
      <c r="B123" s="1543" t="s">
        <v>1644</v>
      </c>
      <c r="C123" s="1225" t="s">
        <v>39</v>
      </c>
      <c r="D123" s="1226" t="s">
        <v>32</v>
      </c>
      <c r="E123" s="2304"/>
      <c r="F123" s="2360"/>
      <c r="G123" s="858">
        <v>40.700000000000003</v>
      </c>
      <c r="H123" s="703">
        <f>부자재매입내역!AL60</f>
        <v>0</v>
      </c>
      <c r="I123" s="979">
        <f t="shared" si="7"/>
        <v>0</v>
      </c>
      <c r="J123" s="2118"/>
      <c r="K123" s="954"/>
      <c r="L123" s="869"/>
      <c r="M123"/>
      <c r="R123" s="1035" t="s">
        <v>83</v>
      </c>
      <c r="S123" s="1038">
        <f>COUNTIF($R$3:R123,R123)</f>
        <v>19</v>
      </c>
      <c r="T123" s="1038" t="str">
        <f t="shared" si="27"/>
        <v>EG END CAP ④</v>
      </c>
      <c r="U123" s="1037">
        <f t="shared" si="28"/>
        <v>0</v>
      </c>
      <c r="V123" s="1037">
        <f t="shared" si="28"/>
        <v>0</v>
      </c>
      <c r="X123" s="1043" t="str">
        <f t="shared" si="33"/>
        <v>압출 PCM</v>
      </c>
      <c r="Y123" s="1044">
        <f t="shared" si="20"/>
        <v>117</v>
      </c>
      <c r="Z123" s="1044" t="str">
        <f t="array" ref="Z123">IFERROR(INDEX($T$3:$T$373,MATCH(1,($X123=$R$3:$R$373)*($Y123=$S$3:$S$373),0))," ")</f>
        <v xml:space="preserve"> </v>
      </c>
      <c r="AA123" s="1044" t="str">
        <f t="array" ref="AA123">IFERROR(INDEX($U$3:$U$373,MATCH(1,($X123=$R$3:$R$373)*($Y123=$S$3:$S$373),0))," ")</f>
        <v xml:space="preserve"> </v>
      </c>
      <c r="AB123" s="1045" t="str">
        <f t="array" ref="AB123">IFERROR(INDEX($V$3:$V$373,MATCH(1,($X123=$R$3:$R$373)*($Y123=$S$3:$S$373),0))," ")</f>
        <v xml:space="preserve"> </v>
      </c>
    </row>
    <row r="124" spans="1:40" ht="17.100000000000001" customHeight="1">
      <c r="A124" s="2295"/>
      <c r="B124" s="1543" t="s">
        <v>1645</v>
      </c>
      <c r="C124" s="1225" t="s">
        <v>323</v>
      </c>
      <c r="D124" s="1226" t="s">
        <v>32</v>
      </c>
      <c r="E124" s="2305" t="s">
        <v>324</v>
      </c>
      <c r="F124" s="2360"/>
      <c r="G124" s="858">
        <v>25.2</v>
      </c>
      <c r="H124" s="703">
        <f>부자재매입내역!AL61</f>
        <v>10000</v>
      </c>
      <c r="I124" s="979">
        <f t="shared" si="7"/>
        <v>252000</v>
      </c>
      <c r="J124" s="2118"/>
      <c r="K124" s="954"/>
      <c r="L124" s="869"/>
      <c r="M124"/>
      <c r="R124" s="1035" t="s">
        <v>83</v>
      </c>
      <c r="S124" s="1038">
        <f>COUNTIF($R$3:R124,R124)</f>
        <v>20</v>
      </c>
      <c r="T124" s="1038" t="str">
        <f t="shared" si="27"/>
        <v>EG CLIP(W)</v>
      </c>
      <c r="U124" s="1037">
        <f t="shared" si="28"/>
        <v>10000</v>
      </c>
      <c r="V124" s="1037">
        <f t="shared" si="28"/>
        <v>252000</v>
      </c>
      <c r="X124" s="1043" t="str">
        <f t="shared" si="33"/>
        <v>압출 PCM</v>
      </c>
      <c r="Y124" s="1044">
        <f t="shared" si="20"/>
        <v>118</v>
      </c>
      <c r="Z124" s="1044" t="str">
        <f t="array" ref="Z124">IFERROR(INDEX($T$3:$T$373,MATCH(1,($X124=$R$3:$R$373)*($Y124=$S$3:$S$373),0))," ")</f>
        <v xml:space="preserve"> </v>
      </c>
      <c r="AA124" s="1044" t="str">
        <f t="array" ref="AA124">IFERROR(INDEX($U$3:$U$373,MATCH(1,($X124=$R$3:$R$373)*($Y124=$S$3:$S$373),0))," ")</f>
        <v xml:space="preserve"> </v>
      </c>
      <c r="AB124" s="1045" t="str">
        <f t="array" ref="AB124">IFERROR(INDEX($V$3:$V$373,MATCH(1,($X124=$R$3:$R$373)*($Y124=$S$3:$S$373),0))," ")</f>
        <v xml:space="preserve"> </v>
      </c>
    </row>
    <row r="125" spans="1:40" ht="17.100000000000001" customHeight="1">
      <c r="A125" s="2295"/>
      <c r="B125" s="1543" t="s">
        <v>1646</v>
      </c>
      <c r="C125" s="1225" t="s">
        <v>325</v>
      </c>
      <c r="D125" s="1226" t="s">
        <v>32</v>
      </c>
      <c r="E125" s="2304"/>
      <c r="F125" s="2360"/>
      <c r="G125" s="858">
        <v>25.2</v>
      </c>
      <c r="H125" s="703">
        <f>부자재매입내역!AL62</f>
        <v>10000</v>
      </c>
      <c r="I125" s="979">
        <f t="shared" si="7"/>
        <v>252000</v>
      </c>
      <c r="J125" s="2118"/>
      <c r="K125" s="954"/>
      <c r="L125" s="869"/>
      <c r="M125"/>
      <c r="R125" s="1035" t="s">
        <v>83</v>
      </c>
      <c r="S125" s="1038">
        <f>COUNTIF($R$3:R125,R125)</f>
        <v>21</v>
      </c>
      <c r="T125" s="1038" t="str">
        <f t="shared" si="27"/>
        <v>EG CLIP(Y)</v>
      </c>
      <c r="U125" s="1037">
        <f t="shared" si="28"/>
        <v>10000</v>
      </c>
      <c r="V125" s="1037">
        <f t="shared" si="28"/>
        <v>252000</v>
      </c>
      <c r="X125" s="1043" t="str">
        <f t="shared" si="33"/>
        <v>압출 PCM</v>
      </c>
      <c r="Y125" s="1044">
        <f t="shared" si="20"/>
        <v>119</v>
      </c>
      <c r="Z125" s="1044" t="str">
        <f t="array" ref="Z125">IFERROR(INDEX($T$3:$T$373,MATCH(1,($X125=$R$3:$R$373)*($Y125=$S$3:$S$373),0))," ")</f>
        <v xml:space="preserve"> </v>
      </c>
      <c r="AA125" s="1044" t="str">
        <f t="array" ref="AA125">IFERROR(INDEX($U$3:$U$373,MATCH(1,($X125=$R$3:$R$373)*($Y125=$S$3:$S$373),0))," ")</f>
        <v xml:space="preserve"> </v>
      </c>
      <c r="AB125" s="1045" t="str">
        <f t="array" ref="AB125">IFERROR(INDEX($V$3:$V$373,MATCH(1,($X125=$R$3:$R$373)*($Y125=$S$3:$S$373),0))," ")</f>
        <v xml:space="preserve"> </v>
      </c>
    </row>
    <row r="126" spans="1:40" ht="17.100000000000001" customHeight="1">
      <c r="A126" s="2295"/>
      <c r="B126" s="1543" t="s">
        <v>1647</v>
      </c>
      <c r="C126" s="1225" t="s">
        <v>326</v>
      </c>
      <c r="D126" s="1226" t="s">
        <v>32</v>
      </c>
      <c r="E126" s="2368" t="s">
        <v>86</v>
      </c>
      <c r="F126" s="2360"/>
      <c r="G126" s="858">
        <v>35.4</v>
      </c>
      <c r="H126" s="703">
        <f>부자재매입내역!AL74</f>
        <v>2000</v>
      </c>
      <c r="I126" s="979">
        <f>G126*H126</f>
        <v>70800</v>
      </c>
      <c r="J126" s="2118"/>
      <c r="K126" s="954"/>
      <c r="L126" s="869"/>
      <c r="M126"/>
      <c r="R126" s="1035" t="s">
        <v>83</v>
      </c>
      <c r="S126" s="1038">
        <f>COUNTIF($R$3:R126,R126)</f>
        <v>22</v>
      </c>
      <c r="T126" s="1038" t="str">
        <f t="shared" si="27"/>
        <v>GV END CAP LH-X</v>
      </c>
      <c r="U126" s="1037">
        <f t="shared" si="28"/>
        <v>2000</v>
      </c>
      <c r="V126" s="1037">
        <f t="shared" si="28"/>
        <v>70800</v>
      </c>
      <c r="X126" s="1043" t="str">
        <f t="shared" si="33"/>
        <v>압출 PCM</v>
      </c>
      <c r="Y126" s="1044">
        <f t="shared" si="20"/>
        <v>120</v>
      </c>
      <c r="Z126" s="1044" t="str">
        <f t="array" ref="Z126">IFERROR(INDEX($T$3:$T$373,MATCH(1,($X126=$R$3:$R$373)*($Y126=$S$3:$S$373),0))," ")</f>
        <v xml:space="preserve"> </v>
      </c>
      <c r="AA126" s="1044" t="str">
        <f t="array" ref="AA126">IFERROR(INDEX($U$3:$U$373,MATCH(1,($X126=$R$3:$R$373)*($Y126=$S$3:$S$373),0))," ")</f>
        <v xml:space="preserve"> </v>
      </c>
      <c r="AB126" s="1045" t="str">
        <f t="array" ref="AB126">IFERROR(INDEX($V$3:$V$373,MATCH(1,($X126=$R$3:$R$373)*($Y126=$S$3:$S$373),0))," ")</f>
        <v xml:space="preserve"> </v>
      </c>
    </row>
    <row r="127" spans="1:40" ht="17.100000000000001" customHeight="1">
      <c r="A127" s="2295"/>
      <c r="B127" s="1543" t="s">
        <v>1648</v>
      </c>
      <c r="C127" s="1225" t="s">
        <v>327</v>
      </c>
      <c r="D127" s="909" t="s">
        <v>27</v>
      </c>
      <c r="E127" s="2303"/>
      <c r="F127" s="2360"/>
      <c r="G127" s="858">
        <v>35.4</v>
      </c>
      <c r="H127" s="703">
        <f>부자재매입내역!AL75</f>
        <v>2000</v>
      </c>
      <c r="I127" s="979">
        <f>G127*H127</f>
        <v>70800</v>
      </c>
      <c r="J127" s="2118"/>
      <c r="K127" s="954"/>
      <c r="L127" s="869"/>
      <c r="M127"/>
      <c r="R127" s="1035" t="s">
        <v>83</v>
      </c>
      <c r="S127" s="1038">
        <f>COUNTIF($R$3:R127,R127)</f>
        <v>23</v>
      </c>
      <c r="T127" s="1038" t="str">
        <f t="shared" si="27"/>
        <v>GV END CAP RH-X</v>
      </c>
      <c r="U127" s="1037">
        <f t="shared" si="28"/>
        <v>2000</v>
      </c>
      <c r="V127" s="1037">
        <f t="shared" si="28"/>
        <v>70800</v>
      </c>
      <c r="X127" s="1043" t="str">
        <f t="shared" si="33"/>
        <v>압출 PCM</v>
      </c>
      <c r="Y127" s="1044">
        <f t="shared" si="20"/>
        <v>121</v>
      </c>
      <c r="Z127" s="1044" t="str">
        <f t="array" ref="Z127">IFERROR(INDEX($T$3:$T$373,MATCH(1,($X127=$R$3:$R$373)*($Y127=$S$3:$S$373),0))," ")</f>
        <v xml:space="preserve"> </v>
      </c>
      <c r="AA127" s="1044" t="str">
        <f t="array" ref="AA127">IFERROR(INDEX($U$3:$U$373,MATCH(1,($X127=$R$3:$R$373)*($Y127=$S$3:$S$373),0))," ")</f>
        <v xml:space="preserve"> </v>
      </c>
      <c r="AB127" s="1045" t="str">
        <f t="array" ref="AB127">IFERROR(INDEX($V$3:$V$373,MATCH(1,($X127=$R$3:$R$373)*($Y127=$S$3:$S$373),0))," ")</f>
        <v xml:space="preserve"> </v>
      </c>
      <c r="AE127" s="262"/>
    </row>
    <row r="128" spans="1:40" ht="17.100000000000001" customHeight="1">
      <c r="A128" s="2295"/>
      <c r="B128" s="1543" t="s">
        <v>1649</v>
      </c>
      <c r="C128" s="1225" t="s">
        <v>328</v>
      </c>
      <c r="D128" s="909" t="s">
        <v>27</v>
      </c>
      <c r="E128" s="2303"/>
      <c r="F128" s="2360"/>
      <c r="G128" s="858">
        <v>35.4</v>
      </c>
      <c r="H128" s="703">
        <f>부자재매입내역!AL76</f>
        <v>2000</v>
      </c>
      <c r="I128" s="979">
        <f>G128*H128</f>
        <v>70800</v>
      </c>
      <c r="J128" s="2118"/>
      <c r="K128" s="954"/>
      <c r="L128" s="869"/>
      <c r="M128"/>
      <c r="R128" s="1035" t="s">
        <v>83</v>
      </c>
      <c r="S128" s="1038">
        <f>COUNTIF($R$3:R128,R128)</f>
        <v>24</v>
      </c>
      <c r="T128" s="1038" t="str">
        <f t="shared" si="27"/>
        <v>GV END CAP LH-Y</v>
      </c>
      <c r="U128" s="1037">
        <f t="shared" ref="U128:V193" si="34">H128</f>
        <v>2000</v>
      </c>
      <c r="V128" s="1037">
        <f t="shared" si="34"/>
        <v>70800</v>
      </c>
      <c r="X128" s="1043" t="str">
        <f t="shared" si="33"/>
        <v>압출 PCM</v>
      </c>
      <c r="Y128" s="1044">
        <f t="shared" si="20"/>
        <v>122</v>
      </c>
      <c r="Z128" s="1044" t="str">
        <f t="array" ref="Z128">IFERROR(INDEX($T$3:$T$373,MATCH(1,($X128=$R$3:$R$373)*($Y128=$S$3:$S$373),0))," ")</f>
        <v xml:space="preserve"> </v>
      </c>
      <c r="AA128" s="1044" t="str">
        <f t="array" ref="AA128">IFERROR(INDEX($U$3:$U$373,MATCH(1,($X128=$R$3:$R$373)*($Y128=$S$3:$S$373),0))," ")</f>
        <v xml:space="preserve"> </v>
      </c>
      <c r="AB128" s="1045" t="str">
        <f t="array" ref="AB128">IFERROR(INDEX($V$3:$V$373,MATCH(1,($X128=$R$3:$R$373)*($Y128=$S$3:$S$373),0))," ")</f>
        <v xml:space="preserve"> </v>
      </c>
      <c r="AE128" s="262"/>
    </row>
    <row r="129" spans="1:40" ht="17.100000000000001" customHeight="1">
      <c r="A129" s="2295"/>
      <c r="B129" s="1543" t="s">
        <v>1650</v>
      </c>
      <c r="C129" s="1225" t="s">
        <v>329</v>
      </c>
      <c r="D129" s="909" t="s">
        <v>27</v>
      </c>
      <c r="E129" s="2304"/>
      <c r="F129" s="2360"/>
      <c r="G129" s="858">
        <v>35.4</v>
      </c>
      <c r="H129" s="703">
        <f>부자재매입내역!AL77</f>
        <v>2000</v>
      </c>
      <c r="I129" s="979">
        <f>G129*H129</f>
        <v>70800</v>
      </c>
      <c r="J129" s="2118"/>
      <c r="K129" s="954"/>
      <c r="L129" s="869"/>
      <c r="M129"/>
      <c r="N129" s="262"/>
      <c r="O129" s="262"/>
      <c r="P129" s="262"/>
      <c r="Q129" s="262"/>
      <c r="R129" s="1035" t="s">
        <v>83</v>
      </c>
      <c r="S129" s="1038">
        <f>COUNTIF($R$3:R129,R129)</f>
        <v>25</v>
      </c>
      <c r="T129" s="1038" t="str">
        <f t="shared" si="27"/>
        <v>GV END CAP RH-Y</v>
      </c>
      <c r="U129" s="1037">
        <f t="shared" si="34"/>
        <v>2000</v>
      </c>
      <c r="V129" s="1037">
        <f t="shared" si="34"/>
        <v>70800</v>
      </c>
      <c r="W129" s="262"/>
      <c r="X129" s="1043" t="str">
        <f t="shared" si="33"/>
        <v>압출 PCM</v>
      </c>
      <c r="Y129" s="1044">
        <f t="shared" si="20"/>
        <v>123</v>
      </c>
      <c r="Z129" s="1044" t="str">
        <f t="array" ref="Z129">IFERROR(INDEX($T$3:$T$373,MATCH(1,($X129=$R$3:$R$373)*($Y129=$S$3:$S$373),0))," ")</f>
        <v xml:space="preserve"> </v>
      </c>
      <c r="AA129" s="1044" t="str">
        <f t="array" ref="AA129">IFERROR(INDEX($U$3:$U$373,MATCH(1,($X129=$R$3:$R$373)*($Y129=$S$3:$S$373),0))," ")</f>
        <v xml:space="preserve"> </v>
      </c>
      <c r="AB129" s="1045" t="str">
        <f t="array" ref="AB129">IFERROR(INDEX($V$3:$V$373,MATCH(1,($X129=$R$3:$R$373)*($Y129=$S$3:$S$373),0))," ")</f>
        <v xml:space="preserve"> </v>
      </c>
      <c r="AC129" s="262"/>
      <c r="AE129" s="262"/>
      <c r="AF129" s="262"/>
      <c r="AG129" s="262"/>
      <c r="AH129" s="262"/>
      <c r="AI129" s="262"/>
      <c r="AJ129" s="262"/>
      <c r="AK129" s="262"/>
      <c r="AL129" s="262"/>
      <c r="AM129" s="262"/>
      <c r="AN129" s="262"/>
    </row>
    <row r="130" spans="1:40" ht="17.100000000000001" customHeight="1">
      <c r="A130" s="2295"/>
      <c r="B130" s="1543" t="s">
        <v>1651</v>
      </c>
      <c r="C130" s="1225" t="s">
        <v>44</v>
      </c>
      <c r="D130" s="909" t="s">
        <v>32</v>
      </c>
      <c r="E130" s="910" t="s">
        <v>96</v>
      </c>
      <c r="F130" s="2360"/>
      <c r="G130" s="858">
        <v>15</v>
      </c>
      <c r="H130" s="703">
        <f>부자재매입내역!AL85</f>
        <v>0</v>
      </c>
      <c r="I130" s="979">
        <f t="shared" ref="I130:I262" si="35">G130*H130</f>
        <v>0</v>
      </c>
      <c r="J130" s="2118"/>
      <c r="K130" s="954"/>
      <c r="L130" s="869"/>
      <c r="M130"/>
      <c r="N130" s="262"/>
      <c r="O130" s="262"/>
      <c r="P130" s="262"/>
      <c r="Q130" s="262"/>
      <c r="R130" s="1035" t="s">
        <v>2016</v>
      </c>
      <c r="S130" s="1038">
        <f>COUNTIF($R$3:R130,R130)</f>
        <v>22</v>
      </c>
      <c r="T130" s="1038" t="str">
        <f t="shared" si="27"/>
        <v>철CLIP(84379-43001)</v>
      </c>
      <c r="U130" s="1037">
        <f t="shared" si="34"/>
        <v>0</v>
      </c>
      <c r="V130" s="1037">
        <f t="shared" si="34"/>
        <v>0</v>
      </c>
      <c r="W130" s="262"/>
      <c r="X130" s="1043" t="str">
        <f t="shared" si="33"/>
        <v>압출 PCM</v>
      </c>
      <c r="Y130" s="1044">
        <f t="shared" si="20"/>
        <v>124</v>
      </c>
      <c r="Z130" s="1044" t="str">
        <f t="array" ref="Z130">IFERROR(INDEX($T$3:$T$373,MATCH(1,($X130=$R$3:$R$373)*($Y130=$S$3:$S$373),0))," ")</f>
        <v xml:space="preserve"> </v>
      </c>
      <c r="AA130" s="1044" t="str">
        <f t="array" ref="AA130">IFERROR(INDEX($U$3:$U$373,MATCH(1,($X130=$R$3:$R$373)*($Y130=$S$3:$S$373),0))," ")</f>
        <v xml:space="preserve"> </v>
      </c>
      <c r="AB130" s="1045" t="str">
        <f t="array" ref="AB130">IFERROR(INDEX($V$3:$V$373,MATCH(1,($X130=$R$3:$R$373)*($Y130=$S$3:$S$373),0))," ")</f>
        <v xml:space="preserve"> </v>
      </c>
      <c r="AC130" s="262"/>
      <c r="AE130" s="262"/>
      <c r="AF130" s="262"/>
      <c r="AG130" s="262"/>
      <c r="AH130" s="262"/>
      <c r="AI130" s="262"/>
      <c r="AJ130" s="262"/>
      <c r="AK130" s="262"/>
      <c r="AL130" s="262"/>
      <c r="AM130" s="262"/>
      <c r="AN130" s="262"/>
    </row>
    <row r="131" spans="1:40" ht="17.100000000000001" customHeight="1">
      <c r="A131" s="2295"/>
      <c r="B131" s="1543" t="s">
        <v>1652</v>
      </c>
      <c r="C131" s="1225" t="s">
        <v>335</v>
      </c>
      <c r="D131" s="909" t="s">
        <v>47</v>
      </c>
      <c r="E131" s="2366" t="s">
        <v>336</v>
      </c>
      <c r="F131" s="2360"/>
      <c r="G131" s="858">
        <v>58</v>
      </c>
      <c r="H131" s="703">
        <f>부자재매입내역!AL78</f>
        <v>0</v>
      </c>
      <c r="I131" s="979">
        <f t="shared" si="35"/>
        <v>0</v>
      </c>
      <c r="J131" s="2118"/>
      <c r="K131" s="954"/>
      <c r="L131" s="869"/>
      <c r="M131"/>
      <c r="N131" s="262"/>
      <c r="O131" s="262"/>
      <c r="P131" s="262"/>
      <c r="Q131" s="262"/>
      <c r="R131" s="1035" t="s">
        <v>83</v>
      </c>
      <c r="S131" s="1038">
        <f>COUNTIF($R$3:R131,R131)</f>
        <v>26</v>
      </c>
      <c r="T131" s="1038" t="str">
        <f t="shared" si="27"/>
        <v>C001</v>
      </c>
      <c r="U131" s="1037">
        <f t="shared" si="34"/>
        <v>0</v>
      </c>
      <c r="V131" s="1037">
        <f t="shared" si="34"/>
        <v>0</v>
      </c>
      <c r="W131" s="262"/>
      <c r="X131" s="1043" t="str">
        <f t="shared" si="33"/>
        <v>압출 PCM</v>
      </c>
      <c r="Y131" s="1044">
        <f t="shared" si="20"/>
        <v>125</v>
      </c>
      <c r="Z131" s="1044" t="str">
        <f t="array" ref="Z131">IFERROR(INDEX($T$3:$T$373,MATCH(1,($X131=$R$3:$R$373)*($Y131=$S$3:$S$373),0))," ")</f>
        <v xml:space="preserve"> </v>
      </c>
      <c r="AA131" s="1044" t="str">
        <f t="array" ref="AA131">IFERROR(INDEX($U$3:$U$373,MATCH(1,($X131=$R$3:$R$373)*($Y131=$S$3:$S$373),0))," ")</f>
        <v xml:space="preserve"> </v>
      </c>
      <c r="AB131" s="1045" t="str">
        <f t="array" ref="AB131">IFERROR(INDEX($V$3:$V$373,MATCH(1,($X131=$R$3:$R$373)*($Y131=$S$3:$S$373),0))," ")</f>
        <v xml:space="preserve"> </v>
      </c>
      <c r="AC131" s="262"/>
      <c r="AE131" s="262"/>
      <c r="AF131" s="262"/>
      <c r="AG131" s="262"/>
      <c r="AH131" s="262"/>
      <c r="AI131" s="262"/>
      <c r="AJ131" s="262"/>
      <c r="AK131" s="262"/>
      <c r="AL131" s="262"/>
      <c r="AM131" s="262"/>
      <c r="AN131" s="262"/>
    </row>
    <row r="132" spans="1:40" ht="17.100000000000001" customHeight="1">
      <c r="A132" s="2295"/>
      <c r="B132" s="1543" t="s">
        <v>1653</v>
      </c>
      <c r="C132" s="1225" t="s">
        <v>337</v>
      </c>
      <c r="D132" s="909" t="s">
        <v>47</v>
      </c>
      <c r="E132" s="2367"/>
      <c r="F132" s="2360"/>
      <c r="G132" s="858">
        <v>28</v>
      </c>
      <c r="H132" s="703">
        <f>부자재매입내역!AL79</f>
        <v>0</v>
      </c>
      <c r="I132" s="979">
        <f t="shared" si="35"/>
        <v>0</v>
      </c>
      <c r="J132" s="2118"/>
      <c r="K132" s="954"/>
      <c r="L132" s="869"/>
      <c r="M132"/>
      <c r="N132" s="262"/>
      <c r="O132" s="262"/>
      <c r="P132" s="262"/>
      <c r="Q132" s="262"/>
      <c r="R132" s="1035" t="s">
        <v>83</v>
      </c>
      <c r="S132" s="1038">
        <f>COUNTIF($R$3:R132,R132)</f>
        <v>27</v>
      </c>
      <c r="T132" s="1038" t="str">
        <f t="shared" si="27"/>
        <v>C002</v>
      </c>
      <c r="U132" s="1037">
        <f t="shared" si="34"/>
        <v>0</v>
      </c>
      <c r="V132" s="1037">
        <f t="shared" si="34"/>
        <v>0</v>
      </c>
      <c r="W132" s="262"/>
      <c r="X132" s="1043" t="str">
        <f t="shared" si="33"/>
        <v>압출 PCM</v>
      </c>
      <c r="Y132" s="1044">
        <f t="shared" si="20"/>
        <v>126</v>
      </c>
      <c r="Z132" s="1044" t="str">
        <f t="array" ref="Z132">IFERROR(INDEX($T$3:$T$373,MATCH(1,($X132=$R$3:$R$373)*($Y132=$S$3:$S$373),0))," ")</f>
        <v xml:space="preserve"> </v>
      </c>
      <c r="AA132" s="1044" t="str">
        <f t="array" ref="AA132">IFERROR(INDEX($U$3:$U$373,MATCH(1,($X132=$R$3:$R$373)*($Y132=$S$3:$S$373),0))," ")</f>
        <v xml:space="preserve"> </v>
      </c>
      <c r="AB132" s="1045" t="str">
        <f t="array" ref="AB132">IFERROR(INDEX($V$3:$V$373,MATCH(1,($X132=$R$3:$R$373)*($Y132=$S$3:$S$373),0))," ")</f>
        <v xml:space="preserve"> </v>
      </c>
      <c r="AC132" s="262"/>
      <c r="AE132" s="262"/>
      <c r="AF132" s="262"/>
      <c r="AG132" s="262"/>
      <c r="AH132" s="262"/>
      <c r="AI132" s="262"/>
      <c r="AJ132" s="262"/>
      <c r="AK132" s="262"/>
      <c r="AL132" s="262"/>
      <c r="AM132" s="262"/>
      <c r="AN132" s="262"/>
    </row>
    <row r="133" spans="1:40" ht="17.100000000000001" customHeight="1">
      <c r="A133" s="2295"/>
      <c r="B133" s="1543" t="s">
        <v>1816</v>
      </c>
      <c r="C133" s="1225" t="s">
        <v>338</v>
      </c>
      <c r="D133" s="909" t="s">
        <v>47</v>
      </c>
      <c r="E133" s="909" t="s">
        <v>654</v>
      </c>
      <c r="F133" s="2360"/>
      <c r="G133" s="858">
        <v>9.5</v>
      </c>
      <c r="H133" s="703">
        <f>부자재매입내역!AL88</f>
        <v>50000</v>
      </c>
      <c r="I133" s="979">
        <f t="shared" si="35"/>
        <v>475000</v>
      </c>
      <c r="J133" s="2118"/>
      <c r="K133" s="954"/>
      <c r="L133" s="869"/>
      <c r="M133"/>
      <c r="N133" s="262"/>
      <c r="O133" s="262"/>
      <c r="P133" s="262"/>
      <c r="Q133" s="262"/>
      <c r="R133" s="1035" t="s">
        <v>180</v>
      </c>
      <c r="S133" s="1038">
        <f>COUNTIF($R$3:R133,R133)</f>
        <v>14</v>
      </c>
      <c r="T133" s="1038" t="str">
        <f t="shared" si="27"/>
        <v>EPDM PAD 5*10*70</v>
      </c>
      <c r="U133" s="1037">
        <f t="shared" si="34"/>
        <v>50000</v>
      </c>
      <c r="V133" s="1037">
        <f t="shared" si="34"/>
        <v>475000</v>
      </c>
      <c r="W133" s="262"/>
      <c r="X133" s="1043" t="str">
        <f t="shared" si="33"/>
        <v>압출 PCM</v>
      </c>
      <c r="Y133" s="1044">
        <f t="shared" si="20"/>
        <v>127</v>
      </c>
      <c r="Z133" s="1044" t="str">
        <f t="array" ref="Z133">IFERROR(INDEX($T$3:$T$373,MATCH(1,($X133=$R$3:$R$373)*($Y133=$S$3:$S$373),0))," ")</f>
        <v xml:space="preserve"> </v>
      </c>
      <c r="AA133" s="1044" t="str">
        <f t="array" ref="AA133">IFERROR(INDEX($U$3:$U$373,MATCH(1,($X133=$R$3:$R$373)*($Y133=$S$3:$S$373),0))," ")</f>
        <v xml:space="preserve"> </v>
      </c>
      <c r="AB133" s="1045" t="str">
        <f t="array" ref="AB133">IFERROR(INDEX($V$3:$V$373,MATCH(1,($X133=$R$3:$R$373)*($Y133=$S$3:$S$373),0))," ")</f>
        <v xml:space="preserve"> </v>
      </c>
      <c r="AC133" s="262"/>
      <c r="AE133" s="262"/>
      <c r="AF133" s="262"/>
      <c r="AG133" s="262"/>
      <c r="AH133" s="262"/>
      <c r="AI133" s="262"/>
      <c r="AJ133" s="262"/>
      <c r="AK133" s="262"/>
      <c r="AL133" s="262"/>
      <c r="AM133" s="262"/>
      <c r="AN133" s="262"/>
    </row>
    <row r="134" spans="1:40" ht="17.100000000000001" customHeight="1">
      <c r="A134" s="2295"/>
      <c r="B134" s="1543" t="s">
        <v>1815</v>
      </c>
      <c r="C134" s="1225" t="s">
        <v>339</v>
      </c>
      <c r="D134" s="909" t="s">
        <v>47</v>
      </c>
      <c r="E134" s="909" t="s">
        <v>498</v>
      </c>
      <c r="F134" s="2360"/>
      <c r="G134" s="858">
        <v>3.7</v>
      </c>
      <c r="H134" s="703">
        <f>부자재매입내역!AL13</f>
        <v>950000</v>
      </c>
      <c r="I134" s="979">
        <f>G134*H134</f>
        <v>3515000</v>
      </c>
      <c r="J134" s="2118"/>
      <c r="K134" s="954"/>
      <c r="L134" s="869"/>
      <c r="M134"/>
      <c r="N134" s="262"/>
      <c r="O134" s="262"/>
      <c r="P134" s="262"/>
      <c r="Q134" s="262"/>
      <c r="R134" s="1035" t="s">
        <v>180</v>
      </c>
      <c r="S134" s="1038">
        <f>COUNTIF($R$3:R134,R134)</f>
        <v>15</v>
      </c>
      <c r="T134" s="1038" t="str">
        <f t="shared" si="27"/>
        <v>GS-034 MOUNTING CLIP</v>
      </c>
      <c r="U134" s="1037">
        <f t="shared" si="34"/>
        <v>950000</v>
      </c>
      <c r="V134" s="1037">
        <f t="shared" si="34"/>
        <v>3515000</v>
      </c>
      <c r="W134" s="262"/>
      <c r="X134" s="1043" t="str">
        <f t="shared" si="33"/>
        <v>압출 PCM</v>
      </c>
      <c r="Y134" s="1044">
        <f t="shared" si="20"/>
        <v>128</v>
      </c>
      <c r="Z134" s="1044" t="str">
        <f t="array" ref="Z134">IFERROR(INDEX($T$3:$T$373,MATCH(1,($X134=$R$3:$R$373)*($Y134=$S$3:$S$373),0))," ")</f>
        <v xml:space="preserve"> </v>
      </c>
      <c r="AA134" s="1044" t="str">
        <f t="array" ref="AA134">IFERROR(INDEX($U$3:$U$373,MATCH(1,($X134=$R$3:$R$373)*($Y134=$S$3:$S$373),0))," ")</f>
        <v xml:space="preserve"> </v>
      </c>
      <c r="AB134" s="1045" t="str">
        <f t="array" ref="AB134">IFERROR(INDEX($V$3:$V$373,MATCH(1,($X134=$R$3:$R$373)*($Y134=$S$3:$S$373),0))," ")</f>
        <v xml:space="preserve"> </v>
      </c>
      <c r="AC134" s="262"/>
      <c r="AE134" s="262"/>
      <c r="AF134" s="262"/>
      <c r="AG134" s="262"/>
      <c r="AH134" s="262"/>
      <c r="AI134" s="262"/>
      <c r="AJ134" s="262"/>
      <c r="AK134" s="262"/>
      <c r="AL134" s="262"/>
      <c r="AM134" s="262"/>
      <c r="AN134" s="262"/>
    </row>
    <row r="135" spans="1:40" ht="17.100000000000001" customHeight="1">
      <c r="A135" s="2295"/>
      <c r="B135" s="1543" t="s">
        <v>1654</v>
      </c>
      <c r="C135" s="1225" t="s">
        <v>340</v>
      </c>
      <c r="D135" s="909" t="s">
        <v>47</v>
      </c>
      <c r="E135" s="2299" t="s">
        <v>186</v>
      </c>
      <c r="F135" s="2360"/>
      <c r="G135" s="858">
        <v>20</v>
      </c>
      <c r="H135" s="703">
        <f>부자재매입내역!AL92</f>
        <v>0</v>
      </c>
      <c r="I135" s="979">
        <f t="shared" si="35"/>
        <v>0</v>
      </c>
      <c r="J135" s="2118"/>
      <c r="K135" s="954"/>
      <c r="L135" s="869"/>
      <c r="M135"/>
      <c r="N135" s="262"/>
      <c r="O135" s="262"/>
      <c r="P135" s="262"/>
      <c r="Q135" s="262"/>
      <c r="R135" s="1035" t="s">
        <v>2016</v>
      </c>
      <c r="S135" s="1038">
        <f>COUNTIF($R$3:R135,R135)</f>
        <v>23</v>
      </c>
      <c r="T135" s="1038" t="str">
        <f t="shared" si="27"/>
        <v>EPDM PAD 5*17*70(LH)</v>
      </c>
      <c r="U135" s="1037">
        <f t="shared" si="34"/>
        <v>0</v>
      </c>
      <c r="V135" s="1037">
        <f t="shared" si="34"/>
        <v>0</v>
      </c>
      <c r="W135" s="262"/>
      <c r="X135" s="1043" t="str">
        <f t="shared" si="33"/>
        <v>압출 PCM</v>
      </c>
      <c r="Y135" s="1044">
        <f t="shared" si="20"/>
        <v>129</v>
      </c>
      <c r="Z135" s="1044" t="str">
        <f t="array" ref="Z135">IFERROR(INDEX($T$3:$T$373,MATCH(1,($X135=$R$3:$R$373)*($Y135=$S$3:$S$373),0))," ")</f>
        <v xml:space="preserve"> </v>
      </c>
      <c r="AA135" s="1044" t="str">
        <f t="array" ref="AA135">IFERROR(INDEX($U$3:$U$373,MATCH(1,($X135=$R$3:$R$373)*($Y135=$S$3:$S$373),0))," ")</f>
        <v xml:space="preserve"> </v>
      </c>
      <c r="AB135" s="1045" t="str">
        <f t="array" ref="AB135">IFERROR(INDEX($V$3:$V$373,MATCH(1,($X135=$R$3:$R$373)*($Y135=$S$3:$S$373),0))," ")</f>
        <v xml:space="preserve"> </v>
      </c>
      <c r="AC135" s="262"/>
      <c r="AE135" s="262"/>
      <c r="AF135" s="262"/>
      <c r="AG135" s="262"/>
      <c r="AH135" s="262"/>
      <c r="AI135" s="262"/>
      <c r="AJ135" s="262"/>
      <c r="AK135" s="262"/>
      <c r="AL135" s="262"/>
      <c r="AM135" s="262"/>
      <c r="AN135" s="262"/>
    </row>
    <row r="136" spans="1:40" ht="17.100000000000001" customHeight="1">
      <c r="A136" s="2295"/>
      <c r="B136" s="1543" t="s">
        <v>1655</v>
      </c>
      <c r="C136" s="1225" t="s">
        <v>341</v>
      </c>
      <c r="D136" s="909" t="s">
        <v>47</v>
      </c>
      <c r="E136" s="2300"/>
      <c r="F136" s="2360"/>
      <c r="G136" s="858">
        <v>20</v>
      </c>
      <c r="H136" s="703">
        <f>부자재매입내역!AL93</f>
        <v>0</v>
      </c>
      <c r="I136" s="979">
        <f t="shared" si="35"/>
        <v>0</v>
      </c>
      <c r="J136" s="2118"/>
      <c r="K136" s="954"/>
      <c r="L136" s="869"/>
      <c r="M136"/>
      <c r="N136" s="262"/>
      <c r="O136" s="262"/>
      <c r="P136" s="262"/>
      <c r="Q136" s="262"/>
      <c r="R136" s="1035" t="s">
        <v>2016</v>
      </c>
      <c r="S136" s="1038">
        <f>COUNTIF($R$3:R136,R136)</f>
        <v>24</v>
      </c>
      <c r="T136" s="1038" t="str">
        <f t="shared" si="27"/>
        <v>EPDM PAD 5*17*70(RH)</v>
      </c>
      <c r="U136" s="1037">
        <f t="shared" si="34"/>
        <v>0</v>
      </c>
      <c r="V136" s="1037">
        <f t="shared" si="34"/>
        <v>0</v>
      </c>
      <c r="W136" s="262"/>
      <c r="X136" s="1043" t="str">
        <f t="shared" si="33"/>
        <v>압출 PCM</v>
      </c>
      <c r="Y136" s="1044">
        <f t="shared" si="20"/>
        <v>130</v>
      </c>
      <c r="Z136" s="1044" t="str">
        <f t="array" ref="Z136">IFERROR(INDEX($T$3:$T$373,MATCH(1,($X136=$R$3:$R$373)*($Y136=$S$3:$S$373),0))," ")</f>
        <v xml:space="preserve"> </v>
      </c>
      <c r="AA136" s="1044" t="str">
        <f t="array" ref="AA136">IFERROR(INDEX($U$3:$U$373,MATCH(1,($X136=$R$3:$R$373)*($Y136=$S$3:$S$373),0))," ")</f>
        <v xml:space="preserve"> </v>
      </c>
      <c r="AB136" s="1045" t="str">
        <f t="array" ref="AB136">IFERROR(INDEX($V$3:$V$373,MATCH(1,($X136=$R$3:$R$373)*($Y136=$S$3:$S$373),0))," ")</f>
        <v xml:space="preserve"> </v>
      </c>
      <c r="AC136" s="262"/>
      <c r="AE136" s="262"/>
      <c r="AF136" s="262"/>
      <c r="AG136" s="262"/>
      <c r="AH136" s="262"/>
      <c r="AI136" s="262"/>
      <c r="AJ136" s="262"/>
      <c r="AK136" s="262"/>
      <c r="AL136" s="262"/>
      <c r="AM136" s="262"/>
      <c r="AN136" s="262"/>
    </row>
    <row r="137" spans="1:40" ht="17.100000000000001" customHeight="1">
      <c r="A137" s="2295"/>
      <c r="B137" s="1543" t="s">
        <v>1656</v>
      </c>
      <c r="C137" s="1225" t="s">
        <v>342</v>
      </c>
      <c r="D137" s="909" t="s">
        <v>47</v>
      </c>
      <c r="E137" s="2299" t="s">
        <v>198</v>
      </c>
      <c r="F137" s="2360"/>
      <c r="G137" s="858">
        <v>9</v>
      </c>
      <c r="H137" s="703">
        <f>부자재매입내역!AL94</f>
        <v>0</v>
      </c>
      <c r="I137" s="979">
        <f t="shared" si="35"/>
        <v>0</v>
      </c>
      <c r="J137" s="2118"/>
      <c r="K137" s="954"/>
      <c r="L137" s="869"/>
      <c r="M137"/>
      <c r="N137" s="262"/>
      <c r="O137" s="262"/>
      <c r="P137" s="262"/>
      <c r="Q137" s="262"/>
      <c r="R137" s="1035" t="s">
        <v>2016</v>
      </c>
      <c r="S137" s="1038">
        <f>COUNTIF($R$3:R137,R137)</f>
        <v>25</v>
      </c>
      <c r="T137" s="1038" t="str">
        <f t="shared" si="27"/>
        <v>3101-0257(BL CLIP)</v>
      </c>
      <c r="U137" s="1037">
        <f t="shared" si="34"/>
        <v>0</v>
      </c>
      <c r="V137" s="1037">
        <f t="shared" si="34"/>
        <v>0</v>
      </c>
      <c r="W137" s="262"/>
      <c r="X137" s="1043" t="str">
        <f t="shared" si="33"/>
        <v>압출 PCM</v>
      </c>
      <c r="Y137" s="1044">
        <f t="shared" si="20"/>
        <v>131</v>
      </c>
      <c r="Z137" s="1044" t="str">
        <f t="array" ref="Z137">IFERROR(INDEX($T$3:$T$373,MATCH(1,($X137=$R$3:$R$373)*($Y137=$S$3:$S$373),0))," ")</f>
        <v xml:space="preserve"> </v>
      </c>
      <c r="AA137" s="1044" t="str">
        <f t="array" ref="AA137">IFERROR(INDEX($U$3:$U$373,MATCH(1,($X137=$R$3:$R$373)*($Y137=$S$3:$S$373),0))," ")</f>
        <v xml:space="preserve"> </v>
      </c>
      <c r="AB137" s="1045" t="str">
        <f t="array" ref="AB137">IFERROR(INDEX($V$3:$V$373,MATCH(1,($X137=$R$3:$R$373)*($Y137=$S$3:$S$373),0))," ")</f>
        <v xml:space="preserve"> </v>
      </c>
      <c r="AC137" s="262"/>
      <c r="AE137" s="262"/>
      <c r="AF137" s="262"/>
      <c r="AG137" s="262"/>
      <c r="AH137" s="262"/>
      <c r="AI137" s="262"/>
      <c r="AJ137" s="262"/>
      <c r="AK137" s="262"/>
      <c r="AL137" s="262"/>
      <c r="AM137" s="262"/>
      <c r="AN137" s="262"/>
    </row>
    <row r="138" spans="1:40" ht="17.100000000000001" customHeight="1">
      <c r="A138" s="2295"/>
      <c r="B138" s="1543" t="s">
        <v>1657</v>
      </c>
      <c r="C138" s="1225" t="s">
        <v>343</v>
      </c>
      <c r="D138" s="909" t="s">
        <v>47</v>
      </c>
      <c r="E138" s="2293"/>
      <c r="F138" s="2360"/>
      <c r="G138" s="858">
        <v>4</v>
      </c>
      <c r="H138" s="703">
        <f>부자재매입내역!AL95</f>
        <v>0</v>
      </c>
      <c r="I138" s="979">
        <f t="shared" si="35"/>
        <v>0</v>
      </c>
      <c r="J138" s="2118"/>
      <c r="K138" s="954"/>
      <c r="L138" s="869"/>
      <c r="M138"/>
      <c r="N138" s="262"/>
      <c r="O138" s="262"/>
      <c r="P138" s="262"/>
      <c r="Q138" s="262"/>
      <c r="R138" s="1035" t="s">
        <v>2016</v>
      </c>
      <c r="S138" s="1038">
        <f>COUNTIF($R$3:R138,R138)</f>
        <v>26</v>
      </c>
      <c r="T138" s="1038" t="str">
        <f t="shared" si="27"/>
        <v>EPDM PAD 3*6*40</v>
      </c>
      <c r="U138" s="1037">
        <f t="shared" si="34"/>
        <v>0</v>
      </c>
      <c r="V138" s="1037">
        <f t="shared" si="34"/>
        <v>0</v>
      </c>
      <c r="W138" s="262"/>
      <c r="X138" s="1043" t="str">
        <f t="shared" si="33"/>
        <v>압출 PCM</v>
      </c>
      <c r="Y138" s="1044">
        <f t="shared" si="20"/>
        <v>132</v>
      </c>
      <c r="Z138" s="1044" t="str">
        <f t="array" ref="Z138">IFERROR(INDEX($T$3:$T$373,MATCH(1,($X138=$R$3:$R$373)*($Y138=$S$3:$S$373),0))," ")</f>
        <v xml:space="preserve"> </v>
      </c>
      <c r="AA138" s="1044" t="str">
        <f t="array" ref="AA138">IFERROR(INDEX($U$3:$U$373,MATCH(1,($X138=$R$3:$R$373)*($Y138=$S$3:$S$373),0))," ")</f>
        <v xml:space="preserve"> </v>
      </c>
      <c r="AB138" s="1045" t="str">
        <f t="array" ref="AB138">IFERROR(INDEX($V$3:$V$373,MATCH(1,($X138=$R$3:$R$373)*($Y138=$S$3:$S$373),0))," ")</f>
        <v xml:space="preserve"> </v>
      </c>
      <c r="AC138" s="262"/>
      <c r="AE138" s="262"/>
      <c r="AF138" s="262"/>
      <c r="AG138" s="262"/>
      <c r="AH138" s="262"/>
      <c r="AI138" s="262"/>
      <c r="AJ138" s="262"/>
      <c r="AK138" s="262"/>
      <c r="AL138" s="262"/>
      <c r="AM138" s="262"/>
      <c r="AN138" s="262"/>
    </row>
    <row r="139" spans="1:40" ht="17.100000000000001" customHeight="1">
      <c r="A139" s="2295"/>
      <c r="B139" s="1543" t="s">
        <v>1658</v>
      </c>
      <c r="C139" s="1225" t="s">
        <v>344</v>
      </c>
      <c r="D139" s="909" t="s">
        <v>47</v>
      </c>
      <c r="E139" s="2300"/>
      <c r="F139" s="2360"/>
      <c r="G139" s="858">
        <v>7</v>
      </c>
      <c r="H139" s="703">
        <f>부자재매입내역!AL96</f>
        <v>0</v>
      </c>
      <c r="I139" s="979">
        <f t="shared" si="35"/>
        <v>0</v>
      </c>
      <c r="J139" s="2118"/>
      <c r="K139" s="954"/>
      <c r="L139" s="869"/>
      <c r="M139"/>
      <c r="N139" s="262"/>
      <c r="O139" s="262"/>
      <c r="P139" s="262"/>
      <c r="Q139" s="262"/>
      <c r="R139" s="1035" t="s">
        <v>2016</v>
      </c>
      <c r="S139" s="1038">
        <f>COUNTIF($R$3:R139,R139)</f>
        <v>27</v>
      </c>
      <c r="T139" s="1038" t="str">
        <f t="shared" si="27"/>
        <v>EPDM PAD 5*6*65</v>
      </c>
      <c r="U139" s="1037">
        <f t="shared" si="34"/>
        <v>0</v>
      </c>
      <c r="V139" s="1037">
        <f t="shared" si="34"/>
        <v>0</v>
      </c>
      <c r="W139" s="262"/>
      <c r="X139" s="1043" t="str">
        <f t="shared" si="33"/>
        <v>압출 PCM</v>
      </c>
      <c r="Y139" s="1044">
        <f t="shared" si="20"/>
        <v>133</v>
      </c>
      <c r="Z139" s="1044" t="str">
        <f t="array" ref="Z139">IFERROR(INDEX($T$3:$T$373,MATCH(1,($X139=$R$3:$R$373)*($Y139=$S$3:$S$373),0))," ")</f>
        <v xml:space="preserve"> </v>
      </c>
      <c r="AA139" s="1044" t="str">
        <f t="array" ref="AA139">IFERROR(INDEX($U$3:$U$373,MATCH(1,($X139=$R$3:$R$373)*($Y139=$S$3:$S$373),0))," ")</f>
        <v xml:space="preserve"> </v>
      </c>
      <c r="AB139" s="1045" t="str">
        <f t="array" ref="AB139">IFERROR(INDEX($V$3:$V$373,MATCH(1,($X139=$R$3:$R$373)*($Y139=$S$3:$S$373),0))," ")</f>
        <v xml:space="preserve"> </v>
      </c>
      <c r="AC139" s="262"/>
      <c r="AE139" s="262"/>
      <c r="AF139" s="262"/>
      <c r="AG139" s="262"/>
      <c r="AH139" s="262"/>
      <c r="AI139" s="262"/>
      <c r="AJ139" s="262"/>
      <c r="AK139" s="262"/>
      <c r="AL139" s="262"/>
      <c r="AM139" s="262"/>
      <c r="AN139" s="262"/>
    </row>
    <row r="140" spans="1:40" ht="17.100000000000001" customHeight="1">
      <c r="A140" s="2295"/>
      <c r="B140" s="862" t="s">
        <v>1659</v>
      </c>
      <c r="C140" s="1115" t="s">
        <v>443</v>
      </c>
      <c r="D140" s="909" t="s">
        <v>47</v>
      </c>
      <c r="E140" s="2293" t="s">
        <v>287</v>
      </c>
      <c r="F140" s="2360"/>
      <c r="G140" s="860">
        <v>23.1</v>
      </c>
      <c r="H140" s="703">
        <f>부자재매입내역!AL102</f>
        <v>0</v>
      </c>
      <c r="I140" s="979">
        <f t="shared" ref="I140:I143" si="36">G140*H140</f>
        <v>0</v>
      </c>
      <c r="J140" s="2118"/>
      <c r="K140" s="954"/>
      <c r="L140" s="869"/>
      <c r="M140"/>
      <c r="N140" s="262"/>
      <c r="O140" s="262"/>
      <c r="P140" s="262"/>
      <c r="Q140" s="262"/>
      <c r="R140" s="1035" t="s">
        <v>2016</v>
      </c>
      <c r="S140" s="1038">
        <f>COUNTIF($R$3:R140,R140)</f>
        <v>28</v>
      </c>
      <c r="T140" s="1038" t="str">
        <f t="shared" si="27"/>
        <v>EPDM PAD 10*20*30</v>
      </c>
      <c r="U140" s="1037">
        <f t="shared" si="34"/>
        <v>0</v>
      </c>
      <c r="V140" s="1037">
        <f t="shared" si="34"/>
        <v>0</v>
      </c>
      <c r="W140" s="262"/>
      <c r="X140" s="1043" t="str">
        <f t="shared" si="33"/>
        <v>압출 PCM</v>
      </c>
      <c r="Y140" s="1044">
        <f t="shared" si="20"/>
        <v>134</v>
      </c>
      <c r="Z140" s="1044" t="str">
        <f t="array" ref="Z140">IFERROR(INDEX($T$3:$T$373,MATCH(1,($X140=$R$3:$R$373)*($Y140=$S$3:$S$373),0))," ")</f>
        <v xml:space="preserve"> </v>
      </c>
      <c r="AA140" s="1044" t="str">
        <f t="array" ref="AA140">IFERROR(INDEX($U$3:$U$373,MATCH(1,($X140=$R$3:$R$373)*($Y140=$S$3:$S$373),0))," ")</f>
        <v xml:space="preserve"> </v>
      </c>
      <c r="AB140" s="1045" t="str">
        <f t="array" ref="AB140">IFERROR(INDEX($V$3:$V$373,MATCH(1,($X140=$R$3:$R$373)*($Y140=$S$3:$S$373),0))," ")</f>
        <v xml:space="preserve"> </v>
      </c>
      <c r="AC140" s="262"/>
      <c r="AE140" s="262"/>
      <c r="AF140" s="262"/>
      <c r="AG140" s="262"/>
      <c r="AH140" s="262"/>
      <c r="AI140" s="262"/>
      <c r="AJ140" s="262"/>
      <c r="AK140" s="262"/>
      <c r="AL140" s="262"/>
      <c r="AM140" s="262"/>
      <c r="AN140" s="262"/>
    </row>
    <row r="141" spans="1:40" ht="17.100000000000001" customHeight="1">
      <c r="A141" s="2295"/>
      <c r="B141" s="862" t="s">
        <v>1660</v>
      </c>
      <c r="C141" s="1115" t="s">
        <v>442</v>
      </c>
      <c r="D141" s="909" t="s">
        <v>47</v>
      </c>
      <c r="E141" s="2293"/>
      <c r="F141" s="2360"/>
      <c r="G141" s="860">
        <v>9.6999999999999993</v>
      </c>
      <c r="H141" s="703">
        <f>부자재매입내역!AL101</f>
        <v>0</v>
      </c>
      <c r="I141" s="979">
        <f t="shared" si="36"/>
        <v>0</v>
      </c>
      <c r="J141" s="2118"/>
      <c r="K141" s="954"/>
      <c r="L141" s="869"/>
      <c r="M141"/>
      <c r="N141" s="262"/>
      <c r="O141" s="262"/>
      <c r="P141" s="262"/>
      <c r="Q141" s="262"/>
      <c r="R141" s="1035" t="s">
        <v>2016</v>
      </c>
      <c r="S141" s="1038">
        <f>COUNTIF($R$3:R141,R141)</f>
        <v>29</v>
      </c>
      <c r="T141" s="1038" t="str">
        <f t="shared" si="27"/>
        <v>EPDM PAD(5*10*40)</v>
      </c>
      <c r="U141" s="1037">
        <f t="shared" si="34"/>
        <v>0</v>
      </c>
      <c r="V141" s="1037">
        <f t="shared" si="34"/>
        <v>0</v>
      </c>
      <c r="W141" s="262"/>
      <c r="X141" s="1043" t="str">
        <f t="shared" si="33"/>
        <v>압출 PCM</v>
      </c>
      <c r="Y141" s="1044">
        <f t="shared" si="20"/>
        <v>135</v>
      </c>
      <c r="Z141" s="1044" t="str">
        <f t="array" ref="Z141">IFERROR(INDEX($T$3:$T$373,MATCH(1,($X141=$R$3:$R$373)*($Y141=$S$3:$S$373),0))," ")</f>
        <v xml:space="preserve"> </v>
      </c>
      <c r="AA141" s="1044" t="str">
        <f t="array" ref="AA141">IFERROR(INDEX($U$3:$U$373,MATCH(1,($X141=$R$3:$R$373)*($Y141=$S$3:$S$373),0))," ")</f>
        <v xml:space="preserve"> </v>
      </c>
      <c r="AB141" s="1045" t="str">
        <f t="array" ref="AB141">IFERROR(INDEX($V$3:$V$373,MATCH(1,($X141=$R$3:$R$373)*($Y141=$S$3:$S$373),0))," ")</f>
        <v xml:space="preserve"> </v>
      </c>
      <c r="AC141" s="262"/>
      <c r="AE141" s="262"/>
      <c r="AF141" s="262"/>
      <c r="AG141" s="262"/>
      <c r="AH141" s="262"/>
      <c r="AI141" s="262"/>
      <c r="AJ141" s="262"/>
      <c r="AK141" s="262"/>
      <c r="AL141" s="262"/>
      <c r="AM141" s="262"/>
      <c r="AN141" s="262"/>
    </row>
    <row r="142" spans="1:40" ht="17.100000000000001" customHeight="1">
      <c r="A142" s="2295"/>
      <c r="B142" s="1543" t="s">
        <v>1661</v>
      </c>
      <c r="C142" s="1227" t="s">
        <v>444</v>
      </c>
      <c r="D142" s="1205" t="s">
        <v>47</v>
      </c>
      <c r="E142" s="2293"/>
      <c r="F142" s="2360"/>
      <c r="G142" s="858">
        <v>14.5</v>
      </c>
      <c r="H142" s="703">
        <f>부자재매입내역!AL103</f>
        <v>0</v>
      </c>
      <c r="I142" s="979">
        <f t="shared" si="36"/>
        <v>0</v>
      </c>
      <c r="J142" s="2118"/>
      <c r="K142" s="954"/>
      <c r="L142" s="869"/>
      <c r="M142"/>
      <c r="N142" s="262"/>
      <c r="O142" s="262"/>
      <c r="P142" s="262"/>
      <c r="Q142" s="262"/>
      <c r="R142" s="1035" t="s">
        <v>2016</v>
      </c>
      <c r="S142" s="1038">
        <f>COUNTIF($R$3:R142,R142)</f>
        <v>30</v>
      </c>
      <c r="T142" s="1038" t="str">
        <f t="shared" si="27"/>
        <v>EPDM PAD(5*10*50)</v>
      </c>
      <c r="U142" s="1037">
        <f t="shared" si="34"/>
        <v>0</v>
      </c>
      <c r="V142" s="1037">
        <f t="shared" si="34"/>
        <v>0</v>
      </c>
      <c r="W142" s="262"/>
      <c r="X142" s="1043" t="str">
        <f t="shared" si="33"/>
        <v>압출 PCM</v>
      </c>
      <c r="Y142" s="1044">
        <f t="shared" si="20"/>
        <v>136</v>
      </c>
      <c r="Z142" s="1044" t="str">
        <f t="array" ref="Z142">IFERROR(INDEX($T$3:$T$373,MATCH(1,($X142=$R$3:$R$373)*($Y142=$S$3:$S$373),0))," ")</f>
        <v xml:space="preserve"> </v>
      </c>
      <c r="AA142" s="1044" t="str">
        <f t="array" ref="AA142">IFERROR(INDEX($U$3:$U$373,MATCH(1,($X142=$R$3:$R$373)*($Y142=$S$3:$S$373),0))," ")</f>
        <v xml:space="preserve"> </v>
      </c>
      <c r="AB142" s="1045" t="str">
        <f t="array" ref="AB142">IFERROR(INDEX($V$3:$V$373,MATCH(1,($X142=$R$3:$R$373)*($Y142=$S$3:$S$373),0))," ")</f>
        <v xml:space="preserve"> </v>
      </c>
      <c r="AC142" s="262"/>
      <c r="AE142" s="262"/>
      <c r="AF142" s="262"/>
      <c r="AG142" s="262"/>
      <c r="AH142" s="262"/>
      <c r="AI142" s="262"/>
      <c r="AJ142" s="262"/>
      <c r="AK142" s="262"/>
      <c r="AL142" s="262"/>
      <c r="AM142" s="262"/>
      <c r="AN142" s="262"/>
    </row>
    <row r="143" spans="1:40" ht="17.100000000000001" customHeight="1">
      <c r="A143" s="2295"/>
      <c r="B143" s="1544" t="s">
        <v>1662</v>
      </c>
      <c r="C143" s="1228" t="s">
        <v>445</v>
      </c>
      <c r="D143" s="1205" t="s">
        <v>47</v>
      </c>
      <c r="E143" s="2293"/>
      <c r="F143" s="2360"/>
      <c r="G143" s="861">
        <v>9.9</v>
      </c>
      <c r="H143" s="793">
        <f>부자재매입내역!AL104</f>
        <v>0</v>
      </c>
      <c r="I143" s="980">
        <f t="shared" si="36"/>
        <v>0</v>
      </c>
      <c r="J143" s="2118"/>
      <c r="K143" s="954"/>
      <c r="L143" s="869"/>
      <c r="M143"/>
      <c r="N143" s="262"/>
      <c r="O143" s="262"/>
      <c r="P143" s="262"/>
      <c r="Q143" s="262"/>
      <c r="R143" s="1035" t="s">
        <v>2016</v>
      </c>
      <c r="S143" s="1038">
        <f>COUNTIF($R$3:R143,R143)</f>
        <v>31</v>
      </c>
      <c r="T143" s="1038" t="str">
        <f t="shared" si="27"/>
        <v>EPDM PAD(5*10*30)</v>
      </c>
      <c r="U143" s="1037">
        <f t="shared" si="34"/>
        <v>0</v>
      </c>
      <c r="V143" s="1037">
        <f t="shared" si="34"/>
        <v>0</v>
      </c>
      <c r="W143" s="262"/>
      <c r="X143" s="1043" t="str">
        <f t="shared" si="33"/>
        <v>압출 PCM</v>
      </c>
      <c r="Y143" s="1044">
        <f t="shared" si="20"/>
        <v>137</v>
      </c>
      <c r="Z143" s="1044" t="str">
        <f t="array" ref="Z143">IFERROR(INDEX($T$3:$T$373,MATCH(1,($X143=$R$3:$R$373)*($Y143=$S$3:$S$373),0))," ")</f>
        <v xml:space="preserve"> </v>
      </c>
      <c r="AA143" s="1044" t="str">
        <f t="array" ref="AA143">IFERROR(INDEX($U$3:$U$373,MATCH(1,($X143=$R$3:$R$373)*($Y143=$S$3:$S$373),0))," ")</f>
        <v xml:space="preserve"> </v>
      </c>
      <c r="AB143" s="1045" t="str">
        <f t="array" ref="AB143">IFERROR(INDEX($V$3:$V$373,MATCH(1,($X143=$R$3:$R$373)*($Y143=$S$3:$S$373),0))," ")</f>
        <v xml:space="preserve"> </v>
      </c>
      <c r="AC143" s="262"/>
      <c r="AE143" s="262"/>
      <c r="AF143" s="262"/>
      <c r="AG143" s="262"/>
      <c r="AH143" s="262"/>
      <c r="AI143" s="262"/>
      <c r="AJ143" s="262"/>
      <c r="AK143" s="262"/>
      <c r="AL143" s="262"/>
      <c r="AM143" s="262"/>
      <c r="AN143" s="262"/>
    </row>
    <row r="144" spans="1:40" ht="17.100000000000001" customHeight="1">
      <c r="A144" s="2295"/>
      <c r="B144" s="1543" t="s">
        <v>1663</v>
      </c>
      <c r="C144" s="1227" t="s">
        <v>345</v>
      </c>
      <c r="D144" s="1226" t="s">
        <v>47</v>
      </c>
      <c r="E144" s="2299" t="s">
        <v>201</v>
      </c>
      <c r="F144" s="2360"/>
      <c r="G144" s="858">
        <v>11.3</v>
      </c>
      <c r="H144" s="703">
        <f>부자재매입내역!AL97</f>
        <v>0</v>
      </c>
      <c r="I144" s="979">
        <f t="shared" si="35"/>
        <v>0</v>
      </c>
      <c r="J144" s="2118"/>
      <c r="K144" s="954"/>
      <c r="L144" s="869"/>
      <c r="M144"/>
      <c r="N144" s="262"/>
      <c r="O144" s="262"/>
      <c r="P144" s="262"/>
      <c r="Q144" s="262"/>
      <c r="R144" s="1035" t="s">
        <v>2016</v>
      </c>
      <c r="S144" s="1038">
        <f>COUNTIF($R$3:R144,R144)</f>
        <v>32</v>
      </c>
      <c r="T144" s="1038" t="str">
        <f t="shared" si="27"/>
        <v>EPDM (고) PAD 3*8*80</v>
      </c>
      <c r="U144" s="1037">
        <f t="shared" si="34"/>
        <v>0</v>
      </c>
      <c r="V144" s="1037">
        <f t="shared" si="34"/>
        <v>0</v>
      </c>
      <c r="W144" s="262"/>
      <c r="X144" s="1043" t="str">
        <f t="shared" si="33"/>
        <v>압출 PCM</v>
      </c>
      <c r="Y144" s="1044">
        <f t="shared" si="20"/>
        <v>138</v>
      </c>
      <c r="Z144" s="1044" t="str">
        <f t="array" ref="Z144">IFERROR(INDEX($T$3:$T$373,MATCH(1,($X144=$R$3:$R$373)*($Y144=$S$3:$S$373),0))," ")</f>
        <v xml:space="preserve"> </v>
      </c>
      <c r="AA144" s="1044" t="str">
        <f t="array" ref="AA144">IFERROR(INDEX($U$3:$U$373,MATCH(1,($X144=$R$3:$R$373)*($Y144=$S$3:$S$373),0))," ")</f>
        <v xml:space="preserve"> </v>
      </c>
      <c r="AB144" s="1045" t="str">
        <f t="array" ref="AB144">IFERROR(INDEX($V$3:$V$373,MATCH(1,($X144=$R$3:$R$373)*($Y144=$S$3:$S$373),0))," ")</f>
        <v xml:space="preserve"> </v>
      </c>
      <c r="AC144" s="262"/>
      <c r="AE144" s="262"/>
      <c r="AF144" s="262"/>
      <c r="AG144" s="262"/>
      <c r="AH144" s="262"/>
      <c r="AI144" s="262"/>
      <c r="AJ144" s="262"/>
      <c r="AK144" s="262"/>
      <c r="AL144" s="262"/>
      <c r="AM144" s="262"/>
      <c r="AN144" s="262"/>
    </row>
    <row r="145" spans="1:40" ht="17.100000000000001" customHeight="1">
      <c r="A145" s="2295"/>
      <c r="B145" s="1543" t="s">
        <v>1664</v>
      </c>
      <c r="C145" s="1227" t="s">
        <v>346</v>
      </c>
      <c r="D145" s="909" t="s">
        <v>47</v>
      </c>
      <c r="E145" s="2293"/>
      <c r="F145" s="2360"/>
      <c r="G145" s="860">
        <v>6.2</v>
      </c>
      <c r="H145" s="703">
        <f>부자재매입내역!AL14</f>
        <v>0</v>
      </c>
      <c r="I145" s="979">
        <f t="shared" si="35"/>
        <v>0</v>
      </c>
      <c r="J145" s="2118"/>
      <c r="K145" s="954"/>
      <c r="L145" s="869"/>
      <c r="M145"/>
      <c r="N145" s="262"/>
      <c r="O145" s="262"/>
      <c r="P145" s="262"/>
      <c r="Q145" s="262"/>
      <c r="R145" s="1035" t="s">
        <v>2016</v>
      </c>
      <c r="S145" s="1038">
        <f>COUNTIF($R$3:R145,R145)</f>
        <v>33</v>
      </c>
      <c r="T145" s="1038" t="str">
        <f t="shared" si="27"/>
        <v>FS-CAR CTR SEAL CLIP</v>
      </c>
      <c r="U145" s="1037">
        <f t="shared" si="34"/>
        <v>0</v>
      </c>
      <c r="V145" s="1037">
        <f t="shared" si="34"/>
        <v>0</v>
      </c>
      <c r="W145" s="262"/>
      <c r="X145" s="1043" t="str">
        <f t="shared" si="33"/>
        <v>압출 PCM</v>
      </c>
      <c r="Y145" s="1044">
        <f t="shared" si="20"/>
        <v>139</v>
      </c>
      <c r="Z145" s="1044" t="str">
        <f t="array" ref="Z145">IFERROR(INDEX($T$3:$T$373,MATCH(1,($X145=$R$3:$R$373)*($Y145=$S$3:$S$373),0))," ")</f>
        <v xml:space="preserve"> </v>
      </c>
      <c r="AA145" s="1044" t="str">
        <f t="array" ref="AA145">IFERROR(INDEX($U$3:$U$373,MATCH(1,($X145=$R$3:$R$373)*($Y145=$S$3:$S$373),0))," ")</f>
        <v xml:space="preserve"> </v>
      </c>
      <c r="AB145" s="1045" t="str">
        <f t="array" ref="AB145">IFERROR(INDEX($V$3:$V$373,MATCH(1,($X145=$R$3:$R$373)*($Y145=$S$3:$S$373),0))," ")</f>
        <v xml:space="preserve"> </v>
      </c>
      <c r="AC145" s="262"/>
      <c r="AE145" s="262"/>
      <c r="AF145" s="262"/>
      <c r="AG145" s="262"/>
      <c r="AH145" s="262"/>
      <c r="AI145" s="262"/>
      <c r="AJ145" s="262"/>
      <c r="AK145" s="262"/>
      <c r="AL145" s="262"/>
      <c r="AM145" s="262"/>
      <c r="AN145" s="262"/>
    </row>
    <row r="146" spans="1:40" ht="17.100000000000001" customHeight="1">
      <c r="A146" s="2295"/>
      <c r="B146" s="1543" t="s">
        <v>1665</v>
      </c>
      <c r="C146" s="1227" t="s">
        <v>347</v>
      </c>
      <c r="D146" s="909" t="s">
        <v>47</v>
      </c>
      <c r="E146" s="2293"/>
      <c r="F146" s="2360"/>
      <c r="G146" s="860">
        <v>39</v>
      </c>
      <c r="H146" s="703">
        <f>부자재매입내역!AL15</f>
        <v>0</v>
      </c>
      <c r="I146" s="979">
        <f t="shared" si="35"/>
        <v>0</v>
      </c>
      <c r="J146" s="2118"/>
      <c r="K146" s="954"/>
      <c r="L146" s="869"/>
      <c r="M146"/>
      <c r="N146" s="262"/>
      <c r="O146" s="262"/>
      <c r="P146" s="262"/>
      <c r="Q146" s="262"/>
      <c r="R146" s="1035" t="s">
        <v>2016</v>
      </c>
      <c r="S146" s="1038">
        <f>COUNTIF($R$3:R146,R146)</f>
        <v>34</v>
      </c>
      <c r="T146" s="1038" t="str">
        <f t="shared" si="27"/>
        <v>FS INSERT 수지 FRT LH(LHD)</v>
      </c>
      <c r="U146" s="1037">
        <f t="shared" si="34"/>
        <v>0</v>
      </c>
      <c r="V146" s="1037">
        <f t="shared" si="34"/>
        <v>0</v>
      </c>
      <c r="W146" s="262"/>
      <c r="X146" s="1043" t="str">
        <f t="shared" si="33"/>
        <v>압출 PCM</v>
      </c>
      <c r="Y146" s="1044">
        <f t="shared" si="20"/>
        <v>140</v>
      </c>
      <c r="Z146" s="1044" t="str">
        <f t="array" ref="Z146">IFERROR(INDEX($T$3:$T$373,MATCH(1,($X146=$R$3:$R$373)*($Y146=$S$3:$S$373),0))," ")</f>
        <v xml:space="preserve"> </v>
      </c>
      <c r="AA146" s="1044" t="str">
        <f t="array" ref="AA146">IFERROR(INDEX($U$3:$U$373,MATCH(1,($X146=$R$3:$R$373)*($Y146=$S$3:$S$373),0))," ")</f>
        <v xml:space="preserve"> </v>
      </c>
      <c r="AB146" s="1045" t="str">
        <f t="array" ref="AB146">IFERROR(INDEX($V$3:$V$373,MATCH(1,($X146=$R$3:$R$373)*($Y146=$S$3:$S$373),0))," ")</f>
        <v xml:space="preserve"> </v>
      </c>
      <c r="AC146" s="262"/>
      <c r="AE146" s="262"/>
      <c r="AF146" s="262"/>
      <c r="AG146" s="262"/>
      <c r="AH146" s="262"/>
      <c r="AI146" s="262"/>
      <c r="AJ146" s="262"/>
      <c r="AK146" s="262"/>
      <c r="AL146" s="262"/>
      <c r="AM146" s="262"/>
      <c r="AN146" s="262"/>
    </row>
    <row r="147" spans="1:40" ht="17.100000000000001" customHeight="1">
      <c r="A147" s="2295"/>
      <c r="B147" s="1543" t="s">
        <v>1666</v>
      </c>
      <c r="C147" s="1227" t="s">
        <v>348</v>
      </c>
      <c r="D147" s="909" t="s">
        <v>47</v>
      </c>
      <c r="E147" s="2293"/>
      <c r="F147" s="2360"/>
      <c r="G147" s="860">
        <v>31</v>
      </c>
      <c r="H147" s="703">
        <f>부자재매입내역!AL16</f>
        <v>0</v>
      </c>
      <c r="I147" s="979">
        <f t="shared" si="35"/>
        <v>0</v>
      </c>
      <c r="J147" s="2118"/>
      <c r="K147" s="954"/>
      <c r="L147" s="869"/>
      <c r="M147"/>
      <c r="N147" s="262"/>
      <c r="O147" s="262"/>
      <c r="P147" s="262"/>
      <c r="Q147" s="262"/>
      <c r="R147" s="1035" t="s">
        <v>2016</v>
      </c>
      <c r="S147" s="1038">
        <f>COUNTIF($R$3:R147,R147)</f>
        <v>35</v>
      </c>
      <c r="T147" s="1038" t="str">
        <f t="shared" si="27"/>
        <v>FS INSERT 수지 FRT RH(LHD)</v>
      </c>
      <c r="U147" s="1037">
        <f t="shared" si="34"/>
        <v>0</v>
      </c>
      <c r="V147" s="1037">
        <f t="shared" si="34"/>
        <v>0</v>
      </c>
      <c r="W147" s="262"/>
      <c r="X147" s="1043" t="str">
        <f t="shared" si="33"/>
        <v>압출 PCM</v>
      </c>
      <c r="Y147" s="1044">
        <f t="shared" si="20"/>
        <v>141</v>
      </c>
      <c r="Z147" s="1044" t="str">
        <f t="array" ref="Z147">IFERROR(INDEX($T$3:$T$373,MATCH(1,($X147=$R$3:$R$373)*($Y147=$S$3:$S$373),0))," ")</f>
        <v xml:space="preserve"> </v>
      </c>
      <c r="AA147" s="1044" t="str">
        <f t="array" ref="AA147">IFERROR(INDEX($U$3:$U$373,MATCH(1,($X147=$R$3:$R$373)*($Y147=$S$3:$S$373),0))," ")</f>
        <v xml:space="preserve"> </v>
      </c>
      <c r="AB147" s="1045" t="str">
        <f t="array" ref="AB147">IFERROR(INDEX($V$3:$V$373,MATCH(1,($X147=$R$3:$R$373)*($Y147=$S$3:$S$373),0))," ")</f>
        <v xml:space="preserve"> </v>
      </c>
      <c r="AC147" s="262"/>
      <c r="AE147" s="262"/>
      <c r="AF147" s="262"/>
      <c r="AG147" s="262"/>
      <c r="AH147" s="262"/>
      <c r="AI147" s="262"/>
      <c r="AJ147" s="262"/>
      <c r="AK147" s="262"/>
      <c r="AL147" s="262"/>
      <c r="AM147" s="262"/>
      <c r="AN147" s="262"/>
    </row>
    <row r="148" spans="1:40" ht="17.100000000000001" customHeight="1">
      <c r="A148" s="2295"/>
      <c r="B148" s="1543" t="s">
        <v>1667</v>
      </c>
      <c r="C148" s="1227" t="s">
        <v>349</v>
      </c>
      <c r="D148" s="909" t="s">
        <v>47</v>
      </c>
      <c r="E148" s="2293"/>
      <c r="F148" s="2360"/>
      <c r="G148" s="860">
        <v>30</v>
      </c>
      <c r="H148" s="703">
        <f>부자재매입내역!AL17</f>
        <v>0</v>
      </c>
      <c r="I148" s="979">
        <f t="shared" si="35"/>
        <v>0</v>
      </c>
      <c r="J148" s="2118"/>
      <c r="K148" s="954"/>
      <c r="L148" s="869"/>
      <c r="M148"/>
      <c r="N148" s="262"/>
      <c r="O148" s="262"/>
      <c r="P148" s="262"/>
      <c r="Q148" s="262"/>
      <c r="R148" s="1035" t="s">
        <v>2016</v>
      </c>
      <c r="S148" s="1038">
        <f>COUNTIF($R$3:R148,R148)</f>
        <v>36</v>
      </c>
      <c r="T148" s="1038" t="str">
        <f t="shared" si="27"/>
        <v>FS INSERT 수지 RR RH(LHD)</v>
      </c>
      <c r="U148" s="1037">
        <f t="shared" si="34"/>
        <v>0</v>
      </c>
      <c r="V148" s="1037">
        <f t="shared" si="34"/>
        <v>0</v>
      </c>
      <c r="W148" s="262"/>
      <c r="X148" s="1043" t="str">
        <f t="shared" si="33"/>
        <v>압출 PCM</v>
      </c>
      <c r="Y148" s="1044">
        <f t="shared" si="20"/>
        <v>142</v>
      </c>
      <c r="Z148" s="1044" t="str">
        <f t="array" ref="Z148">IFERROR(INDEX($T$3:$T$373,MATCH(1,($X148=$R$3:$R$373)*($Y148=$S$3:$S$373),0))," ")</f>
        <v xml:space="preserve"> </v>
      </c>
      <c r="AA148" s="1044" t="str">
        <f t="array" ref="AA148">IFERROR(INDEX($U$3:$U$373,MATCH(1,($X148=$R$3:$R$373)*($Y148=$S$3:$S$373),0))," ")</f>
        <v xml:space="preserve"> </v>
      </c>
      <c r="AB148" s="1045" t="str">
        <f t="array" ref="AB148">IFERROR(INDEX($V$3:$V$373,MATCH(1,($X148=$R$3:$R$373)*($Y148=$S$3:$S$373),0))," ")</f>
        <v xml:space="preserve"> </v>
      </c>
      <c r="AC148" s="262"/>
      <c r="AE148" s="262"/>
      <c r="AF148" s="262"/>
      <c r="AG148" s="262"/>
      <c r="AH148" s="262"/>
      <c r="AI148" s="262"/>
      <c r="AJ148" s="262"/>
      <c r="AK148" s="262"/>
      <c r="AL148" s="262"/>
      <c r="AM148" s="262"/>
      <c r="AN148" s="262"/>
    </row>
    <row r="149" spans="1:40" ht="17.100000000000001" customHeight="1">
      <c r="A149" s="2295"/>
      <c r="B149" s="1543" t="s">
        <v>1668</v>
      </c>
      <c r="C149" s="1227" t="s">
        <v>350</v>
      </c>
      <c r="D149" s="909" t="s">
        <v>47</v>
      </c>
      <c r="E149" s="2293"/>
      <c r="F149" s="2360"/>
      <c r="G149" s="860">
        <v>33.799999999999997</v>
      </c>
      <c r="H149" s="703">
        <f>부자재매입내역!AL18</f>
        <v>0</v>
      </c>
      <c r="I149" s="979">
        <f t="shared" si="35"/>
        <v>0</v>
      </c>
      <c r="J149" s="2118"/>
      <c r="K149" s="954"/>
      <c r="L149" s="869"/>
      <c r="M149"/>
      <c r="N149" s="262"/>
      <c r="O149" s="262"/>
      <c r="P149" s="262"/>
      <c r="Q149" s="262"/>
      <c r="R149" s="1035" t="s">
        <v>2016</v>
      </c>
      <c r="S149" s="1038">
        <f>COUNTIF($R$3:R149,R149)</f>
        <v>37</v>
      </c>
      <c r="T149" s="1038" t="str">
        <f t="shared" si="27"/>
        <v>FS INSERT 수지 FRT LH(RHD)</v>
      </c>
      <c r="U149" s="1037">
        <f t="shared" si="34"/>
        <v>0</v>
      </c>
      <c r="V149" s="1037">
        <f t="shared" si="34"/>
        <v>0</v>
      </c>
      <c r="W149" s="262"/>
      <c r="X149" s="1043" t="str">
        <f t="shared" si="33"/>
        <v>압출 PCM</v>
      </c>
      <c r="Y149" s="1044">
        <f t="shared" si="20"/>
        <v>143</v>
      </c>
      <c r="Z149" s="1044" t="str">
        <f t="array" ref="Z149">IFERROR(INDEX($T$3:$T$373,MATCH(1,($X149=$R$3:$R$373)*($Y149=$S$3:$S$373),0))," ")</f>
        <v xml:space="preserve"> </v>
      </c>
      <c r="AA149" s="1044" t="str">
        <f t="array" ref="AA149">IFERROR(INDEX($U$3:$U$373,MATCH(1,($X149=$R$3:$R$373)*($Y149=$S$3:$S$373),0))," ")</f>
        <v xml:space="preserve"> </v>
      </c>
      <c r="AB149" s="1045" t="str">
        <f t="array" ref="AB149">IFERROR(INDEX($V$3:$V$373,MATCH(1,($X149=$R$3:$R$373)*($Y149=$S$3:$S$373),0))," ")</f>
        <v xml:space="preserve"> </v>
      </c>
      <c r="AC149" s="262"/>
      <c r="AE149" s="262"/>
      <c r="AF149" s="262"/>
      <c r="AG149" s="262"/>
      <c r="AH149" s="262"/>
      <c r="AI149" s="262"/>
      <c r="AJ149" s="262"/>
      <c r="AK149" s="262"/>
      <c r="AL149" s="262"/>
      <c r="AM149" s="262"/>
      <c r="AN149" s="262"/>
    </row>
    <row r="150" spans="1:40" ht="17.100000000000001" customHeight="1">
      <c r="A150" s="2295"/>
      <c r="B150" s="1543" t="s">
        <v>1669</v>
      </c>
      <c r="C150" s="1227" t="s">
        <v>351</v>
      </c>
      <c r="D150" s="909" t="s">
        <v>47</v>
      </c>
      <c r="E150" s="2293"/>
      <c r="F150" s="2360"/>
      <c r="G150" s="860">
        <v>39</v>
      </c>
      <c r="H150" s="703">
        <f>부자재매입내역!AL19</f>
        <v>0</v>
      </c>
      <c r="I150" s="979">
        <f t="shared" si="35"/>
        <v>0</v>
      </c>
      <c r="J150" s="2118"/>
      <c r="K150" s="954"/>
      <c r="L150" s="869"/>
      <c r="M150"/>
      <c r="N150" s="262"/>
      <c r="O150" s="262"/>
      <c r="P150" s="262"/>
      <c r="Q150" s="262"/>
      <c r="R150" s="1035" t="s">
        <v>2016</v>
      </c>
      <c r="S150" s="1038">
        <f>COUNTIF($R$3:R150,R150)</f>
        <v>38</v>
      </c>
      <c r="T150" s="1038" t="str">
        <f t="shared" si="27"/>
        <v>FS INSERT 수지 FRT RH(RHD)</v>
      </c>
      <c r="U150" s="1037">
        <f t="shared" si="34"/>
        <v>0</v>
      </c>
      <c r="V150" s="1037">
        <f t="shared" si="34"/>
        <v>0</v>
      </c>
      <c r="W150" s="262"/>
      <c r="X150" s="1043" t="str">
        <f t="shared" si="33"/>
        <v>압출 PCM</v>
      </c>
      <c r="Y150" s="1044">
        <f t="shared" si="20"/>
        <v>144</v>
      </c>
      <c r="Z150" s="1044" t="str">
        <f t="array" ref="Z150">IFERROR(INDEX($T$3:$T$373,MATCH(1,($X150=$R$3:$R$373)*($Y150=$S$3:$S$373),0))," ")</f>
        <v xml:space="preserve"> </v>
      </c>
      <c r="AA150" s="1044" t="str">
        <f t="array" ref="AA150">IFERROR(INDEX($U$3:$U$373,MATCH(1,($X150=$R$3:$R$373)*($Y150=$S$3:$S$373),0))," ")</f>
        <v xml:space="preserve"> </v>
      </c>
      <c r="AB150" s="1045" t="str">
        <f t="array" ref="AB150">IFERROR(INDEX($V$3:$V$373,MATCH(1,($X150=$R$3:$R$373)*($Y150=$S$3:$S$373),0))," ")</f>
        <v xml:space="preserve"> </v>
      </c>
      <c r="AC150" s="262"/>
      <c r="AE150" s="262"/>
      <c r="AF150" s="262"/>
      <c r="AG150" s="262"/>
      <c r="AH150" s="262"/>
      <c r="AI150" s="262"/>
      <c r="AJ150" s="262"/>
      <c r="AK150" s="262"/>
      <c r="AL150" s="262"/>
      <c r="AM150" s="262"/>
      <c r="AN150" s="262"/>
    </row>
    <row r="151" spans="1:40" ht="17.100000000000001" customHeight="1">
      <c r="A151" s="2295"/>
      <c r="B151" s="1543" t="s">
        <v>1670</v>
      </c>
      <c r="C151" s="1227" t="s">
        <v>352</v>
      </c>
      <c r="D151" s="909" t="s">
        <v>47</v>
      </c>
      <c r="E151" s="2293"/>
      <c r="F151" s="2360"/>
      <c r="G151" s="860">
        <v>32.9</v>
      </c>
      <c r="H151" s="703">
        <f>부자재매입내역!AL20</f>
        <v>0</v>
      </c>
      <c r="I151" s="979">
        <f t="shared" si="35"/>
        <v>0</v>
      </c>
      <c r="J151" s="2118"/>
      <c r="K151" s="954"/>
      <c r="L151" s="869"/>
      <c r="M151"/>
      <c r="N151" s="262"/>
      <c r="O151" s="262"/>
      <c r="P151" s="262"/>
      <c r="Q151" s="262"/>
      <c r="R151" s="1035" t="s">
        <v>2016</v>
      </c>
      <c r="S151" s="1038">
        <f>COUNTIF($R$3:R151,R151)</f>
        <v>39</v>
      </c>
      <c r="T151" s="1038" t="str">
        <f t="shared" si="27"/>
        <v>FS INSERT 수지 RR LH(RHD)</v>
      </c>
      <c r="U151" s="1037">
        <f t="shared" si="34"/>
        <v>0</v>
      </c>
      <c r="V151" s="1037">
        <f t="shared" si="34"/>
        <v>0</v>
      </c>
      <c r="W151" s="262"/>
      <c r="X151" s="1043" t="str">
        <f t="shared" si="33"/>
        <v>압출 PCM</v>
      </c>
      <c r="Y151" s="1044">
        <f t="shared" si="20"/>
        <v>145</v>
      </c>
      <c r="Z151" s="1044" t="str">
        <f t="array" ref="Z151">IFERROR(INDEX($T$3:$T$373,MATCH(1,($X151=$R$3:$R$373)*($Y151=$S$3:$S$373),0))," ")</f>
        <v xml:space="preserve"> </v>
      </c>
      <c r="AA151" s="1044" t="str">
        <f t="array" ref="AA151">IFERROR(INDEX($U$3:$U$373,MATCH(1,($X151=$R$3:$R$373)*($Y151=$S$3:$S$373),0))," ")</f>
        <v xml:space="preserve"> </v>
      </c>
      <c r="AB151" s="1045" t="str">
        <f t="array" ref="AB151">IFERROR(INDEX($V$3:$V$373,MATCH(1,($X151=$R$3:$R$373)*($Y151=$S$3:$S$373),0))," ")</f>
        <v xml:space="preserve"> </v>
      </c>
      <c r="AC151" s="262"/>
      <c r="AE151" s="262"/>
      <c r="AF151" s="262"/>
      <c r="AG151" s="262"/>
      <c r="AH151" s="262"/>
      <c r="AI151" s="262"/>
      <c r="AJ151" s="262"/>
      <c r="AK151" s="262"/>
      <c r="AL151" s="262"/>
      <c r="AM151" s="262"/>
      <c r="AN151" s="262"/>
    </row>
    <row r="152" spans="1:40" ht="17.100000000000001" customHeight="1">
      <c r="A152" s="2295"/>
      <c r="B152" s="1543" t="s">
        <v>1671</v>
      </c>
      <c r="C152" s="1227" t="s">
        <v>353</v>
      </c>
      <c r="D152" s="909" t="s">
        <v>47</v>
      </c>
      <c r="E152" s="2293"/>
      <c r="F152" s="2360"/>
      <c r="G152" s="860">
        <v>51</v>
      </c>
      <c r="H152" s="703">
        <f>부자재매입내역!AL142</f>
        <v>0</v>
      </c>
      <c r="I152" s="979">
        <f t="shared" si="35"/>
        <v>0</v>
      </c>
      <c r="J152" s="2118"/>
      <c r="K152" s="954"/>
      <c r="L152" s="869"/>
      <c r="M152"/>
      <c r="N152" s="262"/>
      <c r="O152" s="262"/>
      <c r="P152" s="262"/>
      <c r="Q152" s="262"/>
      <c r="R152" s="1035" t="s">
        <v>2016</v>
      </c>
      <c r="S152" s="1038">
        <f>COUNTIF($R$3:R152,R152)</f>
        <v>40</v>
      </c>
      <c r="T152" s="1038" t="str">
        <f t="shared" si="27"/>
        <v>PLG020090(200mm)</v>
      </c>
      <c r="U152" s="1037">
        <f t="shared" si="34"/>
        <v>0</v>
      </c>
      <c r="V152" s="1037">
        <f t="shared" si="34"/>
        <v>0</v>
      </c>
      <c r="W152" s="262"/>
      <c r="X152" s="1043" t="str">
        <f t="shared" si="33"/>
        <v>압출 PCM</v>
      </c>
      <c r="Y152" s="1044">
        <f t="shared" si="20"/>
        <v>146</v>
      </c>
      <c r="Z152" s="1044" t="str">
        <f t="array" ref="Z152">IFERROR(INDEX($T$3:$T$373,MATCH(1,($X152=$R$3:$R$373)*($Y152=$S$3:$S$373),0))," ")</f>
        <v xml:space="preserve"> </v>
      </c>
      <c r="AA152" s="1044" t="str">
        <f t="array" ref="AA152">IFERROR(INDEX($U$3:$U$373,MATCH(1,($X152=$R$3:$R$373)*($Y152=$S$3:$S$373),0))," ")</f>
        <v xml:space="preserve"> </v>
      </c>
      <c r="AB152" s="1045" t="str">
        <f t="array" ref="AB152">IFERROR(INDEX($V$3:$V$373,MATCH(1,($X152=$R$3:$R$373)*($Y152=$S$3:$S$373),0))," ")</f>
        <v xml:space="preserve"> </v>
      </c>
      <c r="AC152" s="262"/>
      <c r="AE152" s="262"/>
      <c r="AF152" s="262"/>
      <c r="AG152" s="262"/>
      <c r="AH152" s="262"/>
      <c r="AI152" s="262"/>
      <c r="AJ152" s="262"/>
      <c r="AK152" s="262"/>
      <c r="AL152" s="262"/>
      <c r="AM152" s="262"/>
      <c r="AN152" s="262"/>
    </row>
    <row r="153" spans="1:40" ht="17.100000000000001" customHeight="1">
      <c r="A153" s="2295"/>
      <c r="B153" s="1543" t="s">
        <v>1672</v>
      </c>
      <c r="C153" s="1227" t="s">
        <v>354</v>
      </c>
      <c r="D153" s="909" t="s">
        <v>47</v>
      </c>
      <c r="E153" s="2293"/>
      <c r="F153" s="2360"/>
      <c r="G153" s="860">
        <v>52.8</v>
      </c>
      <c r="H153" s="703">
        <f>부자재매입내역!AL98</f>
        <v>1000</v>
      </c>
      <c r="I153" s="979">
        <f t="shared" si="35"/>
        <v>52800</v>
      </c>
      <c r="J153" s="2118"/>
      <c r="K153" s="954"/>
      <c r="L153" s="869"/>
      <c r="M153"/>
      <c r="N153" s="262"/>
      <c r="O153" s="262"/>
      <c r="P153" s="262"/>
      <c r="Q153" s="262"/>
      <c r="R153" s="1035" t="s">
        <v>2016</v>
      </c>
      <c r="S153" s="1038">
        <f>COUNTIF($R$3:R153,R153)</f>
        <v>41</v>
      </c>
      <c r="T153" s="1038" t="str">
        <f t="shared" si="27"/>
        <v>BUTYL PAD 1*8*125(LHD)</v>
      </c>
      <c r="U153" s="1037">
        <f t="shared" si="34"/>
        <v>1000</v>
      </c>
      <c r="V153" s="1037">
        <f t="shared" si="34"/>
        <v>52800</v>
      </c>
      <c r="W153" s="262"/>
      <c r="X153" s="1043" t="str">
        <f t="shared" si="33"/>
        <v>압출 PCM</v>
      </c>
      <c r="Y153" s="1044">
        <f t="shared" si="20"/>
        <v>147</v>
      </c>
      <c r="Z153" s="1044" t="str">
        <f t="array" ref="Z153">IFERROR(INDEX($T$3:$T$373,MATCH(1,($X153=$R$3:$R$373)*($Y153=$S$3:$S$373),0))," ")</f>
        <v xml:space="preserve"> </v>
      </c>
      <c r="AA153" s="1044" t="str">
        <f t="array" ref="AA153">IFERROR(INDEX($U$3:$U$373,MATCH(1,($X153=$R$3:$R$373)*($Y153=$S$3:$S$373),0))," ")</f>
        <v xml:space="preserve"> </v>
      </c>
      <c r="AB153" s="1045" t="str">
        <f t="array" ref="AB153">IFERROR(INDEX($V$3:$V$373,MATCH(1,($X153=$R$3:$R$373)*($Y153=$S$3:$S$373),0))," ")</f>
        <v xml:space="preserve"> </v>
      </c>
      <c r="AC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</row>
    <row r="154" spans="1:40" ht="17.100000000000001" customHeight="1">
      <c r="A154" s="2295"/>
      <c r="B154" s="1543" t="s">
        <v>1673</v>
      </c>
      <c r="C154" s="1227" t="s">
        <v>355</v>
      </c>
      <c r="D154" s="909" t="s">
        <v>47</v>
      </c>
      <c r="E154" s="2293"/>
      <c r="F154" s="2360"/>
      <c r="G154" s="860">
        <v>50.4</v>
      </c>
      <c r="H154" s="703">
        <f>부자재매입내역!AL99</f>
        <v>0</v>
      </c>
      <c r="I154" s="979">
        <f t="shared" si="35"/>
        <v>0</v>
      </c>
      <c r="J154" s="2118"/>
      <c r="K154" s="954"/>
      <c r="L154" s="869"/>
      <c r="M154"/>
      <c r="N154" s="262"/>
      <c r="O154" s="262"/>
      <c r="P154" s="262"/>
      <c r="Q154" s="262"/>
      <c r="R154" s="1035" t="s">
        <v>2016</v>
      </c>
      <c r="S154" s="1038">
        <f>COUNTIF($R$3:R154,R154)</f>
        <v>42</v>
      </c>
      <c r="T154" s="1038" t="str">
        <f t="shared" si="27"/>
        <v>BUTYL PAD 1*8*125(RHD)</v>
      </c>
      <c r="U154" s="1037">
        <f t="shared" si="34"/>
        <v>0</v>
      </c>
      <c r="V154" s="1037">
        <f t="shared" si="34"/>
        <v>0</v>
      </c>
      <c r="W154" s="262"/>
      <c r="X154" s="1043" t="str">
        <f t="shared" si="33"/>
        <v>압출 PCM</v>
      </c>
      <c r="Y154" s="1044">
        <f t="shared" si="20"/>
        <v>148</v>
      </c>
      <c r="Z154" s="1044" t="str">
        <f t="array" ref="Z154">IFERROR(INDEX($T$3:$T$373,MATCH(1,($X154=$R$3:$R$373)*($Y154=$S$3:$S$373),0))," ")</f>
        <v xml:space="preserve"> </v>
      </c>
      <c r="AA154" s="1044" t="str">
        <f t="array" ref="AA154">IFERROR(INDEX($U$3:$U$373,MATCH(1,($X154=$R$3:$R$373)*($Y154=$S$3:$S$373),0))," ")</f>
        <v xml:space="preserve"> </v>
      </c>
      <c r="AB154" s="1045" t="str">
        <f t="array" ref="AB154">IFERROR(INDEX($V$3:$V$373,MATCH(1,($X154=$R$3:$R$373)*($Y154=$S$3:$S$373),0))," ")</f>
        <v xml:space="preserve"> </v>
      </c>
      <c r="AC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</row>
    <row r="155" spans="1:40" ht="17.100000000000001" customHeight="1">
      <c r="A155" s="2295"/>
      <c r="B155" s="1543" t="s">
        <v>2240</v>
      </c>
      <c r="C155" s="1227" t="s">
        <v>356</v>
      </c>
      <c r="D155" s="909" t="s">
        <v>47</v>
      </c>
      <c r="E155" s="2293"/>
      <c r="F155" s="2360"/>
      <c r="G155" s="860">
        <v>14.5</v>
      </c>
      <c r="H155" s="703">
        <f>부자재매입내역!AL100</f>
        <v>1000</v>
      </c>
      <c r="I155" s="979">
        <f t="shared" si="35"/>
        <v>14500</v>
      </c>
      <c r="J155" s="2118"/>
      <c r="K155" s="954"/>
      <c r="L155" s="869"/>
      <c r="M155"/>
      <c r="R155" s="1035" t="s">
        <v>2016</v>
      </c>
      <c r="S155" s="1038">
        <f>COUNTIF($R$3:R155,R155)</f>
        <v>43</v>
      </c>
      <c r="T155" s="1038" t="str">
        <f t="shared" si="27"/>
        <v>BUTYL 1*8*30</v>
      </c>
      <c r="U155" s="1037">
        <f t="shared" si="34"/>
        <v>1000</v>
      </c>
      <c r="V155" s="1037">
        <f t="shared" si="34"/>
        <v>14500</v>
      </c>
      <c r="X155" s="1043" t="str">
        <f t="shared" si="33"/>
        <v>압출 PCM</v>
      </c>
      <c r="Y155" s="1044">
        <f t="shared" si="20"/>
        <v>149</v>
      </c>
      <c r="Z155" s="1044" t="str">
        <f t="array" ref="Z155">IFERROR(INDEX($T$3:$T$373,MATCH(1,($X155=$R$3:$R$373)*($Y155=$S$3:$S$373),0))," ")</f>
        <v xml:space="preserve"> </v>
      </c>
      <c r="AA155" s="1044" t="str">
        <f t="array" ref="AA155">IFERROR(INDEX($U$3:$U$373,MATCH(1,($X155=$R$3:$R$373)*($Y155=$S$3:$S$373),0))," ")</f>
        <v xml:space="preserve"> </v>
      </c>
      <c r="AB155" s="1045" t="str">
        <f t="array" ref="AB155">IFERROR(INDEX($V$3:$V$373,MATCH(1,($X155=$R$3:$R$373)*($Y155=$S$3:$S$373),0))," ")</f>
        <v xml:space="preserve"> </v>
      </c>
    </row>
    <row r="156" spans="1:40" ht="17.100000000000001" customHeight="1">
      <c r="A156" s="2295"/>
      <c r="B156" s="1543" t="s">
        <v>1674</v>
      </c>
      <c r="C156" s="1227" t="s">
        <v>357</v>
      </c>
      <c r="D156" s="909" t="s">
        <v>47</v>
      </c>
      <c r="E156" s="2293"/>
      <c r="F156" s="2360"/>
      <c r="G156" s="860">
        <v>4.5999999999999996</v>
      </c>
      <c r="H156" s="703">
        <f>부자재매입내역!AL21</f>
        <v>0</v>
      </c>
      <c r="I156" s="979">
        <f t="shared" si="35"/>
        <v>0</v>
      </c>
      <c r="J156" s="2118"/>
      <c r="K156" s="954"/>
      <c r="L156" s="869"/>
      <c r="M156"/>
      <c r="R156" s="1035" t="s">
        <v>2016</v>
      </c>
      <c r="S156" s="1038">
        <f>COUNTIF($R$3:R156,R156)</f>
        <v>44</v>
      </c>
      <c r="T156" s="1038" t="str">
        <f t="shared" si="27"/>
        <v>특수 CLIP GS-038 82132-38000</v>
      </c>
      <c r="U156" s="1037">
        <f t="shared" si="34"/>
        <v>0</v>
      </c>
      <c r="V156" s="1037">
        <f t="shared" si="34"/>
        <v>0</v>
      </c>
      <c r="X156" s="1043" t="str">
        <f t="shared" si="33"/>
        <v>압출 PCM</v>
      </c>
      <c r="Y156" s="1044">
        <f t="shared" si="20"/>
        <v>150</v>
      </c>
      <c r="Z156" s="1044" t="str">
        <f t="array" ref="Z156">IFERROR(INDEX($T$3:$T$373,MATCH(1,($X156=$R$3:$R$373)*($Y156=$S$3:$S$373),0))," ")</f>
        <v xml:space="preserve"> </v>
      </c>
      <c r="AA156" s="1044" t="str">
        <f t="array" ref="AA156">IFERROR(INDEX($U$3:$U$373,MATCH(1,($X156=$R$3:$R$373)*($Y156=$S$3:$S$373),0))," ")</f>
        <v xml:space="preserve"> </v>
      </c>
      <c r="AB156" s="1045" t="str">
        <f t="array" ref="AB156">IFERROR(INDEX($V$3:$V$373,MATCH(1,($X156=$R$3:$R$373)*($Y156=$S$3:$S$373),0))," ")</f>
        <v xml:space="preserve"> </v>
      </c>
    </row>
    <row r="157" spans="1:40" ht="17.100000000000001" customHeight="1">
      <c r="A157" s="2295"/>
      <c r="B157" s="862" t="s">
        <v>1675</v>
      </c>
      <c r="C157" s="1115" t="s">
        <v>739</v>
      </c>
      <c r="D157" s="909" t="s">
        <v>47</v>
      </c>
      <c r="E157" s="2293"/>
      <c r="F157" s="2360"/>
      <c r="G157" s="860">
        <v>3.5</v>
      </c>
      <c r="H157" s="703">
        <f>부자재매입내역!AL22</f>
        <v>0</v>
      </c>
      <c r="I157" s="979">
        <f t="shared" si="35"/>
        <v>0</v>
      </c>
      <c r="J157" s="2118"/>
      <c r="K157" s="954"/>
      <c r="L157" s="869"/>
      <c r="M157"/>
      <c r="R157" s="1035" t="s">
        <v>2016</v>
      </c>
      <c r="S157" s="1038">
        <f>COUNTIF($R$3:R157,R157)</f>
        <v>45</v>
      </c>
      <c r="T157" s="1038" t="str">
        <f t="shared" si="27"/>
        <v>일반 CLIP GS-073(WH)</v>
      </c>
      <c r="U157" s="1037">
        <f t="shared" si="34"/>
        <v>0</v>
      </c>
      <c r="V157" s="1037">
        <f t="shared" si="34"/>
        <v>0</v>
      </c>
      <c r="X157" s="1043" t="str">
        <f t="shared" si="33"/>
        <v>압출 PCM</v>
      </c>
      <c r="Y157" s="1044">
        <f t="shared" si="20"/>
        <v>151</v>
      </c>
      <c r="Z157" s="1044" t="str">
        <f t="array" ref="Z157">IFERROR(INDEX($T$3:$T$373,MATCH(1,($X157=$R$3:$R$373)*($Y157=$S$3:$S$373),0))," ")</f>
        <v xml:space="preserve"> </v>
      </c>
      <c r="AA157" s="1044" t="str">
        <f t="array" ref="AA157">IFERROR(INDEX($U$3:$U$373,MATCH(1,($X157=$R$3:$R$373)*($Y157=$S$3:$S$373),0))," ")</f>
        <v xml:space="preserve"> </v>
      </c>
      <c r="AB157" s="1045" t="str">
        <f t="array" ref="AB157">IFERROR(INDEX($V$3:$V$373,MATCH(1,($X157=$R$3:$R$373)*($Y157=$S$3:$S$373),0))," ")</f>
        <v xml:space="preserve"> </v>
      </c>
    </row>
    <row r="158" spans="1:40" ht="17.100000000000001" customHeight="1">
      <c r="A158" s="2295"/>
      <c r="B158" s="1543" t="s">
        <v>2239</v>
      </c>
      <c r="C158" s="1227" t="s">
        <v>358</v>
      </c>
      <c r="D158" s="909" t="s">
        <v>47</v>
      </c>
      <c r="E158" s="2293"/>
      <c r="F158" s="2360"/>
      <c r="G158" s="860">
        <v>3.4</v>
      </c>
      <c r="H158" s="703">
        <f>부자재매입내역!AL23</f>
        <v>30000</v>
      </c>
      <c r="I158" s="979">
        <f t="shared" si="35"/>
        <v>102000</v>
      </c>
      <c r="J158" s="2118"/>
      <c r="K158" s="954"/>
      <c r="L158" s="869"/>
      <c r="M158"/>
      <c r="R158" s="1035" t="s">
        <v>2016</v>
      </c>
      <c r="S158" s="1038">
        <f>COUNTIF($R$3:R158,R158)</f>
        <v>46</v>
      </c>
      <c r="T158" s="1038" t="str">
        <f t="shared" si="27"/>
        <v>일반 CLIP GS-073 (GR)</v>
      </c>
      <c r="U158" s="1037">
        <f t="shared" si="34"/>
        <v>30000</v>
      </c>
      <c r="V158" s="1037">
        <f t="shared" si="34"/>
        <v>102000</v>
      </c>
      <c r="X158" s="1043" t="str">
        <f t="shared" si="33"/>
        <v>압출 PCM</v>
      </c>
      <c r="Y158" s="1044">
        <f t="shared" si="20"/>
        <v>152</v>
      </c>
      <c r="Z158" s="1044" t="str">
        <f t="array" ref="Z158">IFERROR(INDEX($T$3:$T$373,MATCH(1,($X158=$R$3:$R$373)*($Y158=$S$3:$S$373),0))," ")</f>
        <v xml:space="preserve"> </v>
      </c>
      <c r="AA158" s="1044" t="str">
        <f t="array" ref="AA158">IFERROR(INDEX($U$3:$U$373,MATCH(1,($X158=$R$3:$R$373)*($Y158=$S$3:$S$373),0))," ")</f>
        <v xml:space="preserve"> </v>
      </c>
      <c r="AB158" s="1045" t="str">
        <f t="array" ref="AB158">IFERROR(INDEX($V$3:$V$373,MATCH(1,($X158=$R$3:$R$373)*($Y158=$S$3:$S$373),0))," ")</f>
        <v xml:space="preserve"> </v>
      </c>
    </row>
    <row r="159" spans="1:40" ht="17.100000000000001" customHeight="1">
      <c r="A159" s="2295"/>
      <c r="B159" s="1543" t="s">
        <v>1676</v>
      </c>
      <c r="C159" s="1227" t="s">
        <v>359</v>
      </c>
      <c r="D159" s="909" t="s">
        <v>47</v>
      </c>
      <c r="E159" s="2293"/>
      <c r="F159" s="2360"/>
      <c r="G159" s="860">
        <v>3.5</v>
      </c>
      <c r="H159" s="703">
        <f>부자재매입내역!AL24</f>
        <v>0</v>
      </c>
      <c r="I159" s="979">
        <f t="shared" si="35"/>
        <v>0</v>
      </c>
      <c r="J159" s="2118"/>
      <c r="K159" s="954"/>
      <c r="L159" s="869"/>
      <c r="M159"/>
      <c r="R159" s="1035" t="s">
        <v>2016</v>
      </c>
      <c r="S159" s="1038">
        <f>COUNTIF($R$3:R159,R159)</f>
        <v>47</v>
      </c>
      <c r="T159" s="1038" t="str">
        <f t="shared" si="27"/>
        <v>일반 CLIP GS-073 (BR)</v>
      </c>
      <c r="U159" s="1037">
        <f t="shared" si="34"/>
        <v>0</v>
      </c>
      <c r="V159" s="1037">
        <f t="shared" si="34"/>
        <v>0</v>
      </c>
      <c r="X159" s="1043" t="str">
        <f t="shared" si="33"/>
        <v>압출 PCM</v>
      </c>
      <c r="Y159" s="1044">
        <f t="shared" si="20"/>
        <v>153</v>
      </c>
      <c r="Z159" s="1044" t="str">
        <f t="array" ref="Z159">IFERROR(INDEX($T$3:$T$373,MATCH(1,($X159=$R$3:$R$373)*($Y159=$S$3:$S$373),0))," ")</f>
        <v xml:space="preserve"> </v>
      </c>
      <c r="AA159" s="1044" t="str">
        <f t="array" ref="AA159">IFERROR(INDEX($U$3:$U$373,MATCH(1,($X159=$R$3:$R$373)*($Y159=$S$3:$S$373),0))," ")</f>
        <v xml:space="preserve"> </v>
      </c>
      <c r="AB159" s="1045" t="str">
        <f t="array" ref="AB159">IFERROR(INDEX($V$3:$V$373,MATCH(1,($X159=$R$3:$R$373)*($Y159=$S$3:$S$373),0))," ")</f>
        <v xml:space="preserve"> </v>
      </c>
    </row>
    <row r="160" spans="1:40" ht="17.100000000000001" customHeight="1">
      <c r="A160" s="2295"/>
      <c r="B160" s="1543" t="s">
        <v>1677</v>
      </c>
      <c r="C160" s="1227" t="s">
        <v>360</v>
      </c>
      <c r="D160" s="909" t="s">
        <v>47</v>
      </c>
      <c r="E160" s="2293"/>
      <c r="F160" s="2360"/>
      <c r="G160" s="860">
        <v>3.5</v>
      </c>
      <c r="H160" s="703">
        <f>부자재매입내역!AL25</f>
        <v>0</v>
      </c>
      <c r="I160" s="979">
        <f t="shared" si="35"/>
        <v>0</v>
      </c>
      <c r="J160" s="2118"/>
      <c r="K160" s="954"/>
      <c r="L160" s="869"/>
      <c r="M160"/>
      <c r="R160" s="1035" t="s">
        <v>2016</v>
      </c>
      <c r="S160" s="1038">
        <f>COUNTIF($R$3:R160,R160)</f>
        <v>48</v>
      </c>
      <c r="T160" s="1038" t="str">
        <f t="shared" si="27"/>
        <v>일반 CLIP GS-073 (OR)</v>
      </c>
      <c r="U160" s="1037">
        <f t="shared" si="34"/>
        <v>0</v>
      </c>
      <c r="V160" s="1037">
        <f t="shared" si="34"/>
        <v>0</v>
      </c>
      <c r="X160" s="1043" t="str">
        <f t="shared" si="33"/>
        <v>압출 PCM</v>
      </c>
      <c r="Y160" s="1044">
        <f t="shared" si="20"/>
        <v>154</v>
      </c>
      <c r="Z160" s="1044" t="str">
        <f t="array" ref="Z160">IFERROR(INDEX($T$3:$T$373,MATCH(1,($X160=$R$3:$R$373)*($Y160=$S$3:$S$373),0))," ")</f>
        <v xml:space="preserve"> </v>
      </c>
      <c r="AA160" s="1044" t="str">
        <f t="array" ref="AA160">IFERROR(INDEX($U$3:$U$373,MATCH(1,($X160=$R$3:$R$373)*($Y160=$S$3:$S$373),0))," ")</f>
        <v xml:space="preserve"> </v>
      </c>
      <c r="AB160" s="1045" t="str">
        <f t="array" ref="AB160">IFERROR(INDEX($V$3:$V$373,MATCH(1,($X160=$R$3:$R$373)*($Y160=$S$3:$S$373),0))," ")</f>
        <v xml:space="preserve"> </v>
      </c>
    </row>
    <row r="161" spans="1:40" ht="17.100000000000001" customHeight="1">
      <c r="A161" s="2295"/>
      <c r="B161" s="1543" t="s">
        <v>1678</v>
      </c>
      <c r="C161" s="1227" t="s">
        <v>361</v>
      </c>
      <c r="D161" s="909" t="s">
        <v>47</v>
      </c>
      <c r="E161" s="2293"/>
      <c r="F161" s="2360"/>
      <c r="G161" s="860">
        <v>4.4000000000000004</v>
      </c>
      <c r="H161" s="703">
        <f>부자재매입내역!AL26</f>
        <v>0</v>
      </c>
      <c r="I161" s="979">
        <f t="shared" si="35"/>
        <v>0</v>
      </c>
      <c r="J161" s="2118"/>
      <c r="K161" s="954"/>
      <c r="L161" s="869"/>
      <c r="M161"/>
      <c r="R161" s="1035" t="s">
        <v>2016</v>
      </c>
      <c r="S161" s="1038">
        <f>COUNTIF($R$3:R161,R161)</f>
        <v>49</v>
      </c>
      <c r="T161" s="1038" t="str">
        <f t="shared" si="27"/>
        <v>NF CLIP OR 86472-3K000</v>
      </c>
      <c r="U161" s="1037">
        <f t="shared" si="34"/>
        <v>0</v>
      </c>
      <c r="V161" s="1037">
        <f t="shared" si="34"/>
        <v>0</v>
      </c>
      <c r="X161" s="1043" t="str">
        <f t="shared" si="33"/>
        <v>압출 PCM</v>
      </c>
      <c r="Y161" s="1044">
        <f t="shared" si="20"/>
        <v>155</v>
      </c>
      <c r="Z161" s="1044" t="str">
        <f t="array" ref="Z161">IFERROR(INDEX($T$3:$T$373,MATCH(1,($X161=$R$3:$R$373)*($Y161=$S$3:$S$373),0))," ")</f>
        <v xml:space="preserve"> </v>
      </c>
      <c r="AA161" s="1044" t="str">
        <f t="array" ref="AA161">IFERROR(INDEX($U$3:$U$373,MATCH(1,($X161=$R$3:$R$373)*($Y161=$S$3:$S$373),0))," ")</f>
        <v xml:space="preserve"> </v>
      </c>
      <c r="AB161" s="1045" t="str">
        <f t="array" ref="AB161">IFERROR(INDEX($V$3:$V$373,MATCH(1,($X161=$R$3:$R$373)*($Y161=$S$3:$S$373),0))," ")</f>
        <v xml:space="preserve"> </v>
      </c>
    </row>
    <row r="162" spans="1:40" ht="17.100000000000001" customHeight="1">
      <c r="A162" s="2295"/>
      <c r="B162" s="1543" t="s">
        <v>1679</v>
      </c>
      <c r="C162" s="1227" t="s">
        <v>362</v>
      </c>
      <c r="D162" s="909" t="s">
        <v>47</v>
      </c>
      <c r="E162" s="2293"/>
      <c r="F162" s="2360"/>
      <c r="G162" s="860">
        <v>4.2</v>
      </c>
      <c r="H162" s="703">
        <f>부자재매입내역!AL27</f>
        <v>0</v>
      </c>
      <c r="I162" s="979">
        <f t="shared" si="35"/>
        <v>0</v>
      </c>
      <c r="J162" s="2118"/>
      <c r="K162" s="954"/>
      <c r="L162" s="869"/>
      <c r="M162"/>
      <c r="R162" s="1035" t="s">
        <v>2016</v>
      </c>
      <c r="S162" s="1038">
        <f>COUNTIF($R$3:R162,R162)</f>
        <v>50</v>
      </c>
      <c r="T162" s="1038" t="str">
        <f t="shared" si="27"/>
        <v>특수 CLIP GS-039 OR 82133-37000</v>
      </c>
      <c r="U162" s="1037">
        <f t="shared" si="34"/>
        <v>0</v>
      </c>
      <c r="V162" s="1037">
        <f t="shared" si="34"/>
        <v>0</v>
      </c>
      <c r="X162" s="1043" t="str">
        <f t="shared" si="33"/>
        <v>압출 PCM</v>
      </c>
      <c r="Y162" s="1044">
        <f t="shared" si="20"/>
        <v>156</v>
      </c>
      <c r="Z162" s="1044" t="str">
        <f t="array" ref="Z162">IFERROR(INDEX($T$3:$T$373,MATCH(1,($X162=$R$3:$R$373)*($Y162=$S$3:$S$373),0))," ")</f>
        <v xml:space="preserve"> </v>
      </c>
      <c r="AA162" s="1044" t="str">
        <f t="array" ref="AA162">IFERROR(INDEX($U$3:$U$373,MATCH(1,($X162=$R$3:$R$373)*($Y162=$S$3:$S$373),0))," ")</f>
        <v xml:space="preserve"> </v>
      </c>
      <c r="AB162" s="1045" t="str">
        <f t="array" ref="AB162">IFERROR(INDEX($V$3:$V$373,MATCH(1,($X162=$R$3:$R$373)*($Y162=$S$3:$S$373),0))," ")</f>
        <v xml:space="preserve"> </v>
      </c>
    </row>
    <row r="163" spans="1:40" ht="17.100000000000001" customHeight="1">
      <c r="A163" s="2295"/>
      <c r="B163" s="862" t="s">
        <v>1680</v>
      </c>
      <c r="C163" s="1115" t="s">
        <v>363</v>
      </c>
      <c r="D163" s="909" t="s">
        <v>47</v>
      </c>
      <c r="E163" s="2293"/>
      <c r="F163" s="2360"/>
      <c r="G163" s="860">
        <v>4.8</v>
      </c>
      <c r="H163" s="703">
        <f>부자재매입내역!AL80</f>
        <v>0</v>
      </c>
      <c r="I163" s="979">
        <f t="shared" si="35"/>
        <v>0</v>
      </c>
      <c r="J163" s="2118"/>
      <c r="K163" s="954"/>
      <c r="L163" s="869"/>
      <c r="M163"/>
      <c r="R163" s="1035" t="s">
        <v>2016</v>
      </c>
      <c r="S163" s="1038">
        <f>COUNTIF($R$3:R163,R163)</f>
        <v>51</v>
      </c>
      <c r="T163" s="1038" t="str">
        <f t="shared" si="27"/>
        <v>DENNISON PIN</v>
      </c>
      <c r="U163" s="1037">
        <f t="shared" si="34"/>
        <v>0</v>
      </c>
      <c r="V163" s="1037">
        <f t="shared" si="34"/>
        <v>0</v>
      </c>
      <c r="X163" s="1043" t="str">
        <f t="shared" si="33"/>
        <v>압출 PCM</v>
      </c>
      <c r="Y163" s="1044">
        <f t="shared" si="20"/>
        <v>157</v>
      </c>
      <c r="Z163" s="1044" t="str">
        <f t="array" ref="Z163">IFERROR(INDEX($T$3:$T$373,MATCH(1,($X163=$R$3:$R$373)*($Y163=$S$3:$S$373),0))," ")</f>
        <v xml:space="preserve"> </v>
      </c>
      <c r="AA163" s="1044" t="str">
        <f t="array" ref="AA163">IFERROR(INDEX($U$3:$U$373,MATCH(1,($X163=$R$3:$R$373)*($Y163=$S$3:$S$373),0))," ")</f>
        <v xml:space="preserve"> </v>
      </c>
      <c r="AB163" s="1045" t="str">
        <f t="array" ref="AB163">IFERROR(INDEX($V$3:$V$373,MATCH(1,($X163=$R$3:$R$373)*($Y163=$S$3:$S$373),0))," ")</f>
        <v xml:space="preserve"> </v>
      </c>
    </row>
    <row r="164" spans="1:40" ht="17.100000000000001" customHeight="1">
      <c r="A164" s="2295"/>
      <c r="B164" s="862" t="s">
        <v>2238</v>
      </c>
      <c r="C164" s="1115" t="s">
        <v>364</v>
      </c>
      <c r="D164" s="909" t="s">
        <v>47</v>
      </c>
      <c r="E164" s="2300"/>
      <c r="F164" s="2360"/>
      <c r="G164" s="860">
        <v>5.0999999999999996</v>
      </c>
      <c r="H164" s="703">
        <f>부자재매입내역!AL28</f>
        <v>50000</v>
      </c>
      <c r="I164" s="979">
        <f t="shared" si="35"/>
        <v>254999.99999999997</v>
      </c>
      <c r="J164" s="2118"/>
      <c r="K164" s="954"/>
      <c r="L164" s="869"/>
      <c r="M164"/>
      <c r="R164" s="1035" t="s">
        <v>2016</v>
      </c>
      <c r="S164" s="1038">
        <f>COUNTIF($R$3:R164,R164)</f>
        <v>52</v>
      </c>
      <c r="T164" s="1038" t="str">
        <f t="shared" si="27"/>
        <v>GS-024 MOUNTING CLIP</v>
      </c>
      <c r="U164" s="1037">
        <f t="shared" si="34"/>
        <v>50000</v>
      </c>
      <c r="V164" s="1037">
        <f t="shared" si="34"/>
        <v>254999.99999999997</v>
      </c>
      <c r="X164" s="1043" t="str">
        <f t="shared" si="33"/>
        <v>압출 PCM</v>
      </c>
      <c r="Y164" s="1044">
        <f t="shared" si="20"/>
        <v>158</v>
      </c>
      <c r="Z164" s="1044" t="str">
        <f t="array" ref="Z164">IFERROR(INDEX($T$3:$T$373,MATCH(1,($X164=$R$3:$R$373)*($Y164=$S$3:$S$373),0))," ")</f>
        <v xml:space="preserve"> </v>
      </c>
      <c r="AA164" s="1044" t="str">
        <f t="array" ref="AA164">IFERROR(INDEX($U$3:$U$373,MATCH(1,($X164=$R$3:$R$373)*($Y164=$S$3:$S$373),0))," ")</f>
        <v xml:space="preserve"> </v>
      </c>
      <c r="AB164" s="1045" t="str">
        <f t="array" ref="AB164">IFERROR(INDEX($V$3:$V$373,MATCH(1,($X164=$R$3:$R$373)*($Y164=$S$3:$S$373),0))," ")</f>
        <v xml:space="preserve"> </v>
      </c>
    </row>
    <row r="165" spans="1:40" ht="17.100000000000001" customHeight="1">
      <c r="A165" s="2295"/>
      <c r="B165" s="862" t="s">
        <v>1755</v>
      </c>
      <c r="C165" s="1115" t="s">
        <v>1754</v>
      </c>
      <c r="D165" s="909" t="s">
        <v>47</v>
      </c>
      <c r="E165" s="1308" t="s">
        <v>1756</v>
      </c>
      <c r="F165" s="2360"/>
      <c r="G165" s="860">
        <v>8.5</v>
      </c>
      <c r="H165" s="703">
        <f>부자재매입내역!AL105</f>
        <v>0</v>
      </c>
      <c r="I165" s="979">
        <f t="shared" si="35"/>
        <v>0</v>
      </c>
      <c r="J165" s="2118"/>
      <c r="K165" s="954"/>
      <c r="L165" s="869"/>
      <c r="M165"/>
      <c r="R165" s="1035" t="s">
        <v>1114</v>
      </c>
      <c r="S165" s="1038">
        <f>COUNTIF($R$3:R165,R165)</f>
        <v>32</v>
      </c>
      <c r="T165" s="1038" t="str">
        <f t="shared" si="27"/>
        <v>C140 TREE CLIP BK</v>
      </c>
      <c r="U165" s="1037">
        <f t="shared" si="34"/>
        <v>0</v>
      </c>
      <c r="V165" s="1037">
        <f t="shared" si="34"/>
        <v>0</v>
      </c>
      <c r="X165" s="1043" t="str">
        <f t="shared" si="33"/>
        <v>압출 PCM</v>
      </c>
      <c r="Y165" s="1044">
        <f t="shared" ref="Y165:Y184" si="37">ROW()-6</f>
        <v>159</v>
      </c>
      <c r="Z165" s="1044" t="str">
        <f t="array" ref="Z165">IFERROR(INDEX($T$3:$T$373,MATCH(1,($X165=$R$3:$R$373)*($Y165=$S$3:$S$373),0))," ")</f>
        <v xml:space="preserve"> </v>
      </c>
      <c r="AA165" s="1044" t="str">
        <f t="array" ref="AA165">IFERROR(INDEX($U$3:$U$373,MATCH(1,($X165=$R$3:$R$373)*($Y165=$S$3:$S$373),0))," ")</f>
        <v xml:space="preserve"> </v>
      </c>
      <c r="AB165" s="1045" t="str">
        <f t="array" ref="AB165">IFERROR(INDEX($V$3:$V$373,MATCH(1,($X165=$R$3:$R$373)*($Y165=$S$3:$S$373),0))," ")</f>
        <v xml:space="preserve"> </v>
      </c>
    </row>
    <row r="166" spans="1:40" ht="17.100000000000001" customHeight="1">
      <c r="A166" s="2295"/>
      <c r="B166" s="862" t="s">
        <v>1681</v>
      </c>
      <c r="C166" s="1115" t="s">
        <v>847</v>
      </c>
      <c r="D166" s="909" t="s">
        <v>47</v>
      </c>
      <c r="E166" s="2299" t="s">
        <v>851</v>
      </c>
      <c r="F166" s="2360"/>
      <c r="G166" s="860">
        <v>4.7</v>
      </c>
      <c r="H166" s="703">
        <f>부자재매입내역!AL106</f>
        <v>60000</v>
      </c>
      <c r="I166" s="979">
        <f t="shared" ref="I166:I203" si="38">G166*H166</f>
        <v>282000</v>
      </c>
      <c r="J166" s="2118"/>
      <c r="K166" s="954"/>
      <c r="L166" s="869"/>
      <c r="M166"/>
      <c r="R166" s="1035" t="s">
        <v>2016</v>
      </c>
      <c r="S166" s="1038">
        <f>COUNTIF($R$3:R166,R166)</f>
        <v>53</v>
      </c>
      <c r="T166" s="1038" t="str">
        <f t="shared" ref="T166:T231" si="39">C166</f>
        <v>GH 210 CLIP(WHITE)</v>
      </c>
      <c r="U166" s="1037">
        <f t="shared" si="34"/>
        <v>60000</v>
      </c>
      <c r="V166" s="1037">
        <f t="shared" si="34"/>
        <v>282000</v>
      </c>
      <c r="X166" s="1043" t="str">
        <f t="shared" si="33"/>
        <v>압출 PCM</v>
      </c>
      <c r="Y166" s="1044">
        <f t="shared" si="37"/>
        <v>160</v>
      </c>
      <c r="Z166" s="1044" t="str">
        <f t="array" ref="Z166">IFERROR(INDEX($T$3:$T$373,MATCH(1,($X166=$R$3:$R$373)*($Y166=$S$3:$S$373),0))," ")</f>
        <v xml:space="preserve"> </v>
      </c>
      <c r="AA166" s="1044" t="str">
        <f t="array" ref="AA166">IFERROR(INDEX($U$3:$U$373,MATCH(1,($X166=$R$3:$R$373)*($Y166=$S$3:$S$373),0))," ")</f>
        <v xml:space="preserve"> </v>
      </c>
      <c r="AB166" s="1045" t="str">
        <f t="array" ref="AB166">IFERROR(INDEX($V$3:$V$373,MATCH(1,($X166=$R$3:$R$373)*($Y166=$S$3:$S$373),0))," ")</f>
        <v xml:space="preserve"> </v>
      </c>
    </row>
    <row r="167" spans="1:40" ht="17.100000000000001" customHeight="1">
      <c r="A167" s="2295"/>
      <c r="B167" s="862" t="s">
        <v>1682</v>
      </c>
      <c r="C167" s="1115" t="s">
        <v>852</v>
      </c>
      <c r="D167" s="909" t="s">
        <v>47</v>
      </c>
      <c r="E167" s="2293"/>
      <c r="F167" s="2360"/>
      <c r="G167" s="860">
        <v>4.7</v>
      </c>
      <c r="H167" s="703">
        <f>부자재매입내역!AL107</f>
        <v>60000</v>
      </c>
      <c r="I167" s="979">
        <f t="shared" si="38"/>
        <v>282000</v>
      </c>
      <c r="J167" s="2118"/>
      <c r="K167" s="954"/>
      <c r="L167" s="869"/>
      <c r="M167"/>
      <c r="R167" s="1035" t="s">
        <v>2016</v>
      </c>
      <c r="S167" s="1038">
        <f>COUNTIF($R$3:R167,R167)</f>
        <v>54</v>
      </c>
      <c r="T167" s="1038" t="str">
        <f t="shared" si="39"/>
        <v>GH 210 CLIP(YELLOW)</v>
      </c>
      <c r="U167" s="1037">
        <f t="shared" si="34"/>
        <v>60000</v>
      </c>
      <c r="V167" s="1037">
        <f t="shared" si="34"/>
        <v>282000</v>
      </c>
      <c r="X167" s="1043" t="str">
        <f t="shared" si="33"/>
        <v>압출 PCM</v>
      </c>
      <c r="Y167" s="1044">
        <f t="shared" si="37"/>
        <v>161</v>
      </c>
      <c r="Z167" s="1044" t="str">
        <f t="array" ref="Z167">IFERROR(INDEX($T$3:$T$373,MATCH(1,($X167=$R$3:$R$373)*($Y167=$S$3:$S$373),0))," ")</f>
        <v xml:space="preserve"> </v>
      </c>
      <c r="AA167" s="1044" t="str">
        <f t="array" ref="AA167">IFERROR(INDEX($U$3:$U$373,MATCH(1,($X167=$R$3:$R$373)*($Y167=$S$3:$S$373),0))," ")</f>
        <v xml:space="preserve"> </v>
      </c>
      <c r="AB167" s="1045" t="str">
        <f t="array" ref="AB167">IFERROR(INDEX($V$3:$V$373,MATCH(1,($X167=$R$3:$R$373)*($Y167=$S$3:$S$373),0))," ")</f>
        <v xml:space="preserve"> </v>
      </c>
    </row>
    <row r="168" spans="1:40" ht="17.100000000000001" customHeight="1">
      <c r="A168" s="2295"/>
      <c r="B168" s="862" t="s">
        <v>1844</v>
      </c>
      <c r="C168" s="1115" t="s">
        <v>849</v>
      </c>
      <c r="D168" s="909" t="s">
        <v>47</v>
      </c>
      <c r="E168" s="2300"/>
      <c r="F168" s="2360"/>
      <c r="G168" s="860">
        <v>4.7</v>
      </c>
      <c r="H168" s="703">
        <f>부자재매입내역!AL108</f>
        <v>40000</v>
      </c>
      <c r="I168" s="979">
        <f t="shared" si="38"/>
        <v>188000</v>
      </c>
      <c r="J168" s="2118"/>
      <c r="K168" s="954"/>
      <c r="L168" s="869"/>
      <c r="M168"/>
      <c r="R168" s="1035" t="s">
        <v>2016</v>
      </c>
      <c r="S168" s="1038">
        <f>COUNTIF($R$3:R168,R168)</f>
        <v>55</v>
      </c>
      <c r="T168" s="1038" t="str">
        <f t="shared" si="39"/>
        <v>GH 210 CLIP(RED)</v>
      </c>
      <c r="U168" s="1037">
        <f t="shared" si="34"/>
        <v>40000</v>
      </c>
      <c r="V168" s="1037">
        <f t="shared" si="34"/>
        <v>188000</v>
      </c>
      <c r="X168" s="1043" t="str">
        <f t="shared" si="33"/>
        <v>압출 PCM</v>
      </c>
      <c r="Y168" s="1044">
        <f t="shared" si="37"/>
        <v>162</v>
      </c>
      <c r="Z168" s="1044" t="str">
        <f t="array" ref="Z168">IFERROR(INDEX($T$3:$T$373,MATCH(1,($X168=$R$3:$R$373)*($Y168=$S$3:$S$373),0))," ")</f>
        <v xml:space="preserve"> </v>
      </c>
      <c r="AA168" s="1044" t="str">
        <f t="array" ref="AA168">IFERROR(INDEX($U$3:$U$373,MATCH(1,($X168=$R$3:$R$373)*($Y168=$S$3:$S$373),0))," ")</f>
        <v xml:space="preserve"> </v>
      </c>
      <c r="AB168" s="1045" t="str">
        <f t="array" ref="AB168">IFERROR(INDEX($V$3:$V$373,MATCH(1,($X168=$R$3:$R$373)*($Y168=$S$3:$S$373),0))," ")</f>
        <v xml:space="preserve"> </v>
      </c>
      <c r="AE168" s="262"/>
    </row>
    <row r="169" spans="1:40" ht="17.100000000000001" customHeight="1">
      <c r="A169" s="2295"/>
      <c r="B169" s="862" t="s">
        <v>1861</v>
      </c>
      <c r="C169" s="1115" t="s">
        <v>1842</v>
      </c>
      <c r="D169" s="909" t="s">
        <v>47</v>
      </c>
      <c r="E169" s="1308" t="s">
        <v>1843</v>
      </c>
      <c r="F169" s="2360"/>
      <c r="G169" s="860">
        <v>5.8</v>
      </c>
      <c r="H169" s="703">
        <f>부자재매입내역!AL49</f>
        <v>0</v>
      </c>
      <c r="I169" s="979">
        <f t="shared" si="38"/>
        <v>0</v>
      </c>
      <c r="J169" s="2118"/>
      <c r="K169" s="954"/>
      <c r="L169" s="869"/>
      <c r="M169"/>
      <c r="R169" s="1035" t="s">
        <v>2016</v>
      </c>
      <c r="S169" s="1038">
        <f>COUNTIF($R$3:R169,R169)</f>
        <v>56</v>
      </c>
      <c r="T169" s="1038" t="str">
        <f t="shared" si="39"/>
        <v>GH -105 BK 블랙(화살촉 모양)</v>
      </c>
      <c r="U169" s="1037">
        <f t="shared" si="34"/>
        <v>0</v>
      </c>
      <c r="V169" s="1037">
        <f t="shared" si="34"/>
        <v>0</v>
      </c>
      <c r="X169" s="1043" t="str">
        <f t="shared" si="33"/>
        <v>압출 PCM</v>
      </c>
      <c r="Y169" s="1044">
        <f t="shared" si="37"/>
        <v>163</v>
      </c>
      <c r="Z169" s="1044" t="str">
        <f t="array" ref="Z169">IFERROR(INDEX($T$3:$T$373,MATCH(1,($X169=$R$3:$R$373)*($Y169=$S$3:$S$373),0))," ")</f>
        <v xml:space="preserve"> </v>
      </c>
      <c r="AA169" s="1044" t="str">
        <f t="array" ref="AA169">IFERROR(INDEX($U$3:$U$373,MATCH(1,($X169=$R$3:$R$373)*($Y169=$S$3:$S$373),0))," ")</f>
        <v xml:space="preserve"> </v>
      </c>
      <c r="AB169" s="1045" t="str">
        <f t="array" ref="AB169">IFERROR(INDEX($V$3:$V$373,MATCH(1,($X169=$R$3:$R$373)*($Y169=$S$3:$S$373),0))," ")</f>
        <v xml:space="preserve"> </v>
      </c>
    </row>
    <row r="170" spans="1:40" ht="17.100000000000001" customHeight="1">
      <c r="A170" s="2295"/>
      <c r="B170" s="1543" t="s">
        <v>1683</v>
      </c>
      <c r="C170" s="1225" t="s">
        <v>1256</v>
      </c>
      <c r="D170" s="909" t="s">
        <v>32</v>
      </c>
      <c r="E170" s="2299" t="s">
        <v>1232</v>
      </c>
      <c r="F170" s="2360"/>
      <c r="G170" s="858">
        <v>5.2</v>
      </c>
      <c r="H170" s="703">
        <f>부자재매입내역!AL109</f>
        <v>0</v>
      </c>
      <c r="I170" s="979">
        <f>G170*H170</f>
        <v>0</v>
      </c>
      <c r="J170" s="2118"/>
      <c r="K170" s="954"/>
      <c r="L170" s="869"/>
      <c r="M170"/>
      <c r="N170" s="262"/>
      <c r="O170" s="262"/>
      <c r="P170" s="262"/>
      <c r="Q170" s="262"/>
      <c r="R170" s="1035" t="s">
        <v>2016</v>
      </c>
      <c r="S170" s="1038">
        <f>COUNTIF($R$3:R170,R170)</f>
        <v>57</v>
      </c>
      <c r="T170" s="1038" t="str">
        <f t="shared" si="39"/>
        <v>GH-503(BR)</v>
      </c>
      <c r="U170" s="1037">
        <f t="shared" si="34"/>
        <v>0</v>
      </c>
      <c r="V170" s="1037">
        <f t="shared" si="34"/>
        <v>0</v>
      </c>
      <c r="W170" s="262"/>
      <c r="X170" s="1043" t="str">
        <f t="shared" si="33"/>
        <v>압출 PCM</v>
      </c>
      <c r="Y170" s="1044">
        <f t="shared" si="37"/>
        <v>164</v>
      </c>
      <c r="Z170" s="1044" t="str">
        <f t="array" ref="Z170">IFERROR(INDEX($T$3:$T$373,MATCH(1,($X170=$R$3:$R$373)*($Y170=$S$3:$S$373),0))," ")</f>
        <v xml:space="preserve"> </v>
      </c>
      <c r="AA170" s="1044" t="str">
        <f t="array" ref="AA170">IFERROR(INDEX($U$3:$U$373,MATCH(1,($X170=$R$3:$R$373)*($Y170=$S$3:$S$373),0))," ")</f>
        <v xml:space="preserve"> </v>
      </c>
      <c r="AB170" s="1045" t="str">
        <f t="array" ref="AB170">IFERROR(INDEX($V$3:$V$373,MATCH(1,($X170=$R$3:$R$373)*($Y170=$S$3:$S$373),0))," ")</f>
        <v xml:space="preserve"> </v>
      </c>
      <c r="AC170" s="262"/>
      <c r="AF170" s="262"/>
      <c r="AG170" s="262"/>
      <c r="AH170" s="262"/>
      <c r="AI170" s="262"/>
      <c r="AJ170" s="262"/>
      <c r="AK170" s="262"/>
      <c r="AL170" s="262"/>
      <c r="AM170" s="262"/>
      <c r="AN170" s="262"/>
    </row>
    <row r="171" spans="1:40" ht="17.100000000000001" customHeight="1">
      <c r="A171" s="2295"/>
      <c r="B171" s="862" t="s">
        <v>1684</v>
      </c>
      <c r="C171" s="1115" t="s">
        <v>1233</v>
      </c>
      <c r="D171" s="909" t="s">
        <v>47</v>
      </c>
      <c r="E171" s="2300"/>
      <c r="F171" s="2360"/>
      <c r="G171" s="860">
        <v>6.5</v>
      </c>
      <c r="H171" s="703">
        <f>부자재매입내역!AL110</f>
        <v>0</v>
      </c>
      <c r="I171" s="979">
        <f t="shared" ref="I171:I200" si="40">G171*H171</f>
        <v>0</v>
      </c>
      <c r="J171" s="2118"/>
      <c r="K171" s="954"/>
      <c r="L171" s="869"/>
      <c r="M171"/>
      <c r="R171" s="1035" t="s">
        <v>2016</v>
      </c>
      <c r="S171" s="1038">
        <f>COUNTIF($R$3:R171,R171)</f>
        <v>58</v>
      </c>
      <c r="T171" s="1038" t="str">
        <f t="shared" si="39"/>
        <v>GH 120(GR)</v>
      </c>
      <c r="U171" s="1037">
        <f t="shared" si="34"/>
        <v>0</v>
      </c>
      <c r="V171" s="1037">
        <f t="shared" si="34"/>
        <v>0</v>
      </c>
      <c r="X171" s="1043" t="str">
        <f t="shared" si="33"/>
        <v>압출 PCM</v>
      </c>
      <c r="Y171" s="1044">
        <f t="shared" si="37"/>
        <v>165</v>
      </c>
      <c r="Z171" s="1044" t="str">
        <f t="array" ref="Z171">IFERROR(INDEX($T$3:$T$373,MATCH(1,($X171=$R$3:$R$373)*($Y171=$S$3:$S$373),0))," ")</f>
        <v xml:space="preserve"> </v>
      </c>
      <c r="AA171" s="1044" t="str">
        <f t="array" ref="AA171">IFERROR(INDEX($U$3:$U$373,MATCH(1,($X171=$R$3:$R$373)*($Y171=$S$3:$S$373),0))," ")</f>
        <v xml:space="preserve"> </v>
      </c>
      <c r="AB171" s="1045" t="str">
        <f t="array" ref="AB171">IFERROR(INDEX($V$3:$V$373,MATCH(1,($X171=$R$3:$R$373)*($Y171=$S$3:$S$373),0))," ")</f>
        <v xml:space="preserve"> </v>
      </c>
    </row>
    <row r="172" spans="1:40" ht="17.100000000000001" customHeight="1">
      <c r="A172" s="2295"/>
      <c r="B172" s="862" t="s">
        <v>1685</v>
      </c>
      <c r="C172" s="1115" t="s">
        <v>1293</v>
      </c>
      <c r="D172" s="909" t="s">
        <v>47</v>
      </c>
      <c r="E172" s="2299" t="s">
        <v>1328</v>
      </c>
      <c r="F172" s="2360"/>
      <c r="G172" s="860">
        <v>8.4</v>
      </c>
      <c r="H172" s="703">
        <f>부자재매입내역!AL111</f>
        <v>0</v>
      </c>
      <c r="I172" s="979">
        <f t="shared" si="40"/>
        <v>0</v>
      </c>
      <c r="J172" s="2118"/>
      <c r="K172" s="954"/>
      <c r="L172" s="869"/>
      <c r="M172"/>
      <c r="R172" s="1035" t="s">
        <v>2016</v>
      </c>
      <c r="S172" s="1038">
        <f>COUNTIF($R$3:R172,R172)</f>
        <v>59</v>
      </c>
      <c r="T172" s="1038" t="str">
        <f t="shared" si="39"/>
        <v>GH 207(WH)</v>
      </c>
      <c r="U172" s="1037">
        <f t="shared" si="34"/>
        <v>0</v>
      </c>
      <c r="V172" s="1037">
        <f t="shared" si="34"/>
        <v>0</v>
      </c>
      <c r="X172" s="1043" t="str">
        <f t="shared" si="33"/>
        <v>압출 PCM</v>
      </c>
      <c r="Y172" s="1044">
        <f t="shared" si="37"/>
        <v>166</v>
      </c>
      <c r="Z172" s="1044" t="str">
        <f t="array" ref="Z172">IFERROR(INDEX($T$3:$T$373,MATCH(1,($X172=$R$3:$R$373)*($Y172=$S$3:$S$373),0))," ")</f>
        <v xml:space="preserve"> </v>
      </c>
      <c r="AA172" s="1044" t="str">
        <f t="array" ref="AA172">IFERROR(INDEX($U$3:$U$373,MATCH(1,($X172=$R$3:$R$373)*($Y172=$S$3:$S$373),0))," ")</f>
        <v xml:space="preserve"> </v>
      </c>
      <c r="AB172" s="1045" t="str">
        <f t="array" ref="AB172">IFERROR(INDEX($V$3:$V$373,MATCH(1,($X172=$R$3:$R$373)*($Y172=$S$3:$S$373),0))," ")</f>
        <v xml:space="preserve"> </v>
      </c>
    </row>
    <row r="173" spans="1:40" ht="17.100000000000001" customHeight="1">
      <c r="A173" s="2295"/>
      <c r="B173" s="862" t="s">
        <v>1686</v>
      </c>
      <c r="C173" s="1115" t="s">
        <v>1301</v>
      </c>
      <c r="D173" s="909" t="s">
        <v>47</v>
      </c>
      <c r="E173" s="2293"/>
      <c r="F173" s="2360"/>
      <c r="G173" s="860">
        <v>8.4</v>
      </c>
      <c r="H173" s="703">
        <f>부자재매입내역!AL112</f>
        <v>0</v>
      </c>
      <c r="I173" s="979">
        <f t="shared" si="40"/>
        <v>0</v>
      </c>
      <c r="J173" s="2118"/>
      <c r="K173" s="954"/>
      <c r="L173" s="869"/>
      <c r="M173"/>
      <c r="R173" s="1035" t="s">
        <v>2016</v>
      </c>
      <c r="S173" s="1038">
        <f>COUNTIF($R$3:R173,R173)</f>
        <v>60</v>
      </c>
      <c r="T173" s="1038" t="str">
        <f t="shared" si="39"/>
        <v>GH 207(YE)</v>
      </c>
      <c r="U173" s="1037">
        <f t="shared" si="34"/>
        <v>0</v>
      </c>
      <c r="V173" s="1037">
        <f t="shared" si="34"/>
        <v>0</v>
      </c>
      <c r="X173" s="1043" t="str">
        <f t="shared" si="33"/>
        <v>압출 PCM</v>
      </c>
      <c r="Y173" s="1044">
        <f t="shared" si="37"/>
        <v>167</v>
      </c>
      <c r="Z173" s="1044" t="str">
        <f t="array" ref="Z173">IFERROR(INDEX($T$3:$T$373,MATCH(1,($X173=$R$3:$R$373)*($Y173=$S$3:$S$373),0))," ")</f>
        <v xml:space="preserve"> </v>
      </c>
      <c r="AA173" s="1044" t="str">
        <f t="array" ref="AA173">IFERROR(INDEX($U$3:$U$373,MATCH(1,($X173=$R$3:$R$373)*($Y173=$S$3:$S$373),0))," ")</f>
        <v xml:space="preserve"> </v>
      </c>
      <c r="AB173" s="1045" t="str">
        <f t="array" ref="AB173">IFERROR(INDEX($V$3:$V$373,MATCH(1,($X173=$R$3:$R$373)*($Y173=$S$3:$S$373),0))," ")</f>
        <v xml:space="preserve"> </v>
      </c>
    </row>
    <row r="174" spans="1:40" ht="17.100000000000001" customHeight="1">
      <c r="A174" s="2295"/>
      <c r="B174" s="862" t="s">
        <v>1687</v>
      </c>
      <c r="C174" s="1115" t="s">
        <v>1295</v>
      </c>
      <c r="D174" s="909" t="s">
        <v>47</v>
      </c>
      <c r="E174" s="2300"/>
      <c r="F174" s="2360"/>
      <c r="G174" s="860">
        <v>8.4</v>
      </c>
      <c r="H174" s="703">
        <f>부자재매입내역!AL113</f>
        <v>0</v>
      </c>
      <c r="I174" s="979">
        <f t="shared" si="40"/>
        <v>0</v>
      </c>
      <c r="J174" s="2118"/>
      <c r="K174" s="954"/>
      <c r="L174" s="869"/>
      <c r="M174"/>
      <c r="R174" s="1035" t="s">
        <v>2016</v>
      </c>
      <c r="S174" s="1038">
        <f>COUNTIF($R$3:R174,R174)</f>
        <v>61</v>
      </c>
      <c r="T174" s="1038" t="str">
        <f t="shared" si="39"/>
        <v>GH 207(BK)</v>
      </c>
      <c r="U174" s="1037">
        <f t="shared" si="34"/>
        <v>0</v>
      </c>
      <c r="V174" s="1037">
        <f t="shared" si="34"/>
        <v>0</v>
      </c>
      <c r="X174" s="1043" t="str">
        <f t="shared" si="33"/>
        <v>압출 PCM</v>
      </c>
      <c r="Y174" s="1044">
        <f t="shared" si="37"/>
        <v>168</v>
      </c>
      <c r="Z174" s="1044" t="str">
        <f t="array" ref="Z174">IFERROR(INDEX($T$3:$T$373,MATCH(1,($X174=$R$3:$R$373)*($Y174=$S$3:$S$373),0))," ")</f>
        <v xml:space="preserve"> </v>
      </c>
      <c r="AA174" s="1044" t="str">
        <f t="array" ref="AA174">IFERROR(INDEX($U$3:$U$373,MATCH(1,($X174=$R$3:$R$373)*($Y174=$S$3:$S$373),0))," ")</f>
        <v xml:space="preserve"> </v>
      </c>
      <c r="AB174" s="1045" t="str">
        <f t="array" ref="AB174">IFERROR(INDEX($V$3:$V$373,MATCH(1,($X174=$R$3:$R$373)*($Y174=$S$3:$S$373),0))," ")</f>
        <v xml:space="preserve"> </v>
      </c>
    </row>
    <row r="175" spans="1:40" ht="17.100000000000001" customHeight="1">
      <c r="A175" s="2295"/>
      <c r="B175" s="862" t="s">
        <v>1812</v>
      </c>
      <c r="C175" s="1115" t="s">
        <v>1297</v>
      </c>
      <c r="D175" s="909" t="s">
        <v>47</v>
      </c>
      <c r="E175" s="1774"/>
      <c r="F175" s="2360"/>
      <c r="G175" s="860">
        <v>5.7</v>
      </c>
      <c r="H175" s="703">
        <f>부자재매입내역!AL114</f>
        <v>900000</v>
      </c>
      <c r="I175" s="979">
        <f>G175*H175</f>
        <v>5130000</v>
      </c>
      <c r="J175" s="2118"/>
      <c r="K175" s="954"/>
      <c r="L175" s="869"/>
      <c r="M175"/>
      <c r="R175" s="1035" t="s">
        <v>2016</v>
      </c>
      <c r="S175" s="1038">
        <f>COUNTIF($R$3:R175,R175)</f>
        <v>62</v>
      </c>
      <c r="T175" s="1038" t="str">
        <f t="shared" si="39"/>
        <v>YF C/SEAL CLIP BK (HWC-450)</v>
      </c>
      <c r="U175" s="1037">
        <f t="shared" si="34"/>
        <v>900000</v>
      </c>
      <c r="V175" s="1037">
        <f t="shared" si="34"/>
        <v>5130000</v>
      </c>
      <c r="X175" s="1043" t="str">
        <f t="shared" si="33"/>
        <v>압출 PCM</v>
      </c>
      <c r="Y175" s="1044">
        <f t="shared" si="37"/>
        <v>169</v>
      </c>
      <c r="Z175" s="1044" t="str">
        <f t="array" ref="Z175">IFERROR(INDEX($T$3:$T$373,MATCH(1,($X175=$R$3:$R$373)*($Y175=$S$3:$S$373),0))," ")</f>
        <v xml:space="preserve"> </v>
      </c>
      <c r="AA175" s="1044" t="str">
        <f t="array" ref="AA175">IFERROR(INDEX($U$3:$U$373,MATCH(1,($X175=$R$3:$R$373)*($Y175=$S$3:$S$373),0))," ")</f>
        <v xml:space="preserve"> </v>
      </c>
      <c r="AB175" s="1045" t="str">
        <f t="array" ref="AB175">IFERROR(INDEX($V$3:$V$373,MATCH(1,($X175=$R$3:$R$373)*($Y175=$S$3:$S$373),0))," ")</f>
        <v xml:space="preserve"> </v>
      </c>
    </row>
    <row r="176" spans="1:40" ht="17.100000000000001" customHeight="1">
      <c r="A176" s="2295"/>
      <c r="B176" s="862" t="s">
        <v>1688</v>
      </c>
      <c r="C176" s="1115" t="s">
        <v>1312</v>
      </c>
      <c r="D176" s="909" t="s">
        <v>47</v>
      </c>
      <c r="E176" s="1774"/>
      <c r="F176" s="2360"/>
      <c r="G176" s="860">
        <v>78.400000000000006</v>
      </c>
      <c r="H176" s="703">
        <f>부자재매입내역!AL115</f>
        <v>5000</v>
      </c>
      <c r="I176" s="979">
        <f t="shared" si="40"/>
        <v>392000</v>
      </c>
      <c r="J176" s="2118"/>
      <c r="K176" s="954"/>
      <c r="L176" s="869"/>
      <c r="M176"/>
      <c r="R176" s="1035" t="s">
        <v>2016</v>
      </c>
      <c r="S176" s="1038">
        <f>COUNTIF($R$3:R176,R176)</f>
        <v>63</v>
      </c>
      <c r="T176" s="1038" t="str">
        <f t="shared" si="39"/>
        <v>Tape Double Coated 일반 0.4T*7W*354L</v>
      </c>
      <c r="U176" s="1037">
        <f t="shared" si="34"/>
        <v>5000</v>
      </c>
      <c r="V176" s="1037">
        <f t="shared" si="34"/>
        <v>392000</v>
      </c>
      <c r="X176" s="1043" t="str">
        <f t="shared" si="33"/>
        <v>압출 PCM</v>
      </c>
      <c r="Y176" s="1044">
        <f t="shared" si="37"/>
        <v>170</v>
      </c>
      <c r="Z176" s="1044" t="str">
        <f t="array" ref="Z176">IFERROR(INDEX($T$3:$T$373,MATCH(1,($X176=$R$3:$R$373)*($Y176=$S$3:$S$373),0))," ")</f>
        <v xml:space="preserve"> </v>
      </c>
      <c r="AA176" s="1044" t="str">
        <f t="array" ref="AA176">IFERROR(INDEX($U$3:$U$373,MATCH(1,($X176=$R$3:$R$373)*($Y176=$S$3:$S$373),0))," ")</f>
        <v xml:space="preserve"> </v>
      </c>
      <c r="AB176" s="1045" t="str">
        <f t="array" ref="AB176">IFERROR(INDEX($V$3:$V$373,MATCH(1,($X176=$R$3:$R$373)*($Y176=$S$3:$S$373),0))," ")</f>
        <v xml:space="preserve"> </v>
      </c>
    </row>
    <row r="177" spans="1:28" ht="17.100000000000001" customHeight="1">
      <c r="A177" s="2295"/>
      <c r="B177" s="862" t="s">
        <v>1689</v>
      </c>
      <c r="C177" s="1115" t="s">
        <v>1470</v>
      </c>
      <c r="D177" s="909" t="s">
        <v>47</v>
      </c>
      <c r="E177" s="1774"/>
      <c r="F177" s="2360"/>
      <c r="G177" s="860">
        <v>64.7</v>
      </c>
      <c r="H177" s="703">
        <f>부자재매입내역!AL116</f>
        <v>0</v>
      </c>
      <c r="I177" s="979">
        <f t="shared" si="40"/>
        <v>0</v>
      </c>
      <c r="J177" s="2118"/>
      <c r="K177" s="954"/>
      <c r="L177" s="869"/>
      <c r="M177"/>
      <c r="R177" s="1035" t="s">
        <v>2016</v>
      </c>
      <c r="S177" s="1038">
        <f>COUNTIF($R$3:R177,R177)</f>
        <v>64</v>
      </c>
      <c r="T177" s="1038" t="str">
        <f t="shared" si="39"/>
        <v>Tape Double Coated 일반 0.8TX8WX40L</v>
      </c>
      <c r="U177" s="1037">
        <f t="shared" si="34"/>
        <v>0</v>
      </c>
      <c r="V177" s="1037">
        <f t="shared" si="34"/>
        <v>0</v>
      </c>
      <c r="X177" s="1043" t="str">
        <f t="shared" si="33"/>
        <v>압출 PCM</v>
      </c>
      <c r="Y177" s="1044">
        <f t="shared" si="37"/>
        <v>171</v>
      </c>
      <c r="Z177" s="1044" t="str">
        <f t="array" ref="Z177">IFERROR(INDEX($T$3:$T$373,MATCH(1,($X177=$R$3:$R$373)*($Y177=$S$3:$S$373),0))," ")</f>
        <v xml:space="preserve"> </v>
      </c>
      <c r="AA177" s="1044" t="str">
        <f t="array" ref="AA177">IFERROR(INDEX($U$3:$U$373,MATCH(1,($X177=$R$3:$R$373)*($Y177=$S$3:$S$373),0))," ")</f>
        <v xml:space="preserve"> </v>
      </c>
      <c r="AB177" s="1045" t="str">
        <f t="array" ref="AB177">IFERROR(INDEX($V$3:$V$373,MATCH(1,($X177=$R$3:$R$373)*($Y177=$S$3:$S$373),0))," ")</f>
        <v xml:space="preserve"> </v>
      </c>
    </row>
    <row r="178" spans="1:28" ht="17.100000000000001" customHeight="1">
      <c r="A178" s="2295"/>
      <c r="B178" s="862" t="s">
        <v>1690</v>
      </c>
      <c r="C178" s="1115" t="s">
        <v>1471</v>
      </c>
      <c r="D178" s="909" t="s">
        <v>47</v>
      </c>
      <c r="E178" s="1774"/>
      <c r="F178" s="2360"/>
      <c r="G178" s="860">
        <v>57.8</v>
      </c>
      <c r="H178" s="703">
        <f>부자재매입내역!AL117</f>
        <v>0</v>
      </c>
      <c r="I178" s="979">
        <f t="shared" si="40"/>
        <v>0</v>
      </c>
      <c r="J178" s="2118"/>
      <c r="K178" s="954"/>
      <c r="L178" s="869"/>
      <c r="M178"/>
      <c r="R178" s="1035" t="s">
        <v>2016</v>
      </c>
      <c r="S178" s="1038">
        <f>COUNTIF($R$3:R178,R178)</f>
        <v>65</v>
      </c>
      <c r="T178" s="1038" t="str">
        <f t="shared" si="39"/>
        <v>Tape Double Coated 일반 0.8TX8WX20L</v>
      </c>
      <c r="U178" s="1037">
        <f t="shared" si="34"/>
        <v>0</v>
      </c>
      <c r="V178" s="1037">
        <f t="shared" si="34"/>
        <v>0</v>
      </c>
      <c r="X178" s="1043" t="str">
        <f t="shared" si="33"/>
        <v>압출 PCM</v>
      </c>
      <c r="Y178" s="1044">
        <f t="shared" si="37"/>
        <v>172</v>
      </c>
      <c r="Z178" s="1044" t="str">
        <f t="array" ref="Z178">IFERROR(INDEX($T$3:$T$373,MATCH(1,($X178=$R$3:$R$373)*($Y178=$S$3:$S$373),0))," ")</f>
        <v xml:space="preserve"> </v>
      </c>
      <c r="AA178" s="1044" t="str">
        <f t="array" ref="AA178">IFERROR(INDEX($U$3:$U$373,MATCH(1,($X178=$R$3:$R$373)*($Y178=$S$3:$S$373),0))," ")</f>
        <v xml:space="preserve"> </v>
      </c>
      <c r="AB178" s="1045" t="str">
        <f t="array" ref="AB178">IFERROR(INDEX($V$3:$V$373,MATCH(1,($X178=$R$3:$R$373)*($Y178=$S$3:$S$373),0))," ")</f>
        <v xml:space="preserve"> </v>
      </c>
    </row>
    <row r="179" spans="1:28" ht="17.100000000000001" customHeight="1">
      <c r="A179" s="2295"/>
      <c r="B179" s="862" t="s">
        <v>1691</v>
      </c>
      <c r="C179" s="1115" t="s">
        <v>1472</v>
      </c>
      <c r="D179" s="909" t="s">
        <v>47</v>
      </c>
      <c r="E179" s="1774"/>
      <c r="F179" s="2360"/>
      <c r="G179" s="860">
        <v>68.8</v>
      </c>
      <c r="H179" s="703">
        <f>부자재매입내역!AL118</f>
        <v>0</v>
      </c>
      <c r="I179" s="979">
        <f t="shared" si="40"/>
        <v>0</v>
      </c>
      <c r="J179" s="2118"/>
      <c r="K179" s="954"/>
      <c r="L179" s="869"/>
      <c r="M179"/>
      <c r="R179" s="1035" t="s">
        <v>2016</v>
      </c>
      <c r="S179" s="1038">
        <f>COUNTIF($R$3:R179,R179)</f>
        <v>66</v>
      </c>
      <c r="T179" s="1038" t="str">
        <f t="shared" si="39"/>
        <v>Tape Double Coated 일반 0.8TX8WX48.5L</v>
      </c>
      <c r="U179" s="1037">
        <f t="shared" si="34"/>
        <v>0</v>
      </c>
      <c r="V179" s="1037">
        <f t="shared" si="34"/>
        <v>0</v>
      </c>
      <c r="X179" s="1043" t="str">
        <f t="shared" si="33"/>
        <v>압출 PCM</v>
      </c>
      <c r="Y179" s="1044">
        <f t="shared" si="37"/>
        <v>173</v>
      </c>
      <c r="Z179" s="1044" t="str">
        <f t="array" ref="Z179">IFERROR(INDEX($T$3:$T$373,MATCH(1,($X179=$R$3:$R$373)*($Y179=$S$3:$S$373),0))," ")</f>
        <v xml:space="preserve"> </v>
      </c>
      <c r="AA179" s="1044" t="str">
        <f t="array" ref="AA179">IFERROR(INDEX($U$3:$U$373,MATCH(1,($X179=$R$3:$R$373)*($Y179=$S$3:$S$373),0))," ")</f>
        <v xml:space="preserve"> </v>
      </c>
      <c r="AB179" s="1045" t="str">
        <f t="array" ref="AB179">IFERROR(INDEX($V$3:$V$373,MATCH(1,($X179=$R$3:$R$373)*($Y179=$S$3:$S$373),0))," ")</f>
        <v xml:space="preserve"> </v>
      </c>
    </row>
    <row r="180" spans="1:28" ht="17.100000000000001" customHeight="1">
      <c r="A180" s="2295"/>
      <c r="B180" s="862" t="s">
        <v>1692</v>
      </c>
      <c r="C180" s="1115" t="s">
        <v>1235</v>
      </c>
      <c r="D180" s="909" t="s">
        <v>32</v>
      </c>
      <c r="E180" s="1774"/>
      <c r="F180" s="2360"/>
      <c r="G180" s="860">
        <v>293.10000000000002</v>
      </c>
      <c r="H180" s="703">
        <f>부자재매입내역!AL119</f>
        <v>4500</v>
      </c>
      <c r="I180" s="979">
        <f t="shared" si="40"/>
        <v>1318950</v>
      </c>
      <c r="J180" s="2118"/>
      <c r="K180" s="954"/>
      <c r="L180" s="869"/>
      <c r="M180"/>
      <c r="R180" s="1035" t="s">
        <v>2016</v>
      </c>
      <c r="S180" s="1038">
        <f>COUNTIF($R$3:R180,R180)</f>
        <v>67</v>
      </c>
      <c r="T180" s="1038" t="str">
        <f t="shared" si="39"/>
        <v>인서트 레진 #P LH</v>
      </c>
      <c r="U180" s="1037">
        <f t="shared" si="34"/>
        <v>4500</v>
      </c>
      <c r="V180" s="1037">
        <f t="shared" si="34"/>
        <v>1318950</v>
      </c>
      <c r="X180" s="1043" t="str">
        <f t="shared" si="33"/>
        <v>압출 PCM</v>
      </c>
      <c r="Y180" s="1044">
        <f t="shared" si="37"/>
        <v>174</v>
      </c>
      <c r="Z180" s="1044" t="str">
        <f t="array" ref="Z180">IFERROR(INDEX($T$3:$T$373,MATCH(1,($X180=$R$3:$R$373)*($Y180=$S$3:$S$373),0))," ")</f>
        <v xml:space="preserve"> </v>
      </c>
      <c r="AA180" s="1044" t="str">
        <f t="array" ref="AA180">IFERROR(INDEX($U$3:$U$373,MATCH(1,($X180=$R$3:$R$373)*($Y180=$S$3:$S$373),0))," ")</f>
        <v xml:space="preserve"> </v>
      </c>
      <c r="AB180" s="1045" t="str">
        <f t="array" ref="AB180">IFERROR(INDEX($V$3:$V$373,MATCH(1,($X180=$R$3:$R$373)*($Y180=$S$3:$S$373),0))," ")</f>
        <v xml:space="preserve"> </v>
      </c>
    </row>
    <row r="181" spans="1:28" ht="17.100000000000001" customHeight="1">
      <c r="A181" s="2295"/>
      <c r="B181" s="862" t="s">
        <v>1693</v>
      </c>
      <c r="C181" s="1115" t="s">
        <v>1237</v>
      </c>
      <c r="D181" s="909" t="s">
        <v>47</v>
      </c>
      <c r="E181" s="1774"/>
      <c r="F181" s="2360"/>
      <c r="G181" s="860">
        <v>293.10000000000002</v>
      </c>
      <c r="H181" s="703">
        <f>부자재매입내역!AL120</f>
        <v>4500</v>
      </c>
      <c r="I181" s="979">
        <f t="shared" si="40"/>
        <v>1318950</v>
      </c>
      <c r="J181" s="2118"/>
      <c r="K181" s="954"/>
      <c r="L181" s="869"/>
      <c r="M181"/>
      <c r="R181" s="1035" t="s">
        <v>2016</v>
      </c>
      <c r="S181" s="1038">
        <f>COUNTIF($R$3:R181,R181)</f>
        <v>68</v>
      </c>
      <c r="T181" s="1038" t="str">
        <f t="shared" si="39"/>
        <v>인서트 레진 #P RH</v>
      </c>
      <c r="U181" s="1037">
        <f t="shared" si="34"/>
        <v>4500</v>
      </c>
      <c r="V181" s="1037">
        <f t="shared" si="34"/>
        <v>1318950</v>
      </c>
      <c r="X181" s="1043" t="str">
        <f t="shared" si="33"/>
        <v>압출 PCM</v>
      </c>
      <c r="Y181" s="1044">
        <f t="shared" si="37"/>
        <v>175</v>
      </c>
      <c r="Z181" s="1044" t="str">
        <f t="array" ref="Z181">IFERROR(INDEX($T$3:$T$373,MATCH(1,($X181=$R$3:$R$373)*($Y181=$S$3:$S$373),0))," ")</f>
        <v xml:space="preserve"> </v>
      </c>
      <c r="AA181" s="1044" t="str">
        <f t="array" ref="AA181">IFERROR(INDEX($U$3:$U$373,MATCH(1,($X181=$R$3:$R$373)*($Y181=$S$3:$S$373),0))," ")</f>
        <v xml:space="preserve"> </v>
      </c>
      <c r="AB181" s="1045" t="str">
        <f t="array" ref="AB181">IFERROR(INDEX($V$3:$V$373,MATCH(1,($X181=$R$3:$R$373)*($Y181=$S$3:$S$373),0))," ")</f>
        <v xml:space="preserve"> </v>
      </c>
    </row>
    <row r="182" spans="1:28" ht="17.100000000000001" customHeight="1">
      <c r="A182" s="2295"/>
      <c r="B182" s="862" t="s">
        <v>1694</v>
      </c>
      <c r="C182" s="1115" t="s">
        <v>1239</v>
      </c>
      <c r="D182" s="909" t="s">
        <v>47</v>
      </c>
      <c r="E182" s="1774"/>
      <c r="F182" s="2360"/>
      <c r="G182" s="860">
        <v>149.9</v>
      </c>
      <c r="H182" s="703">
        <f>부자재매입내역!AL121</f>
        <v>6000</v>
      </c>
      <c r="I182" s="979">
        <f t="shared" si="40"/>
        <v>899400</v>
      </c>
      <c r="J182" s="2118"/>
      <c r="K182" s="954"/>
      <c r="L182" s="869"/>
      <c r="M182"/>
      <c r="R182" s="1035" t="s">
        <v>2016</v>
      </c>
      <c r="S182" s="1038">
        <f>COUNTIF($R$3:R182,R182)</f>
        <v>69</v>
      </c>
      <c r="T182" s="1038" t="str">
        <f t="shared" si="39"/>
        <v>인서트 레진 #Q LH</v>
      </c>
      <c r="U182" s="1037">
        <f t="shared" si="34"/>
        <v>6000</v>
      </c>
      <c r="V182" s="1037">
        <f t="shared" si="34"/>
        <v>899400</v>
      </c>
      <c r="X182" s="1043" t="str">
        <f t="shared" si="33"/>
        <v>압출 PCM</v>
      </c>
      <c r="Y182" s="1044">
        <f t="shared" si="37"/>
        <v>176</v>
      </c>
      <c r="Z182" s="1044" t="str">
        <f t="array" ref="Z182">IFERROR(INDEX($T$3:$T$373,MATCH(1,($X182=$R$3:$R$373)*($Y182=$S$3:$S$373),0))," ")</f>
        <v xml:space="preserve"> </v>
      </c>
      <c r="AA182" s="1044" t="str">
        <f t="array" ref="AA182">IFERROR(INDEX($U$3:$U$373,MATCH(1,($X182=$R$3:$R$373)*($Y182=$S$3:$S$373),0))," ")</f>
        <v xml:space="preserve"> </v>
      </c>
      <c r="AB182" s="1045" t="str">
        <f t="array" ref="AB182">IFERROR(INDEX($V$3:$V$373,MATCH(1,($X182=$R$3:$R$373)*($Y182=$S$3:$S$373),0))," ")</f>
        <v xml:space="preserve"> </v>
      </c>
    </row>
    <row r="183" spans="1:28" ht="17.100000000000001" customHeight="1">
      <c r="A183" s="2295"/>
      <c r="B183" s="862" t="s">
        <v>1695</v>
      </c>
      <c r="C183" s="1115" t="s">
        <v>1241</v>
      </c>
      <c r="D183" s="909" t="s">
        <v>47</v>
      </c>
      <c r="E183" s="1774"/>
      <c r="F183" s="2360"/>
      <c r="G183" s="860">
        <v>149.9</v>
      </c>
      <c r="H183" s="703">
        <f>부자재매입내역!AL122</f>
        <v>6000</v>
      </c>
      <c r="I183" s="979">
        <f t="shared" si="40"/>
        <v>899400</v>
      </c>
      <c r="J183" s="2118"/>
      <c r="K183" s="954"/>
      <c r="L183" s="869"/>
      <c r="M183"/>
      <c r="R183" s="1035" t="s">
        <v>2016</v>
      </c>
      <c r="S183" s="1038">
        <f>COUNTIF($R$3:R183,R183)</f>
        <v>70</v>
      </c>
      <c r="T183" s="1038" t="str">
        <f t="shared" si="39"/>
        <v>인서트 레진 #Q RH</v>
      </c>
      <c r="U183" s="1037">
        <f t="shared" si="34"/>
        <v>6000</v>
      </c>
      <c r="V183" s="1037">
        <f t="shared" si="34"/>
        <v>899400</v>
      </c>
      <c r="X183" s="1043" t="str">
        <f t="shared" si="33"/>
        <v>압출 PCM</v>
      </c>
      <c r="Y183" s="1044">
        <f t="shared" si="37"/>
        <v>177</v>
      </c>
      <c r="Z183" s="1044" t="str">
        <f t="array" ref="Z183">IFERROR(INDEX($T$3:$T$373,MATCH(1,($X183=$R$3:$R$373)*($Y183=$S$3:$S$373),0))," ")</f>
        <v xml:space="preserve"> </v>
      </c>
      <c r="AA183" s="1044" t="str">
        <f t="array" ref="AA183">IFERROR(INDEX($U$3:$U$373,MATCH(1,($X183=$R$3:$R$373)*($Y183=$S$3:$S$373),0))," ")</f>
        <v xml:space="preserve"> </v>
      </c>
      <c r="AB183" s="1045" t="str">
        <f t="array" ref="AB183">IFERROR(INDEX($V$3:$V$373,MATCH(1,($X183=$R$3:$R$373)*($Y183=$S$3:$S$373),0))," ")</f>
        <v xml:space="preserve"> </v>
      </c>
    </row>
    <row r="184" spans="1:28" ht="17.100000000000001" customHeight="1">
      <c r="A184" s="2295"/>
      <c r="B184" s="862" t="s">
        <v>1696</v>
      </c>
      <c r="C184" s="1115" t="s">
        <v>1243</v>
      </c>
      <c r="D184" s="909" t="s">
        <v>47</v>
      </c>
      <c r="E184" s="1774"/>
      <c r="F184" s="2360"/>
      <c r="G184" s="860">
        <v>191.3</v>
      </c>
      <c r="H184" s="703">
        <f>부자재매입내역!AL123</f>
        <v>6500</v>
      </c>
      <c r="I184" s="979">
        <f t="shared" si="40"/>
        <v>1243450</v>
      </c>
      <c r="J184" s="2118"/>
      <c r="K184" s="954"/>
      <c r="L184" s="869"/>
      <c r="M184"/>
      <c r="R184" s="1035" t="s">
        <v>2016</v>
      </c>
      <c r="S184" s="1038">
        <f>COUNTIF($R$3:R184,R184)</f>
        <v>71</v>
      </c>
      <c r="T184" s="1038" t="str">
        <f t="shared" si="39"/>
        <v>인서트 레진 #R LH</v>
      </c>
      <c r="U184" s="1037">
        <f t="shared" si="34"/>
        <v>6500</v>
      </c>
      <c r="V184" s="1037">
        <f t="shared" si="34"/>
        <v>1243450</v>
      </c>
      <c r="X184" s="1043" t="str">
        <f t="shared" ref="X184" si="41">$X$4</f>
        <v>압출 PCM</v>
      </c>
      <c r="Y184" s="1044">
        <f t="shared" si="37"/>
        <v>178</v>
      </c>
      <c r="Z184" s="1044" t="str">
        <f t="array" ref="Z184">IFERROR(INDEX($T$3:$T$373,MATCH(1,($X184=$R$3:$R$373)*($Y184=$S$3:$S$373),0))," ")</f>
        <v xml:space="preserve"> </v>
      </c>
      <c r="AA184" s="1044" t="str">
        <f t="array" ref="AA184">IFERROR(INDEX($U$3:$U$373,MATCH(1,($X184=$R$3:$R$373)*($Y184=$S$3:$S$373),0))," ")</f>
        <v xml:space="preserve"> </v>
      </c>
      <c r="AB184" s="1045" t="str">
        <f t="array" ref="AB184">IFERROR(INDEX($V$3:$V$373,MATCH(1,($X184=$R$3:$R$373)*($Y184=$S$3:$S$373),0))," ")</f>
        <v xml:space="preserve"> </v>
      </c>
    </row>
    <row r="185" spans="1:28" ht="17.100000000000001" customHeight="1">
      <c r="A185" s="2295"/>
      <c r="B185" s="862" t="s">
        <v>1697</v>
      </c>
      <c r="C185" s="1115" t="s">
        <v>1245</v>
      </c>
      <c r="D185" s="909" t="s">
        <v>47</v>
      </c>
      <c r="E185" s="1774"/>
      <c r="F185" s="2360"/>
      <c r="G185" s="860">
        <v>191.3</v>
      </c>
      <c r="H185" s="703">
        <f>부자재매입내역!AL124</f>
        <v>6500</v>
      </c>
      <c r="I185" s="979">
        <f t="shared" si="40"/>
        <v>1243450</v>
      </c>
      <c r="J185" s="2118"/>
      <c r="K185" s="954"/>
      <c r="L185" s="869"/>
      <c r="M185"/>
      <c r="R185" s="1035" t="s">
        <v>2016</v>
      </c>
      <c r="S185" s="1038">
        <f>COUNTIF($R$3:R185,R185)</f>
        <v>72</v>
      </c>
      <c r="T185" s="1038" t="str">
        <f t="shared" si="39"/>
        <v>인서트 레진 #R RH</v>
      </c>
      <c r="U185" s="1037">
        <f t="shared" si="34"/>
        <v>6500</v>
      </c>
      <c r="V185" s="1037">
        <f t="shared" si="34"/>
        <v>1243450</v>
      </c>
      <c r="X185" s="355"/>
      <c r="Y185" s="355"/>
      <c r="Z185" s="355"/>
      <c r="AA185" s="355"/>
      <c r="AB185" s="355"/>
    </row>
    <row r="186" spans="1:28" ht="17.100000000000001" customHeight="1">
      <c r="A186" s="2295"/>
      <c r="B186" s="862" t="s">
        <v>1698</v>
      </c>
      <c r="C186" s="1115" t="s">
        <v>1247</v>
      </c>
      <c r="D186" s="909" t="s">
        <v>47</v>
      </c>
      <c r="E186" s="1774"/>
      <c r="F186" s="2360"/>
      <c r="G186" s="860">
        <v>142.19999999999999</v>
      </c>
      <c r="H186" s="703">
        <f>부자재매입내역!AL125</f>
        <v>5500</v>
      </c>
      <c r="I186" s="979">
        <f t="shared" si="40"/>
        <v>782099.99999999988</v>
      </c>
      <c r="J186" s="2118"/>
      <c r="K186" s="954"/>
      <c r="L186" s="869"/>
      <c r="M186"/>
      <c r="R186" s="1035" t="s">
        <v>2016</v>
      </c>
      <c r="S186" s="1038">
        <f>COUNTIF($R$3:R186,R186)</f>
        <v>73</v>
      </c>
      <c r="T186" s="1038" t="str">
        <f t="shared" si="39"/>
        <v>인서트 레진 #S LH</v>
      </c>
      <c r="U186" s="1037">
        <f t="shared" si="34"/>
        <v>5500</v>
      </c>
      <c r="V186" s="1037">
        <f t="shared" si="34"/>
        <v>782099.99999999988</v>
      </c>
      <c r="X186" s="355"/>
      <c r="Y186" s="355"/>
      <c r="Z186" s="355"/>
      <c r="AA186" s="355"/>
      <c r="AB186" s="355"/>
    </row>
    <row r="187" spans="1:28" ht="17.100000000000001" customHeight="1">
      <c r="A187" s="2295"/>
      <c r="B187" s="862" t="s">
        <v>1699</v>
      </c>
      <c r="C187" s="1115" t="s">
        <v>1249</v>
      </c>
      <c r="D187" s="909" t="s">
        <v>47</v>
      </c>
      <c r="E187" s="1774"/>
      <c r="F187" s="2360"/>
      <c r="G187" s="860">
        <v>142.19999999999999</v>
      </c>
      <c r="H187" s="703">
        <f>부자재매입내역!AL126</f>
        <v>5500</v>
      </c>
      <c r="I187" s="979">
        <f t="shared" si="40"/>
        <v>782099.99999999988</v>
      </c>
      <c r="J187" s="2118"/>
      <c r="K187" s="954"/>
      <c r="L187" s="869"/>
      <c r="M187"/>
      <c r="R187" s="1035" t="s">
        <v>2016</v>
      </c>
      <c r="S187" s="1038">
        <f>COUNTIF($R$3:R187,R187)</f>
        <v>74</v>
      </c>
      <c r="T187" s="1038" t="str">
        <f t="shared" si="39"/>
        <v>인서트 레진 #S RH</v>
      </c>
      <c r="U187" s="1037">
        <f t="shared" si="34"/>
        <v>5500</v>
      </c>
      <c r="V187" s="1037">
        <f t="shared" si="34"/>
        <v>782099.99999999988</v>
      </c>
      <c r="X187" s="355"/>
      <c r="Y187" s="355"/>
      <c r="Z187" s="355"/>
      <c r="AA187" s="355"/>
      <c r="AB187" s="355"/>
    </row>
    <row r="188" spans="1:28" ht="17.100000000000001" customHeight="1">
      <c r="A188" s="2295"/>
      <c r="B188" s="862" t="s">
        <v>1700</v>
      </c>
      <c r="C188" s="1115" t="s">
        <v>1251</v>
      </c>
      <c r="D188" s="909" t="s">
        <v>47</v>
      </c>
      <c r="E188" s="1774"/>
      <c r="F188" s="2360"/>
      <c r="G188" s="860">
        <v>67.400000000000006</v>
      </c>
      <c r="H188" s="703">
        <f>부자재매입내역!AL127</f>
        <v>5500</v>
      </c>
      <c r="I188" s="979">
        <f t="shared" si="40"/>
        <v>370700.00000000006</v>
      </c>
      <c r="J188" s="2118"/>
      <c r="K188" s="954"/>
      <c r="L188" s="869"/>
      <c r="M188"/>
      <c r="R188" s="1035" t="s">
        <v>2016</v>
      </c>
      <c r="S188" s="1038">
        <f>COUNTIF($R$3:R188,R188)</f>
        <v>75</v>
      </c>
      <c r="T188" s="1038" t="str">
        <f t="shared" si="39"/>
        <v>인서트 레진 #V LH</v>
      </c>
      <c r="U188" s="1037">
        <f t="shared" si="34"/>
        <v>5500</v>
      </c>
      <c r="V188" s="1037">
        <f t="shared" si="34"/>
        <v>370700.00000000006</v>
      </c>
      <c r="X188" s="355"/>
      <c r="Y188" s="355"/>
      <c r="Z188" s="355"/>
      <c r="AA188" s="355"/>
      <c r="AB188" s="355"/>
    </row>
    <row r="189" spans="1:28" ht="17.100000000000001" customHeight="1">
      <c r="A189" s="2295"/>
      <c r="B189" s="862" t="s">
        <v>1701</v>
      </c>
      <c r="C189" s="1115" t="s">
        <v>1253</v>
      </c>
      <c r="D189" s="909" t="s">
        <v>47</v>
      </c>
      <c r="E189" s="1223"/>
      <c r="F189" s="2360"/>
      <c r="G189" s="860">
        <v>67.400000000000006</v>
      </c>
      <c r="H189" s="703">
        <f>부자재매입내역!AL128</f>
        <v>5500</v>
      </c>
      <c r="I189" s="979">
        <f t="shared" si="40"/>
        <v>370700.00000000006</v>
      </c>
      <c r="J189" s="2118"/>
      <c r="K189" s="954"/>
      <c r="L189" s="869"/>
      <c r="M189"/>
      <c r="R189" s="1035" t="s">
        <v>2016</v>
      </c>
      <c r="S189" s="1038">
        <f>COUNTIF($R$3:R189,R189)</f>
        <v>76</v>
      </c>
      <c r="T189" s="1038" t="str">
        <f t="shared" si="39"/>
        <v>인서트 레진 #V RH</v>
      </c>
      <c r="U189" s="1037">
        <f t="shared" si="34"/>
        <v>5500</v>
      </c>
      <c r="V189" s="1037">
        <f t="shared" si="34"/>
        <v>370700.00000000006</v>
      </c>
      <c r="X189" s="355"/>
      <c r="Y189" s="355"/>
      <c r="Z189" s="355"/>
      <c r="AA189" s="355"/>
      <c r="AB189" s="355"/>
    </row>
    <row r="190" spans="1:28" ht="17.100000000000001" customHeight="1">
      <c r="A190" s="2295"/>
      <c r="B190" s="862" t="s">
        <v>1702</v>
      </c>
      <c r="C190" s="1115" t="s">
        <v>1501</v>
      </c>
      <c r="D190" s="909" t="s">
        <v>47</v>
      </c>
      <c r="E190" s="2299" t="s">
        <v>1522</v>
      </c>
      <c r="F190" s="2360"/>
      <c r="G190" s="860">
        <v>122.9</v>
      </c>
      <c r="H190" s="703">
        <f>부자재매입내역!AL129</f>
        <v>12000</v>
      </c>
      <c r="I190" s="979">
        <f t="shared" si="40"/>
        <v>1474800</v>
      </c>
      <c r="J190" s="2118"/>
      <c r="K190" s="954"/>
      <c r="L190" s="869"/>
      <c r="M190"/>
      <c r="R190" s="1035" t="s">
        <v>2016</v>
      </c>
      <c r="S190" s="1038">
        <f>COUNTIF($R$3:R190,R190)</f>
        <v>77</v>
      </c>
      <c r="T190" s="1038" t="str">
        <f t="shared" si="39"/>
        <v>OV1k Insert Resin LH #X</v>
      </c>
      <c r="U190" s="1037">
        <f t="shared" si="34"/>
        <v>12000</v>
      </c>
      <c r="V190" s="1037">
        <f t="shared" si="34"/>
        <v>1474800</v>
      </c>
      <c r="X190" s="355"/>
      <c r="Y190" s="355"/>
      <c r="Z190" s="355"/>
      <c r="AA190" s="355"/>
      <c r="AB190" s="355"/>
    </row>
    <row r="191" spans="1:28" ht="17.100000000000001" customHeight="1">
      <c r="A191" s="2295"/>
      <c r="B191" s="862" t="s">
        <v>1703</v>
      </c>
      <c r="C191" s="1115" t="s">
        <v>1502</v>
      </c>
      <c r="D191" s="909" t="s">
        <v>47</v>
      </c>
      <c r="E191" s="2293"/>
      <c r="F191" s="2360"/>
      <c r="G191" s="860">
        <v>122.9</v>
      </c>
      <c r="H191" s="703">
        <f>부자재매입내역!AL130</f>
        <v>12000</v>
      </c>
      <c r="I191" s="979">
        <f t="shared" si="40"/>
        <v>1474800</v>
      </c>
      <c r="J191" s="2118"/>
      <c r="K191" s="954"/>
      <c r="L191" s="869"/>
      <c r="M191"/>
      <c r="R191" s="1035" t="s">
        <v>2016</v>
      </c>
      <c r="S191" s="1038">
        <f>COUNTIF($R$3:R191,R191)</f>
        <v>78</v>
      </c>
      <c r="T191" s="1038" t="str">
        <f t="shared" si="39"/>
        <v>OV1k Insert Resin RH #X</v>
      </c>
      <c r="U191" s="1037">
        <f t="shared" si="34"/>
        <v>12000</v>
      </c>
      <c r="V191" s="1037">
        <f t="shared" si="34"/>
        <v>1474800</v>
      </c>
      <c r="X191" s="355"/>
      <c r="Y191" s="355"/>
      <c r="Z191" s="355"/>
      <c r="AA191" s="355"/>
      <c r="AB191" s="355"/>
    </row>
    <row r="192" spans="1:28" ht="17.100000000000001" customHeight="1">
      <c r="A192" s="2295"/>
      <c r="B192" s="862" t="s">
        <v>1704</v>
      </c>
      <c r="C192" s="1115" t="s">
        <v>1503</v>
      </c>
      <c r="D192" s="909" t="s">
        <v>47</v>
      </c>
      <c r="E192" s="2293"/>
      <c r="F192" s="2360"/>
      <c r="G192" s="860">
        <v>120.6</v>
      </c>
      <c r="H192" s="703">
        <f>부자재매입내역!AL131</f>
        <v>12500</v>
      </c>
      <c r="I192" s="979">
        <f t="shared" si="40"/>
        <v>1507500</v>
      </c>
      <c r="J192" s="2118"/>
      <c r="K192" s="954"/>
      <c r="L192" s="869"/>
      <c r="M192"/>
      <c r="R192" s="1035" t="s">
        <v>2016</v>
      </c>
      <c r="S192" s="1038">
        <f>COUNTIF($R$3:R192,R192)</f>
        <v>79</v>
      </c>
      <c r="T192" s="1038" t="str">
        <f t="shared" si="39"/>
        <v>OV1k Insert Resin LH #Y</v>
      </c>
      <c r="U192" s="1037">
        <f t="shared" si="34"/>
        <v>12500</v>
      </c>
      <c r="V192" s="1037">
        <f t="shared" si="34"/>
        <v>1507500</v>
      </c>
      <c r="X192" s="355"/>
      <c r="Y192" s="355"/>
      <c r="Z192" s="355"/>
      <c r="AA192" s="355"/>
      <c r="AB192" s="355"/>
    </row>
    <row r="193" spans="1:42" ht="17.100000000000001" customHeight="1">
      <c r="A193" s="2295"/>
      <c r="B193" s="862" t="s">
        <v>1705</v>
      </c>
      <c r="C193" s="1115" t="s">
        <v>1504</v>
      </c>
      <c r="D193" s="909" t="s">
        <v>47</v>
      </c>
      <c r="E193" s="2293"/>
      <c r="F193" s="2360"/>
      <c r="G193" s="860">
        <v>120.6</v>
      </c>
      <c r="H193" s="703">
        <f>부자재매입내역!AL132</f>
        <v>12500</v>
      </c>
      <c r="I193" s="979">
        <f t="shared" si="40"/>
        <v>1507500</v>
      </c>
      <c r="J193" s="2118"/>
      <c r="K193" s="954"/>
      <c r="L193" s="869"/>
      <c r="M193"/>
      <c r="R193" s="1035" t="s">
        <v>2016</v>
      </c>
      <c r="S193" s="1038">
        <f>COUNTIF($R$3:R193,R193)</f>
        <v>80</v>
      </c>
      <c r="T193" s="1038" t="str">
        <f t="shared" si="39"/>
        <v>OV1k Insert Resin RH #Y</v>
      </c>
      <c r="U193" s="1037">
        <f t="shared" si="34"/>
        <v>12500</v>
      </c>
      <c r="V193" s="1037">
        <f t="shared" si="34"/>
        <v>1507500</v>
      </c>
      <c r="X193" s="355"/>
      <c r="Y193" s="355"/>
      <c r="Z193" s="355"/>
      <c r="AA193" s="355"/>
      <c r="AB193" s="355"/>
    </row>
    <row r="194" spans="1:42" ht="17.100000000000001" customHeight="1">
      <c r="A194" s="2295"/>
      <c r="B194" s="862" t="s">
        <v>1706</v>
      </c>
      <c r="C194" s="1115" t="s">
        <v>1473</v>
      </c>
      <c r="D194" s="909" t="s">
        <v>47</v>
      </c>
      <c r="E194" s="2293"/>
      <c r="F194" s="2360"/>
      <c r="G194" s="1576">
        <v>92.92</v>
      </c>
      <c r="H194" s="703">
        <f>부자재매입내역!AL133</f>
        <v>0</v>
      </c>
      <c r="I194" s="979">
        <f t="shared" si="40"/>
        <v>0</v>
      </c>
      <c r="J194" s="2118"/>
      <c r="K194" s="954"/>
      <c r="L194" s="869"/>
      <c r="M194"/>
      <c r="R194" s="1035" t="s">
        <v>2016</v>
      </c>
      <c r="S194" s="1038">
        <f>COUNTIF($R$3:R194,R194)</f>
        <v>81</v>
      </c>
      <c r="T194" s="1038" t="str">
        <f t="shared" si="39"/>
        <v>Plug 일반 Φ4×Φ8×200L (바디어퍼)</v>
      </c>
      <c r="U194" s="1037">
        <f t="shared" ref="U194:V254" si="42">H194</f>
        <v>0</v>
      </c>
      <c r="V194" s="1037">
        <f t="shared" si="42"/>
        <v>0</v>
      </c>
      <c r="X194" s="355"/>
      <c r="Y194" s="355"/>
      <c r="Z194" s="355"/>
      <c r="AA194" s="355"/>
      <c r="AB194" s="355"/>
    </row>
    <row r="195" spans="1:42" ht="17.100000000000001" customHeight="1">
      <c r="A195" s="2295"/>
      <c r="B195" s="862" t="s">
        <v>1707</v>
      </c>
      <c r="C195" s="1115" t="s">
        <v>1521</v>
      </c>
      <c r="D195" s="909" t="s">
        <v>47</v>
      </c>
      <c r="E195" s="2300"/>
      <c r="F195" s="2360"/>
      <c r="G195" s="860">
        <v>16.5</v>
      </c>
      <c r="H195" s="703">
        <f>부자재매입내역!AL134</f>
        <v>45000</v>
      </c>
      <c r="I195" s="979">
        <f t="shared" si="40"/>
        <v>742500</v>
      </c>
      <c r="J195" s="2118"/>
      <c r="K195" s="954"/>
      <c r="L195" s="869"/>
      <c r="M195"/>
      <c r="R195" s="1035" t="s">
        <v>2016</v>
      </c>
      <c r="S195" s="1038">
        <f>COUNTIF($R$3:R195,R195)</f>
        <v>82</v>
      </c>
      <c r="T195" s="1038" t="str">
        <f t="shared" si="39"/>
        <v>OV1k 형상패드(1.5*20*20)</v>
      </c>
      <c r="U195" s="1037">
        <f t="shared" si="42"/>
        <v>45000</v>
      </c>
      <c r="V195" s="1037">
        <f t="shared" si="42"/>
        <v>742500</v>
      </c>
      <c r="X195" s="355"/>
      <c r="Y195" s="355"/>
      <c r="Z195" s="355"/>
      <c r="AA195" s="355"/>
      <c r="AB195" s="355"/>
    </row>
    <row r="196" spans="1:42" ht="17.100000000000001" customHeight="1">
      <c r="A196" s="2295"/>
      <c r="B196" s="862" t="s">
        <v>1708</v>
      </c>
      <c r="C196" s="1115" t="s">
        <v>1529</v>
      </c>
      <c r="D196" s="909" t="s">
        <v>47</v>
      </c>
      <c r="E196" s="2299" t="s">
        <v>1531</v>
      </c>
      <c r="F196" s="2360"/>
      <c r="G196" s="860">
        <v>6.1</v>
      </c>
      <c r="H196" s="703">
        <f>부자재매입내역!AL55</f>
        <v>100000</v>
      </c>
      <c r="I196" s="979">
        <f t="shared" si="40"/>
        <v>610000</v>
      </c>
      <c r="J196" s="2118"/>
      <c r="K196" s="954"/>
      <c r="L196" s="869"/>
      <c r="M196"/>
      <c r="R196" s="1035" t="s">
        <v>2016</v>
      </c>
      <c r="S196" s="1038">
        <f>COUNTIF($R$3:R196,R196)</f>
        <v>83</v>
      </c>
      <c r="T196" s="1038" t="str">
        <f t="shared" si="39"/>
        <v>LQ2 클립 (WH)</v>
      </c>
      <c r="U196" s="1037">
        <f t="shared" si="42"/>
        <v>100000</v>
      </c>
      <c r="V196" s="1037">
        <f t="shared" si="42"/>
        <v>610000</v>
      </c>
      <c r="X196" s="355"/>
      <c r="Y196" s="355"/>
      <c r="Z196" s="355"/>
      <c r="AA196" s="355"/>
      <c r="AB196" s="355"/>
    </row>
    <row r="197" spans="1:42" ht="17.100000000000001" customHeight="1">
      <c r="A197" s="2295"/>
      <c r="B197" s="862" t="s">
        <v>1709</v>
      </c>
      <c r="C197" s="1115" t="s">
        <v>1530</v>
      </c>
      <c r="D197" s="909" t="s">
        <v>47</v>
      </c>
      <c r="E197" s="2300"/>
      <c r="F197" s="2360"/>
      <c r="G197" s="860">
        <v>6.1</v>
      </c>
      <c r="H197" s="703">
        <f>부자재매입내역!AL56</f>
        <v>100000</v>
      </c>
      <c r="I197" s="979">
        <f t="shared" si="40"/>
        <v>610000</v>
      </c>
      <c r="J197" s="2118"/>
      <c r="K197" s="954"/>
      <c r="L197" s="869"/>
      <c r="M197"/>
      <c r="R197" s="1035" t="s">
        <v>2016</v>
      </c>
      <c r="S197" s="1038">
        <f>COUNTIF($R$3:R197,R197)</f>
        <v>84</v>
      </c>
      <c r="T197" s="1038" t="str">
        <f t="shared" si="39"/>
        <v>LQ2 클립 (BR)</v>
      </c>
      <c r="U197" s="1037">
        <f t="shared" si="42"/>
        <v>100000</v>
      </c>
      <c r="V197" s="1037">
        <f t="shared" si="42"/>
        <v>610000</v>
      </c>
      <c r="X197" s="355"/>
      <c r="Y197" s="355"/>
      <c r="Z197" s="355"/>
      <c r="AA197" s="355"/>
      <c r="AB197" s="355"/>
    </row>
    <row r="198" spans="1:42" ht="17.100000000000001" customHeight="1">
      <c r="A198" s="2295"/>
      <c r="B198" s="862" t="s">
        <v>1710</v>
      </c>
      <c r="C198" s="1115" t="s">
        <v>1319</v>
      </c>
      <c r="D198" s="909" t="s">
        <v>47</v>
      </c>
      <c r="E198" s="2299" t="s">
        <v>1322</v>
      </c>
      <c r="F198" s="2360"/>
      <c r="G198" s="860">
        <v>642.79999999999995</v>
      </c>
      <c r="H198" s="703">
        <f>부자재매입내역!AL135</f>
        <v>0</v>
      </c>
      <c r="I198" s="979">
        <f t="shared" si="40"/>
        <v>0</v>
      </c>
      <c r="J198" s="2118"/>
      <c r="K198" s="954"/>
      <c r="L198" s="869"/>
      <c r="M198"/>
      <c r="R198" s="1035" t="s">
        <v>2016</v>
      </c>
      <c r="S198" s="1038">
        <f>COUNTIF($R$3:R198,R198)</f>
        <v>85</v>
      </c>
      <c r="T198" s="1038" t="str">
        <f t="shared" si="39"/>
        <v>DL3a INSERT DIV CHNL LH</v>
      </c>
      <c r="U198" s="1037">
        <f t="shared" si="42"/>
        <v>0</v>
      </c>
      <c r="V198" s="1037">
        <f t="shared" si="42"/>
        <v>0</v>
      </c>
      <c r="X198" s="355"/>
      <c r="Y198" s="355"/>
      <c r="Z198" s="355"/>
      <c r="AA198" s="355"/>
      <c r="AB198" s="355"/>
    </row>
    <row r="199" spans="1:42" ht="17.100000000000001" customHeight="1">
      <c r="A199" s="2295"/>
      <c r="B199" s="862" t="s">
        <v>1711</v>
      </c>
      <c r="C199" s="1115" t="s">
        <v>1343</v>
      </c>
      <c r="D199" s="909" t="s">
        <v>47</v>
      </c>
      <c r="E199" s="2293"/>
      <c r="F199" s="2360"/>
      <c r="G199" s="860">
        <v>642.79999999999995</v>
      </c>
      <c r="H199" s="703">
        <f>부자재매입내역!AL136</f>
        <v>0</v>
      </c>
      <c r="I199" s="979">
        <f t="shared" ref="I199" si="43">G199*H199</f>
        <v>0</v>
      </c>
      <c r="J199" s="2118"/>
      <c r="K199" s="954"/>
      <c r="L199" s="869"/>
      <c r="M199"/>
      <c r="R199" s="1035" t="s">
        <v>2016</v>
      </c>
      <c r="S199" s="1038">
        <f>COUNTIF($R$3:R199,R199)</f>
        <v>86</v>
      </c>
      <c r="T199" s="1038" t="str">
        <f t="shared" si="39"/>
        <v>DL3a INSERT DIV CHNL RH</v>
      </c>
      <c r="U199" s="1037">
        <f t="shared" si="42"/>
        <v>0</v>
      </c>
      <c r="V199" s="1037">
        <f t="shared" si="42"/>
        <v>0</v>
      </c>
      <c r="X199" s="355"/>
      <c r="Y199" s="355"/>
      <c r="Z199" s="355"/>
      <c r="AA199" s="355"/>
      <c r="AB199" s="355"/>
    </row>
    <row r="200" spans="1:42" ht="17.100000000000001" customHeight="1">
      <c r="A200" s="2295"/>
      <c r="B200" s="862" t="s">
        <v>1712</v>
      </c>
      <c r="C200" s="1115" t="s">
        <v>1320</v>
      </c>
      <c r="D200" s="909" t="s">
        <v>47</v>
      </c>
      <c r="E200" s="2300"/>
      <c r="F200" s="2360"/>
      <c r="G200" s="860">
        <v>22.9</v>
      </c>
      <c r="H200" s="703">
        <f>부자재매입내역!AL137</f>
        <v>0</v>
      </c>
      <c r="I200" s="979">
        <f t="shared" si="40"/>
        <v>0</v>
      </c>
      <c r="J200" s="2118"/>
      <c r="K200" s="954"/>
      <c r="L200" s="869"/>
      <c r="M200"/>
      <c r="R200" s="1035" t="s">
        <v>2016</v>
      </c>
      <c r="S200" s="1038">
        <f>COUNTIF($R$3:R200,R200)</f>
        <v>87</v>
      </c>
      <c r="T200" s="1038" t="str">
        <f t="shared" si="39"/>
        <v>DL3a RESIN BLOCK</v>
      </c>
      <c r="U200" s="1037">
        <f t="shared" si="42"/>
        <v>0</v>
      </c>
      <c r="V200" s="1037">
        <f t="shared" si="42"/>
        <v>0</v>
      </c>
      <c r="X200" s="355"/>
      <c r="Y200" s="355"/>
      <c r="Z200" s="355"/>
      <c r="AA200" s="355"/>
      <c r="AB200" s="355"/>
    </row>
    <row r="201" spans="1:42" ht="17.100000000000001" customHeight="1">
      <c r="A201" s="2295"/>
      <c r="B201" s="862" t="s">
        <v>1713</v>
      </c>
      <c r="C201" s="1115" t="s">
        <v>870</v>
      </c>
      <c r="D201" s="909" t="s">
        <v>47</v>
      </c>
      <c r="E201" s="2299" t="s">
        <v>878</v>
      </c>
      <c r="F201" s="2360"/>
      <c r="G201" s="860">
        <v>8.1999999999999993</v>
      </c>
      <c r="H201" s="703">
        <f>부자재매입내역!AL138</f>
        <v>0</v>
      </c>
      <c r="I201" s="979">
        <f t="shared" si="38"/>
        <v>0</v>
      </c>
      <c r="J201" s="2118"/>
      <c r="K201" s="954"/>
      <c r="L201" s="869"/>
      <c r="M201"/>
      <c r="R201" s="1035" t="s">
        <v>2016</v>
      </c>
      <c r="S201" s="1038">
        <f>COUNTIF($R$3:R201,R201)</f>
        <v>88</v>
      </c>
      <c r="T201" s="1038" t="str">
        <f t="shared" si="39"/>
        <v>CLIP 일반 WHITE(GH407)</v>
      </c>
      <c r="U201" s="1037">
        <f t="shared" si="42"/>
        <v>0</v>
      </c>
      <c r="V201" s="1037">
        <f t="shared" si="42"/>
        <v>0</v>
      </c>
      <c r="X201" s="355"/>
      <c r="Y201" s="355"/>
      <c r="Z201" s="355"/>
      <c r="AA201" s="355"/>
      <c r="AB201" s="355"/>
    </row>
    <row r="202" spans="1:42" ht="17.100000000000001" customHeight="1">
      <c r="A202" s="2295"/>
      <c r="B202" s="862" t="s">
        <v>1714</v>
      </c>
      <c r="C202" s="1115" t="s">
        <v>872</v>
      </c>
      <c r="D202" s="909" t="s">
        <v>47</v>
      </c>
      <c r="E202" s="2293"/>
      <c r="F202" s="2360"/>
      <c r="G202" s="860">
        <v>8.1999999999999993</v>
      </c>
      <c r="H202" s="703">
        <f>부자재매입내역!AL139</f>
        <v>0</v>
      </c>
      <c r="I202" s="979">
        <f t="shared" si="38"/>
        <v>0</v>
      </c>
      <c r="J202" s="2118"/>
      <c r="K202" s="954"/>
      <c r="L202" s="869"/>
      <c r="M202"/>
      <c r="R202" s="1035" t="s">
        <v>2016</v>
      </c>
      <c r="S202" s="1038">
        <f>COUNTIF($R$3:R202,R202)</f>
        <v>89</v>
      </c>
      <c r="T202" s="1038" t="str">
        <f t="shared" si="39"/>
        <v>CLIP 일반 YELLOW(GH407)</v>
      </c>
      <c r="U202" s="1037">
        <f t="shared" si="42"/>
        <v>0</v>
      </c>
      <c r="V202" s="1037">
        <f t="shared" si="42"/>
        <v>0</v>
      </c>
      <c r="X202" s="355"/>
      <c r="Y202" s="355"/>
      <c r="Z202" s="355"/>
      <c r="AA202" s="355"/>
      <c r="AB202" s="355"/>
    </row>
    <row r="203" spans="1:42" ht="17.100000000000001" customHeight="1">
      <c r="A203" s="2295"/>
      <c r="B203" s="862" t="s">
        <v>1715</v>
      </c>
      <c r="C203" s="1115" t="s">
        <v>874</v>
      </c>
      <c r="D203" s="909" t="s">
        <v>47</v>
      </c>
      <c r="E203" s="2293"/>
      <c r="F203" s="2360"/>
      <c r="G203" s="860">
        <v>8.1999999999999993</v>
      </c>
      <c r="H203" s="703">
        <f>부자재매입내역!AL140</f>
        <v>0</v>
      </c>
      <c r="I203" s="979">
        <f t="shared" si="38"/>
        <v>0</v>
      </c>
      <c r="J203" s="2118"/>
      <c r="K203" s="954"/>
      <c r="L203" s="869"/>
      <c r="M203"/>
      <c r="R203" s="1035" t="s">
        <v>2016</v>
      </c>
      <c r="S203" s="1038">
        <f>COUNTIF($R$3:R203,R203)</f>
        <v>90</v>
      </c>
      <c r="T203" s="1038" t="str">
        <f t="shared" si="39"/>
        <v>CLIP 일반BLACK(GH407)</v>
      </c>
      <c r="U203" s="1037">
        <f t="shared" si="42"/>
        <v>0</v>
      </c>
      <c r="V203" s="1037">
        <f t="shared" si="42"/>
        <v>0</v>
      </c>
      <c r="X203" s="355"/>
      <c r="Y203" s="355"/>
      <c r="Z203" s="355"/>
      <c r="AA203" s="355"/>
      <c r="AB203" s="355"/>
    </row>
    <row r="204" spans="1:42" ht="17.100000000000001" customHeight="1">
      <c r="A204" s="2295"/>
      <c r="B204" s="862" t="s">
        <v>1716</v>
      </c>
      <c r="C204" s="1115" t="s">
        <v>876</v>
      </c>
      <c r="D204" s="909" t="s">
        <v>47</v>
      </c>
      <c r="E204" s="2300"/>
      <c r="F204" s="2360"/>
      <c r="G204" s="860">
        <v>8.1999999999999993</v>
      </c>
      <c r="H204" s="703">
        <f>부자재매입내역!AL141</f>
        <v>0</v>
      </c>
      <c r="I204" s="979">
        <f>H204*G204</f>
        <v>0</v>
      </c>
      <c r="J204" s="2118"/>
      <c r="K204" s="954"/>
      <c r="L204" s="869"/>
      <c r="M204"/>
      <c r="R204" s="1035" t="s">
        <v>2016</v>
      </c>
      <c r="S204" s="1038">
        <f>COUNTIF($R$3:R204,R204)</f>
        <v>91</v>
      </c>
      <c r="T204" s="1038" t="str">
        <f t="shared" si="39"/>
        <v>CLIP 일반 BLUE(GH407)</v>
      </c>
      <c r="U204" s="1037">
        <f t="shared" si="42"/>
        <v>0</v>
      </c>
      <c r="V204" s="1037">
        <f t="shared" si="42"/>
        <v>0</v>
      </c>
      <c r="X204" s="355"/>
      <c r="Y204" s="355"/>
      <c r="Z204" s="355"/>
      <c r="AA204" s="355"/>
      <c r="AB204" s="355"/>
    </row>
    <row r="205" spans="1:42" ht="17.100000000000001" customHeight="1">
      <c r="A205" s="2295"/>
      <c r="B205" s="862" t="s">
        <v>1717</v>
      </c>
      <c r="C205" s="1115" t="s">
        <v>755</v>
      </c>
      <c r="D205" s="909" t="s">
        <v>32</v>
      </c>
      <c r="E205" s="2299" t="s">
        <v>758</v>
      </c>
      <c r="F205" s="2360"/>
      <c r="G205" s="860">
        <v>16.5</v>
      </c>
      <c r="H205" s="703">
        <f>부자재매입내역!AL86</f>
        <v>40000</v>
      </c>
      <c r="I205" s="979">
        <f t="shared" ref="I205:I209" si="44">G205*H205</f>
        <v>660000</v>
      </c>
      <c r="J205" s="2118"/>
      <c r="K205" s="954"/>
      <c r="L205" s="869"/>
      <c r="M205"/>
      <c r="R205" s="1035" t="s">
        <v>2016</v>
      </c>
      <c r="S205" s="1038">
        <f>COUNTIF($R$3:R205,R205)</f>
        <v>92</v>
      </c>
      <c r="T205" s="1038" t="str">
        <f t="shared" si="39"/>
        <v>EPDM PAD (3T*10W*70L)-블랙</v>
      </c>
      <c r="U205" s="1037">
        <f t="shared" si="42"/>
        <v>40000</v>
      </c>
      <c r="V205" s="1037">
        <f t="shared" si="42"/>
        <v>660000</v>
      </c>
      <c r="X205" s="355"/>
      <c r="Y205" s="355"/>
      <c r="Z205" s="355"/>
      <c r="AA205" s="355"/>
      <c r="AB205" s="355"/>
    </row>
    <row r="206" spans="1:42" ht="17.100000000000001" customHeight="1">
      <c r="A206" s="2295"/>
      <c r="B206" s="862" t="s">
        <v>1718</v>
      </c>
      <c r="C206" s="1115" t="s">
        <v>754</v>
      </c>
      <c r="D206" s="909" t="s">
        <v>32</v>
      </c>
      <c r="E206" s="2300"/>
      <c r="F206" s="2360"/>
      <c r="G206" s="860">
        <v>10.7</v>
      </c>
      <c r="H206" s="703">
        <f>부자재매입내역!AL87</f>
        <v>30000</v>
      </c>
      <c r="I206" s="979">
        <f t="shared" si="44"/>
        <v>321000</v>
      </c>
      <c r="J206" s="2118"/>
      <c r="K206" s="954"/>
      <c r="L206" s="869"/>
      <c r="M206"/>
      <c r="R206" s="1035" t="s">
        <v>2016</v>
      </c>
      <c r="S206" s="1038">
        <f>COUNTIF($R$3:R206,R206)</f>
        <v>93</v>
      </c>
      <c r="T206" s="1038" t="str">
        <f t="shared" si="39"/>
        <v>EPDM PAD (3T*10W*70L)-아이보리</v>
      </c>
      <c r="U206" s="1037">
        <f t="shared" si="42"/>
        <v>30000</v>
      </c>
      <c r="V206" s="1037">
        <f t="shared" si="42"/>
        <v>321000</v>
      </c>
      <c r="X206" s="355"/>
      <c r="Y206" s="355"/>
      <c r="Z206" s="355"/>
      <c r="AA206" s="355"/>
      <c r="AB206" s="355"/>
    </row>
    <row r="207" spans="1:42" ht="17.100000000000001" customHeight="1">
      <c r="A207" s="2295"/>
      <c r="B207" s="862" t="s">
        <v>1719</v>
      </c>
      <c r="C207" s="1115" t="s">
        <v>1379</v>
      </c>
      <c r="D207" s="909" t="s">
        <v>32</v>
      </c>
      <c r="E207" s="1308"/>
      <c r="F207" s="2360"/>
      <c r="G207" s="860">
        <v>12.7</v>
      </c>
      <c r="H207" s="703">
        <f>부자재매입내역!AL89</f>
        <v>0</v>
      </c>
      <c r="I207" s="979">
        <f t="shared" si="44"/>
        <v>0</v>
      </c>
      <c r="J207" s="2160"/>
      <c r="K207" s="1310"/>
      <c r="L207" s="869"/>
      <c r="M207"/>
      <c r="R207" s="1035" t="s">
        <v>2016</v>
      </c>
      <c r="S207" s="1038">
        <f>COUNTIF($R$3:R207,R207)</f>
        <v>94</v>
      </c>
      <c r="T207" s="1038" t="str">
        <f t="shared" si="39"/>
        <v>EPDM PAD (3T*10W*82L , LH)</v>
      </c>
      <c r="U207" s="1037">
        <f t="shared" si="42"/>
        <v>0</v>
      </c>
      <c r="V207" s="1037">
        <f t="shared" si="42"/>
        <v>0</v>
      </c>
      <c r="X207" s="355"/>
      <c r="Y207" s="355"/>
      <c r="Z207" s="355"/>
      <c r="AA207" s="355"/>
      <c r="AB207" s="355"/>
      <c r="AO207" s="1120"/>
      <c r="AP207" s="1120"/>
    </row>
    <row r="208" spans="1:42" ht="17.100000000000001" customHeight="1">
      <c r="A208" s="2295"/>
      <c r="B208" s="862" t="s">
        <v>1720</v>
      </c>
      <c r="C208" s="1115" t="s">
        <v>1380</v>
      </c>
      <c r="D208" s="909" t="s">
        <v>32</v>
      </c>
      <c r="E208" s="1308"/>
      <c r="F208" s="2360"/>
      <c r="G208" s="860">
        <v>12.7</v>
      </c>
      <c r="H208" s="703">
        <f>부자재매입내역!AL90</f>
        <v>0</v>
      </c>
      <c r="I208" s="979">
        <f t="shared" si="44"/>
        <v>0</v>
      </c>
      <c r="J208" s="2160"/>
      <c r="K208" s="1310"/>
      <c r="L208" s="869"/>
      <c r="M208"/>
      <c r="R208" s="1035" t="s">
        <v>2016</v>
      </c>
      <c r="S208" s="1038">
        <f>COUNTIF($R$3:R208,R208)</f>
        <v>95</v>
      </c>
      <c r="T208" s="1038" t="str">
        <f t="shared" si="39"/>
        <v>EPDM PAD (3T*10W*82L , RH)</v>
      </c>
      <c r="U208" s="1037">
        <f t="shared" si="42"/>
        <v>0</v>
      </c>
      <c r="V208" s="1037">
        <f t="shared" si="42"/>
        <v>0</v>
      </c>
      <c r="X208" s="355"/>
      <c r="Y208" s="355"/>
      <c r="Z208" s="355"/>
      <c r="AA208" s="355"/>
      <c r="AB208" s="355"/>
      <c r="AO208" s="1120"/>
      <c r="AP208" s="1120"/>
    </row>
    <row r="209" spans="1:45" ht="17.100000000000001" customHeight="1">
      <c r="A209" s="2295"/>
      <c r="B209" s="862" t="s">
        <v>1721</v>
      </c>
      <c r="C209" s="1115" t="s">
        <v>1381</v>
      </c>
      <c r="D209" s="909" t="s">
        <v>32</v>
      </c>
      <c r="E209" s="1308"/>
      <c r="F209" s="2360"/>
      <c r="G209" s="860">
        <v>38.1</v>
      </c>
      <c r="H209" s="703">
        <f>부자재매입내역!AL91</f>
        <v>0</v>
      </c>
      <c r="I209" s="979">
        <f t="shared" si="44"/>
        <v>0</v>
      </c>
      <c r="J209" s="2160"/>
      <c r="K209" s="1310"/>
      <c r="L209" s="869"/>
      <c r="M209"/>
      <c r="R209" s="1035" t="s">
        <v>2016</v>
      </c>
      <c r="S209" s="1038">
        <f>COUNTIF($R$3:R209,R209)</f>
        <v>96</v>
      </c>
      <c r="T209" s="1038" t="str">
        <f t="shared" si="39"/>
        <v>EPDM PAD (3T*7W*323L)</v>
      </c>
      <c r="U209" s="1037">
        <f t="shared" si="42"/>
        <v>0</v>
      </c>
      <c r="V209" s="1037">
        <f t="shared" si="42"/>
        <v>0</v>
      </c>
      <c r="X209" s="355"/>
      <c r="Y209" s="355"/>
      <c r="Z209" s="355"/>
      <c r="AA209" s="355"/>
      <c r="AB209" s="355"/>
      <c r="AO209" s="1120"/>
      <c r="AP209" s="1120"/>
    </row>
    <row r="210" spans="1:45" ht="17.100000000000001" customHeight="1">
      <c r="A210" s="2295"/>
      <c r="B210" s="862" t="s">
        <v>1722</v>
      </c>
      <c r="C210" s="1115" t="s">
        <v>525</v>
      </c>
      <c r="D210" s="909" t="s">
        <v>47</v>
      </c>
      <c r="E210" s="2299" t="s">
        <v>524</v>
      </c>
      <c r="F210" s="2360"/>
      <c r="G210" s="860">
        <v>73.7</v>
      </c>
      <c r="H210" s="703">
        <f>부자재매입내역!AL81</f>
        <v>44000</v>
      </c>
      <c r="I210" s="979">
        <f t="shared" si="35"/>
        <v>3242800</v>
      </c>
      <c r="J210" s="2118"/>
      <c r="K210" s="954"/>
      <c r="L210" s="869"/>
      <c r="M210"/>
      <c r="R210" s="1035" t="s">
        <v>2016</v>
      </c>
      <c r="S210" s="1038">
        <f>COUNTIF($R$3:R210,R210)</f>
        <v>97</v>
      </c>
      <c r="T210" s="1038" t="str">
        <f t="shared" si="39"/>
        <v>FCA DT INSERT RH R부</v>
      </c>
      <c r="U210" s="1037">
        <f t="shared" si="42"/>
        <v>44000</v>
      </c>
      <c r="V210" s="1037">
        <f t="shared" si="42"/>
        <v>3242800</v>
      </c>
      <c r="X210" s="355"/>
      <c r="Y210" s="355"/>
      <c r="Z210" s="355"/>
      <c r="AA210" s="355"/>
      <c r="AB210" s="355"/>
    </row>
    <row r="211" spans="1:45" ht="17.100000000000001" customHeight="1">
      <c r="A211" s="2295"/>
      <c r="B211" s="862" t="s">
        <v>1723</v>
      </c>
      <c r="C211" s="1115" t="s">
        <v>526</v>
      </c>
      <c r="D211" s="909" t="s">
        <v>47</v>
      </c>
      <c r="E211" s="2293"/>
      <c r="F211" s="2360"/>
      <c r="G211" s="860">
        <v>73.7</v>
      </c>
      <c r="H211" s="703">
        <f>부자재매입내역!AL82</f>
        <v>44000</v>
      </c>
      <c r="I211" s="979">
        <f t="shared" si="35"/>
        <v>3242800</v>
      </c>
      <c r="J211" s="2118"/>
      <c r="K211" s="954"/>
      <c r="L211" s="869"/>
      <c r="M211"/>
      <c r="R211" s="1035" t="s">
        <v>2016</v>
      </c>
      <c r="S211" s="1038">
        <f>COUNTIF($R$3:R211,R211)</f>
        <v>98</v>
      </c>
      <c r="T211" s="1038" t="str">
        <f t="shared" si="39"/>
        <v>FCA DT INSERT LH R부</v>
      </c>
      <c r="U211" s="1037">
        <f t="shared" si="42"/>
        <v>44000</v>
      </c>
      <c r="V211" s="1037">
        <f t="shared" si="42"/>
        <v>3242800</v>
      </c>
      <c r="X211" s="355"/>
      <c r="Y211" s="355"/>
      <c r="Z211" s="355"/>
      <c r="AA211" s="355"/>
      <c r="AB211" s="355"/>
    </row>
    <row r="212" spans="1:45" ht="17.100000000000001" customHeight="1">
      <c r="A212" s="2295"/>
      <c r="B212" s="862" t="s">
        <v>1724</v>
      </c>
      <c r="C212" s="1115" t="s">
        <v>527</v>
      </c>
      <c r="D212" s="909" t="s">
        <v>47</v>
      </c>
      <c r="E212" s="2293"/>
      <c r="F212" s="2360"/>
      <c r="G212" s="860">
        <v>120.8</v>
      </c>
      <c r="H212" s="703">
        <f>부자재매입내역!AL83</f>
        <v>2000</v>
      </c>
      <c r="I212" s="979">
        <f t="shared" si="35"/>
        <v>241600</v>
      </c>
      <c r="J212" s="2118"/>
      <c r="K212" s="954"/>
      <c r="L212" s="869"/>
      <c r="M212"/>
      <c r="R212" s="1035" t="s">
        <v>2016</v>
      </c>
      <c r="S212" s="1038">
        <f>COUNTIF($R$3:R212,R212)</f>
        <v>99</v>
      </c>
      <c r="T212" s="1038" t="str">
        <f t="shared" si="39"/>
        <v>FCA DT INSERT RH S부</v>
      </c>
      <c r="U212" s="1037">
        <f t="shared" si="42"/>
        <v>2000</v>
      </c>
      <c r="V212" s="1037">
        <f t="shared" si="42"/>
        <v>241600</v>
      </c>
      <c r="X212" s="355"/>
      <c r="Y212" s="355"/>
      <c r="Z212" s="355"/>
      <c r="AA212" s="355"/>
      <c r="AB212" s="355"/>
    </row>
    <row r="213" spans="1:45" ht="15.75" customHeight="1">
      <c r="A213" s="2295"/>
      <c r="B213" s="862" t="s">
        <v>1725</v>
      </c>
      <c r="C213" s="1115" t="s">
        <v>528</v>
      </c>
      <c r="D213" s="909" t="s">
        <v>47</v>
      </c>
      <c r="E213" s="2293"/>
      <c r="F213" s="2360"/>
      <c r="G213" s="860">
        <v>120.8</v>
      </c>
      <c r="H213" s="703">
        <f>부자재매입내역!AL84</f>
        <v>2000</v>
      </c>
      <c r="I213" s="979">
        <f t="shared" si="35"/>
        <v>241600</v>
      </c>
      <c r="J213" s="2118"/>
      <c r="K213" s="954"/>
      <c r="L213" s="869"/>
      <c r="M213"/>
      <c r="R213" s="1035" t="s">
        <v>2016</v>
      </c>
      <c r="S213" s="1038">
        <f>COUNTIF($R$3:R213,R213)</f>
        <v>100</v>
      </c>
      <c r="T213" s="1038" t="str">
        <f t="shared" si="39"/>
        <v>FCA DT INSERT LH S부</v>
      </c>
      <c r="U213" s="1037">
        <f t="shared" si="42"/>
        <v>2000</v>
      </c>
      <c r="V213" s="1037">
        <f t="shared" si="42"/>
        <v>241600</v>
      </c>
      <c r="X213" s="355"/>
      <c r="Y213" s="355"/>
      <c r="Z213" s="355"/>
      <c r="AA213" s="355"/>
      <c r="AB213" s="355"/>
    </row>
    <row r="214" spans="1:45" ht="17.100000000000001" customHeight="1">
      <c r="A214" s="2295"/>
      <c r="B214" s="862" t="s">
        <v>1860</v>
      </c>
      <c r="C214" s="1115" t="s">
        <v>519</v>
      </c>
      <c r="D214" s="909" t="s">
        <v>47</v>
      </c>
      <c r="E214" s="2369"/>
      <c r="F214" s="2361"/>
      <c r="G214" s="860">
        <v>9.1999999999999993</v>
      </c>
      <c r="H214" s="703">
        <f>부자재매입내역!AL45</f>
        <v>0</v>
      </c>
      <c r="I214" s="979">
        <f t="shared" ref="I214:I222" si="45">G214*H214</f>
        <v>0</v>
      </c>
      <c r="J214" s="2118"/>
      <c r="K214" s="954"/>
      <c r="L214" s="869"/>
      <c r="M214"/>
      <c r="R214" s="1035" t="s">
        <v>2016</v>
      </c>
      <c r="S214" s="1038">
        <f>COUNTIF($R$3:R214,R214)</f>
        <v>101</v>
      </c>
      <c r="T214" s="1038" t="str">
        <f t="shared" si="39"/>
        <v>M46-0600-02 (BLACK)</v>
      </c>
      <c r="U214" s="1037">
        <f t="shared" si="42"/>
        <v>0</v>
      </c>
      <c r="V214" s="1037">
        <f t="shared" si="42"/>
        <v>0</v>
      </c>
      <c r="X214" s="355"/>
      <c r="Y214" s="355"/>
      <c r="Z214" s="355"/>
      <c r="AA214" s="355"/>
      <c r="AB214" s="355"/>
    </row>
    <row r="215" spans="1:45" ht="17.100000000000001" customHeight="1">
      <c r="A215" s="2295"/>
      <c r="B215" s="862" t="s">
        <v>1726</v>
      </c>
      <c r="C215" s="1115" t="s">
        <v>889</v>
      </c>
      <c r="D215" s="909" t="s">
        <v>47</v>
      </c>
      <c r="E215" s="2293"/>
      <c r="F215" s="2360"/>
      <c r="G215" s="860">
        <v>5.0999999999999996</v>
      </c>
      <c r="H215" s="703"/>
      <c r="I215" s="979">
        <f t="shared" si="45"/>
        <v>0</v>
      </c>
      <c r="J215" s="2118"/>
      <c r="K215" s="954"/>
      <c r="L215" s="869"/>
      <c r="M215"/>
      <c r="R215" s="1035" t="s">
        <v>2016</v>
      </c>
      <c r="S215" s="1038">
        <f>COUNTIF($R$3:R215,R215)</f>
        <v>102</v>
      </c>
      <c r="T215" s="1038" t="str">
        <f t="shared" si="39"/>
        <v>M46-0580-01 (BLACK)</v>
      </c>
      <c r="U215" s="1037">
        <f t="shared" si="42"/>
        <v>0</v>
      </c>
      <c r="V215" s="1037">
        <f t="shared" si="42"/>
        <v>0</v>
      </c>
      <c r="X215" s="355"/>
      <c r="Y215" s="355"/>
      <c r="Z215" s="355"/>
      <c r="AA215" s="355"/>
      <c r="AB215" s="355"/>
      <c r="AQ215" s="250"/>
      <c r="AR215" s="250"/>
      <c r="AS215" s="250"/>
    </row>
    <row r="216" spans="1:45" ht="17.100000000000001" customHeight="1">
      <c r="A216" s="2295"/>
      <c r="B216" s="862" t="s">
        <v>1727</v>
      </c>
      <c r="C216" s="1115" t="s">
        <v>564</v>
      </c>
      <c r="D216" s="909" t="s">
        <v>47</v>
      </c>
      <c r="E216" s="2293"/>
      <c r="F216" s="2360"/>
      <c r="G216" s="860">
        <v>7.3</v>
      </c>
      <c r="H216" s="703">
        <f>부자재매입내역!AL47</f>
        <v>100000</v>
      </c>
      <c r="I216" s="979">
        <f t="shared" si="45"/>
        <v>730000</v>
      </c>
      <c r="J216" s="2118"/>
      <c r="K216" s="954"/>
      <c r="L216" s="869"/>
      <c r="M216"/>
      <c r="R216" s="1035" t="s">
        <v>2016</v>
      </c>
      <c r="S216" s="1038">
        <f>COUNTIF($R$3:R216,R216)</f>
        <v>103</v>
      </c>
      <c r="T216" s="1038" t="str">
        <f t="shared" si="39"/>
        <v>T300 JOINT CLIP BK</v>
      </c>
      <c r="U216" s="1037">
        <f t="shared" si="42"/>
        <v>100000</v>
      </c>
      <c r="V216" s="1037">
        <f t="shared" si="42"/>
        <v>730000</v>
      </c>
      <c r="X216" s="355"/>
      <c r="Y216" s="355"/>
      <c r="Z216" s="355"/>
      <c r="AA216" s="355"/>
      <c r="AB216" s="355"/>
      <c r="AQ216" s="250"/>
      <c r="AR216" s="250"/>
      <c r="AS216" s="250"/>
    </row>
    <row r="217" spans="1:45" ht="17.100000000000001" customHeight="1">
      <c r="A217" s="2295"/>
      <c r="B217" s="862" t="s">
        <v>1728</v>
      </c>
      <c r="C217" s="1115" t="s">
        <v>891</v>
      </c>
      <c r="D217" s="909" t="s">
        <v>47</v>
      </c>
      <c r="E217" s="2293"/>
      <c r="F217" s="2360"/>
      <c r="G217" s="860">
        <v>5.0999999999999996</v>
      </c>
      <c r="H217" s="703">
        <f>부자재매입내역!AL46</f>
        <v>50000</v>
      </c>
      <c r="I217" s="979">
        <f t="shared" si="45"/>
        <v>254999.99999999997</v>
      </c>
      <c r="J217" s="2118"/>
      <c r="K217" s="954"/>
      <c r="L217" s="869"/>
      <c r="M217"/>
      <c r="R217" s="1035" t="s">
        <v>2016</v>
      </c>
      <c r="S217" s="1038">
        <f>COUNTIF($R$3:R217,R217)</f>
        <v>104</v>
      </c>
      <c r="T217" s="1038" t="str">
        <f t="shared" si="39"/>
        <v>GH501(RED)</v>
      </c>
      <c r="U217" s="1037">
        <f t="shared" si="42"/>
        <v>50000</v>
      </c>
      <c r="V217" s="1037">
        <f t="shared" si="42"/>
        <v>254999.99999999997</v>
      </c>
      <c r="X217" s="355"/>
      <c r="Y217" s="355"/>
      <c r="Z217" s="355"/>
      <c r="AA217" s="355"/>
      <c r="AB217" s="355"/>
    </row>
    <row r="218" spans="1:45" ht="17.100000000000001" customHeight="1">
      <c r="A218" s="2295"/>
      <c r="B218" s="862" t="s">
        <v>1729</v>
      </c>
      <c r="C218" s="1115" t="s">
        <v>540</v>
      </c>
      <c r="D218" s="909" t="s">
        <v>47</v>
      </c>
      <c r="E218" s="2293"/>
      <c r="F218" s="2360"/>
      <c r="G218" s="860">
        <v>5.0999999999999996</v>
      </c>
      <c r="H218" s="703">
        <f>부자재매입내역!AL50</f>
        <v>950000</v>
      </c>
      <c r="I218" s="979">
        <f t="shared" ref="I218" si="46">G218*H218</f>
        <v>4845000</v>
      </c>
      <c r="J218" s="2118"/>
      <c r="K218" s="954"/>
      <c r="L218" s="869"/>
      <c r="M218"/>
      <c r="R218" s="1035" t="s">
        <v>2016</v>
      </c>
      <c r="S218" s="1038">
        <f>COUNTIF($R$3:R218,R218)</f>
        <v>105</v>
      </c>
      <c r="T218" s="1038" t="str">
        <f t="shared" si="39"/>
        <v>M46-0580-01 (WHITE)</v>
      </c>
      <c r="U218" s="1037">
        <f t="shared" si="42"/>
        <v>950000</v>
      </c>
      <c r="V218" s="1037">
        <f t="shared" si="42"/>
        <v>4845000</v>
      </c>
      <c r="X218" s="355"/>
      <c r="Y218" s="355"/>
      <c r="Z218" s="355"/>
      <c r="AA218" s="355"/>
      <c r="AB218" s="355"/>
    </row>
    <row r="219" spans="1:45" ht="17.100000000000001" customHeight="1">
      <c r="A219" s="2295"/>
      <c r="B219" s="862" t="s">
        <v>1859</v>
      </c>
      <c r="C219" s="1115" t="s">
        <v>520</v>
      </c>
      <c r="D219" s="909" t="s">
        <v>47</v>
      </c>
      <c r="E219" s="2293"/>
      <c r="F219" s="2360"/>
      <c r="G219" s="860">
        <v>5.9</v>
      </c>
      <c r="H219" s="703">
        <f>부자재매입내역!AL51</f>
        <v>0</v>
      </c>
      <c r="I219" s="979">
        <f t="shared" si="45"/>
        <v>0</v>
      </c>
      <c r="J219" s="2118"/>
      <c r="K219" s="954"/>
      <c r="L219" s="869"/>
      <c r="M219"/>
      <c r="R219" s="1035" t="s">
        <v>2016</v>
      </c>
      <c r="S219" s="1038">
        <f>COUNTIF($R$3:R219,R219)</f>
        <v>106</v>
      </c>
      <c r="T219" s="1038" t="str">
        <f t="shared" si="39"/>
        <v>M46-0580-02 (WHITE)</v>
      </c>
      <c r="U219" s="1037">
        <f t="shared" si="42"/>
        <v>0</v>
      </c>
      <c r="V219" s="1037">
        <f t="shared" si="42"/>
        <v>0</v>
      </c>
      <c r="X219" s="355"/>
      <c r="Y219" s="355"/>
      <c r="Z219" s="355"/>
      <c r="AA219" s="355"/>
      <c r="AB219" s="355"/>
    </row>
    <row r="220" spans="1:45" ht="17.100000000000001" customHeight="1">
      <c r="A220" s="2295"/>
      <c r="B220" s="862" t="s">
        <v>1730</v>
      </c>
      <c r="C220" s="1115" t="s">
        <v>521</v>
      </c>
      <c r="D220" s="909" t="s">
        <v>47</v>
      </c>
      <c r="E220" s="2293"/>
      <c r="F220" s="2360"/>
      <c r="G220" s="860">
        <v>5.3</v>
      </c>
      <c r="H220" s="703">
        <f>부자재매입내역!AL52</f>
        <v>0</v>
      </c>
      <c r="I220" s="979">
        <f t="shared" si="45"/>
        <v>0</v>
      </c>
      <c r="J220" s="2118"/>
      <c r="K220" s="954"/>
      <c r="L220" s="869"/>
      <c r="M220"/>
      <c r="R220" s="1035" t="s">
        <v>2016</v>
      </c>
      <c r="S220" s="1038">
        <f>COUNTIF($R$3:R220,R220)</f>
        <v>107</v>
      </c>
      <c r="T220" s="1038" t="str">
        <f t="shared" si="39"/>
        <v>M46-0580-02 (GREEN)</v>
      </c>
      <c r="U220" s="1037">
        <f t="shared" si="42"/>
        <v>0</v>
      </c>
      <c r="V220" s="1037">
        <f t="shared" si="42"/>
        <v>0</v>
      </c>
      <c r="X220" s="355"/>
      <c r="Y220" s="355"/>
      <c r="Z220" s="355"/>
      <c r="AA220" s="355"/>
      <c r="AB220" s="355"/>
    </row>
    <row r="221" spans="1:45" ht="17.100000000000001" customHeight="1">
      <c r="A221" s="2295"/>
      <c r="B221" s="862" t="s">
        <v>1731</v>
      </c>
      <c r="C221" s="1115" t="s">
        <v>687</v>
      </c>
      <c r="D221" s="909" t="s">
        <v>47</v>
      </c>
      <c r="E221" s="2293"/>
      <c r="F221" s="2360"/>
      <c r="G221" s="860">
        <v>5.9</v>
      </c>
      <c r="H221" s="703">
        <f>부자재매입내역!AL53</f>
        <v>0</v>
      </c>
      <c r="I221" s="979">
        <f t="shared" si="45"/>
        <v>0</v>
      </c>
      <c r="J221" s="2118"/>
      <c r="K221" s="954"/>
      <c r="L221" s="869"/>
      <c r="M221"/>
      <c r="R221" s="1035" t="s">
        <v>2016</v>
      </c>
      <c r="S221" s="1038">
        <f>COUNTIF($R$3:R221,R221)</f>
        <v>108</v>
      </c>
      <c r="T221" s="1038" t="str">
        <f t="shared" si="39"/>
        <v>M46-0580-02 (ORANGE)-장유</v>
      </c>
      <c r="U221" s="1037">
        <f t="shared" si="42"/>
        <v>0</v>
      </c>
      <c r="V221" s="1037">
        <f t="shared" si="42"/>
        <v>0</v>
      </c>
      <c r="X221" s="355"/>
      <c r="Y221" s="355"/>
      <c r="Z221" s="355"/>
      <c r="AA221" s="355"/>
      <c r="AB221" s="355"/>
    </row>
    <row r="222" spans="1:45" ht="17.100000000000001" customHeight="1">
      <c r="A222" s="2295"/>
      <c r="B222" s="862" t="s">
        <v>1732</v>
      </c>
      <c r="C222" s="1115" t="s">
        <v>727</v>
      </c>
      <c r="D222" s="909" t="s">
        <v>47</v>
      </c>
      <c r="E222" s="2300"/>
      <c r="F222" s="2360"/>
      <c r="G222" s="860">
        <v>5.9</v>
      </c>
      <c r="H222" s="703">
        <f>부자재매입내역!AL54</f>
        <v>0</v>
      </c>
      <c r="I222" s="979">
        <f t="shared" si="45"/>
        <v>0</v>
      </c>
      <c r="J222" s="2118"/>
      <c r="K222" s="954"/>
      <c r="L222" s="869"/>
      <c r="M222"/>
      <c r="R222" s="1035" t="s">
        <v>2016</v>
      </c>
      <c r="S222" s="1038">
        <f>COUNTIF($R$3:R222,R222)</f>
        <v>109</v>
      </c>
      <c r="T222" s="1038" t="str">
        <f t="shared" si="39"/>
        <v>M46-0580-02 (BLUE) -장유</v>
      </c>
      <c r="U222" s="1037">
        <f t="shared" si="42"/>
        <v>0</v>
      </c>
      <c r="V222" s="1037">
        <f t="shared" si="42"/>
        <v>0</v>
      </c>
      <c r="X222" s="355"/>
      <c r="Y222" s="355"/>
      <c r="Z222" s="355"/>
      <c r="AA222" s="355"/>
      <c r="AB222" s="355"/>
    </row>
    <row r="223" spans="1:45" ht="17.100000000000001" customHeight="1">
      <c r="A223" s="2295"/>
      <c r="B223" s="862" t="s">
        <v>1733</v>
      </c>
      <c r="C223" s="1115" t="s">
        <v>365</v>
      </c>
      <c r="D223" s="909" t="s">
        <v>47</v>
      </c>
      <c r="E223" s="2299" t="s">
        <v>366</v>
      </c>
      <c r="F223" s="2360"/>
      <c r="G223" s="860">
        <v>3.9</v>
      </c>
      <c r="H223" s="703">
        <f>부자재매입내역!AL29</f>
        <v>0</v>
      </c>
      <c r="I223" s="979">
        <f t="shared" si="35"/>
        <v>0</v>
      </c>
      <c r="J223" s="2118"/>
      <c r="K223" s="954"/>
      <c r="L223" s="869"/>
      <c r="M223"/>
      <c r="R223" s="1035" t="s">
        <v>2016</v>
      </c>
      <c r="S223" s="1038">
        <f>COUNTIF($R$3:R223,R223)</f>
        <v>110</v>
      </c>
      <c r="T223" s="1038" t="str">
        <f t="shared" si="39"/>
        <v>DCX DS ROOP CLIP(RE)</v>
      </c>
      <c r="U223" s="1037">
        <f t="shared" si="42"/>
        <v>0</v>
      </c>
      <c r="V223" s="1037">
        <f t="shared" si="42"/>
        <v>0</v>
      </c>
      <c r="X223" s="355"/>
      <c r="Y223" s="355"/>
      <c r="Z223" s="355"/>
      <c r="AA223" s="355"/>
      <c r="AB223" s="355"/>
    </row>
    <row r="224" spans="1:45" ht="17.100000000000001" customHeight="1">
      <c r="A224" s="2295"/>
      <c r="B224" s="862" t="s">
        <v>1734</v>
      </c>
      <c r="C224" s="1115" t="s">
        <v>367</v>
      </c>
      <c r="D224" s="909" t="s">
        <v>47</v>
      </c>
      <c r="E224" s="2293"/>
      <c r="F224" s="2360"/>
      <c r="G224" s="860">
        <v>3.9</v>
      </c>
      <c r="H224" s="703">
        <f>부자재매입내역!AL30</f>
        <v>0</v>
      </c>
      <c r="I224" s="979">
        <f t="shared" si="35"/>
        <v>0</v>
      </c>
      <c r="J224" s="2118"/>
      <c r="K224" s="954"/>
      <c r="L224" s="869"/>
      <c r="M224"/>
      <c r="R224" s="1035" t="s">
        <v>2016</v>
      </c>
      <c r="S224" s="1038">
        <f>COUNTIF($R$3:R224,R224)</f>
        <v>111</v>
      </c>
      <c r="T224" s="1038" t="str">
        <f t="shared" si="39"/>
        <v>DCX DS ROOP CLIP(BL)</v>
      </c>
      <c r="U224" s="1037">
        <f t="shared" si="42"/>
        <v>0</v>
      </c>
      <c r="V224" s="1037">
        <f t="shared" si="42"/>
        <v>0</v>
      </c>
      <c r="X224" s="355"/>
      <c r="Y224" s="355"/>
      <c r="Z224" s="355"/>
      <c r="AA224" s="355"/>
      <c r="AB224" s="355"/>
    </row>
    <row r="225" spans="1:28" ht="17.100000000000001" customHeight="1">
      <c r="A225" s="2295"/>
      <c r="B225" s="862" t="s">
        <v>2237</v>
      </c>
      <c r="C225" s="1115" t="s">
        <v>368</v>
      </c>
      <c r="D225" s="909" t="s">
        <v>47</v>
      </c>
      <c r="E225" s="2293"/>
      <c r="F225" s="2360"/>
      <c r="G225" s="860">
        <v>3.9</v>
      </c>
      <c r="H225" s="703">
        <f>부자재매입내역!AL31</f>
        <v>350000</v>
      </c>
      <c r="I225" s="979">
        <f t="shared" si="35"/>
        <v>1365000</v>
      </c>
      <c r="J225" s="2118"/>
      <c r="K225" s="954"/>
      <c r="L225" s="869"/>
      <c r="M225"/>
      <c r="R225" s="1035" t="s">
        <v>2016</v>
      </c>
      <c r="S225" s="1038">
        <f>COUNTIF($R$3:R225,R225)</f>
        <v>112</v>
      </c>
      <c r="T225" s="1038" t="str">
        <f t="shared" si="39"/>
        <v>DCX DS ROOP CLIP(WH)</v>
      </c>
      <c r="U225" s="1037">
        <f t="shared" si="42"/>
        <v>350000</v>
      </c>
      <c r="V225" s="1037">
        <f t="shared" si="42"/>
        <v>1365000</v>
      </c>
      <c r="X225" s="355"/>
      <c r="Y225" s="355"/>
      <c r="Z225" s="355"/>
      <c r="AA225" s="355"/>
      <c r="AB225" s="355"/>
    </row>
    <row r="226" spans="1:28" ht="17.100000000000001" customHeight="1">
      <c r="A226" s="2295"/>
      <c r="B226" s="862" t="s">
        <v>1814</v>
      </c>
      <c r="C226" s="1115" t="s">
        <v>369</v>
      </c>
      <c r="D226" s="909" t="s">
        <v>47</v>
      </c>
      <c r="E226" s="2293"/>
      <c r="F226" s="2360"/>
      <c r="G226" s="860">
        <v>3.9</v>
      </c>
      <c r="H226" s="703">
        <f>부자재매입내역!AL32</f>
        <v>600000</v>
      </c>
      <c r="I226" s="979">
        <f t="shared" si="35"/>
        <v>2340000</v>
      </c>
      <c r="J226" s="2118"/>
      <c r="K226" s="954"/>
      <c r="L226" s="869"/>
      <c r="M226"/>
      <c r="R226" s="1035" t="s">
        <v>2016</v>
      </c>
      <c r="S226" s="1038">
        <f>COUNTIF($R$3:R226,R226)</f>
        <v>113</v>
      </c>
      <c r="T226" s="1038" t="str">
        <f t="shared" si="39"/>
        <v>DCX DS ROOP CLIP(YE)</v>
      </c>
      <c r="U226" s="1037">
        <f t="shared" si="42"/>
        <v>600000</v>
      </c>
      <c r="V226" s="1037">
        <f t="shared" si="42"/>
        <v>2340000</v>
      </c>
      <c r="X226" s="355"/>
      <c r="Y226" s="355"/>
      <c r="Z226" s="355"/>
      <c r="AA226" s="355"/>
      <c r="AB226" s="355"/>
    </row>
    <row r="227" spans="1:28" ht="17.100000000000001" customHeight="1">
      <c r="A227" s="2295"/>
      <c r="B227" s="862" t="s">
        <v>1735</v>
      </c>
      <c r="C227" s="1115" t="s">
        <v>370</v>
      </c>
      <c r="D227" s="909" t="s">
        <v>47</v>
      </c>
      <c r="E227" s="2293"/>
      <c r="F227" s="2360"/>
      <c r="G227" s="860">
        <v>10.199999999999999</v>
      </c>
      <c r="H227" s="703">
        <f>부자재매입내역!AL33</f>
        <v>0</v>
      </c>
      <c r="I227" s="979">
        <f t="shared" si="35"/>
        <v>0</v>
      </c>
      <c r="J227" s="2118"/>
      <c r="K227" s="954"/>
      <c r="L227" s="869"/>
      <c r="M227"/>
      <c r="R227" s="1035" t="s">
        <v>2016</v>
      </c>
      <c r="S227" s="1038">
        <f>COUNTIF($R$3:R227,R227)</f>
        <v>114</v>
      </c>
      <c r="T227" s="1038" t="str">
        <f t="shared" si="39"/>
        <v>CLIP,D/S A-PLR MOLD(BLACK)</v>
      </c>
      <c r="U227" s="1037">
        <f t="shared" si="42"/>
        <v>0</v>
      </c>
      <c r="V227" s="1037">
        <f t="shared" si="42"/>
        <v>0</v>
      </c>
      <c r="X227" s="355"/>
      <c r="Y227" s="355"/>
      <c r="Z227" s="355"/>
      <c r="AA227" s="355"/>
      <c r="AB227" s="355"/>
    </row>
    <row r="228" spans="1:28" ht="17.100000000000001" customHeight="1">
      <c r="A228" s="2295"/>
      <c r="B228" s="862" t="s">
        <v>1813</v>
      </c>
      <c r="C228" s="1115" t="s">
        <v>371</v>
      </c>
      <c r="D228" s="909" t="s">
        <v>47</v>
      </c>
      <c r="E228" s="2293"/>
      <c r="F228" s="2360"/>
      <c r="G228" s="860">
        <v>10.1</v>
      </c>
      <c r="H228" s="703">
        <f>부자재매입내역!AL34</f>
        <v>54000</v>
      </c>
      <c r="I228" s="979">
        <f t="shared" si="35"/>
        <v>545400</v>
      </c>
      <c r="J228" s="2118"/>
      <c r="K228" s="954"/>
      <c r="L228" s="869"/>
      <c r="M228"/>
      <c r="R228" s="1035" t="s">
        <v>2016</v>
      </c>
      <c r="S228" s="1038">
        <f>COUNTIF($R$3:R228,R228)</f>
        <v>115</v>
      </c>
      <c r="T228" s="1038" t="str">
        <f t="shared" si="39"/>
        <v>CLIP,D/S B-PLR MOLD(BLACK)</v>
      </c>
      <c r="U228" s="1037">
        <f t="shared" si="42"/>
        <v>54000</v>
      </c>
      <c r="V228" s="1037">
        <f t="shared" si="42"/>
        <v>545400</v>
      </c>
      <c r="X228" s="355"/>
      <c r="Y228" s="355"/>
      <c r="Z228" s="355"/>
      <c r="AA228" s="355"/>
      <c r="AB228" s="355"/>
    </row>
    <row r="229" spans="1:28" ht="17.100000000000001" customHeight="1">
      <c r="A229" s="2295"/>
      <c r="B229" s="862" t="s">
        <v>1736</v>
      </c>
      <c r="C229" s="1115" t="s">
        <v>869</v>
      </c>
      <c r="D229" s="909" t="s">
        <v>47</v>
      </c>
      <c r="E229" s="2300"/>
      <c r="F229" s="2360"/>
      <c r="G229" s="860">
        <v>10.199999999999999</v>
      </c>
      <c r="H229" s="703">
        <f>부자재매입내역!AL35</f>
        <v>0</v>
      </c>
      <c r="I229" s="979">
        <f t="shared" si="35"/>
        <v>0</v>
      </c>
      <c r="J229" s="2118"/>
      <c r="K229" s="954"/>
      <c r="L229" s="869"/>
      <c r="M229"/>
      <c r="R229" s="1035" t="s">
        <v>2016</v>
      </c>
      <c r="S229" s="1038">
        <f>COUNTIF($R$3:R229,R229)</f>
        <v>116</v>
      </c>
      <c r="T229" s="1038" t="str">
        <f t="shared" si="39"/>
        <v xml:space="preserve">DS BODY MOUNT CLIP BK </v>
      </c>
      <c r="U229" s="1037">
        <f t="shared" si="42"/>
        <v>0</v>
      </c>
      <c r="V229" s="1037">
        <f t="shared" si="42"/>
        <v>0</v>
      </c>
      <c r="X229" s="355"/>
      <c r="Y229" s="355"/>
      <c r="Z229" s="355"/>
      <c r="AA229" s="355"/>
      <c r="AB229" s="355"/>
    </row>
    <row r="230" spans="1:28" ht="17.100000000000001" customHeight="1">
      <c r="A230" s="2295"/>
      <c r="B230" s="862" t="s">
        <v>1809</v>
      </c>
      <c r="C230" s="1115" t="s">
        <v>372</v>
      </c>
      <c r="D230" s="909" t="s">
        <v>47</v>
      </c>
      <c r="E230" s="909"/>
      <c r="F230" s="2360"/>
      <c r="G230" s="860">
        <v>4.5</v>
      </c>
      <c r="H230" s="703">
        <f>부자재매입내역!AL36</f>
        <v>100000</v>
      </c>
      <c r="I230" s="979">
        <f t="shared" si="35"/>
        <v>450000</v>
      </c>
      <c r="J230" s="2118"/>
      <c r="K230" s="954"/>
      <c r="L230" s="869"/>
      <c r="M230"/>
      <c r="R230" s="1035" t="s">
        <v>2016</v>
      </c>
      <c r="S230" s="1038">
        <f>COUNTIF($R$3:R230,R230)</f>
        <v>117</v>
      </c>
      <c r="T230" s="1038" t="str">
        <f t="shared" si="39"/>
        <v>DCX DS  D/S CLIP(GR)</v>
      </c>
      <c r="U230" s="1037">
        <f t="shared" si="42"/>
        <v>100000</v>
      </c>
      <c r="V230" s="1037">
        <f t="shared" si="42"/>
        <v>450000</v>
      </c>
      <c r="X230" s="355"/>
      <c r="Y230" s="355"/>
      <c r="Z230" s="355"/>
      <c r="AA230" s="355"/>
      <c r="AB230" s="355"/>
    </row>
    <row r="231" spans="1:28" ht="17.100000000000001" customHeight="1">
      <c r="A231" s="2295"/>
      <c r="B231" s="862" t="s">
        <v>1737</v>
      </c>
      <c r="C231" s="1115" t="s">
        <v>686</v>
      </c>
      <c r="D231" s="909" t="s">
        <v>47</v>
      </c>
      <c r="E231" s="909" t="s">
        <v>374</v>
      </c>
      <c r="F231" s="2360"/>
      <c r="G231" s="860">
        <v>12</v>
      </c>
      <c r="H231" s="703">
        <f>부자재매입내역!AL37</f>
        <v>780000</v>
      </c>
      <c r="I231" s="979">
        <f>G231*H231</f>
        <v>9360000</v>
      </c>
      <c r="J231" s="2118"/>
      <c r="K231" s="954"/>
      <c r="L231" s="869"/>
      <c r="M231"/>
      <c r="R231" s="1035" t="s">
        <v>2016</v>
      </c>
      <c r="S231" s="1038">
        <f>COUNTIF($R$3:R231,R231)</f>
        <v>118</v>
      </c>
      <c r="T231" s="1038" t="str">
        <f t="shared" si="39"/>
        <v>M46-0595-02(국산 BLACK)-장유</v>
      </c>
      <c r="U231" s="1037">
        <f t="shared" si="42"/>
        <v>780000</v>
      </c>
      <c r="V231" s="1037">
        <f t="shared" si="42"/>
        <v>9360000</v>
      </c>
      <c r="X231" s="355"/>
      <c r="Y231" s="355"/>
      <c r="Z231" s="355"/>
      <c r="AA231" s="355"/>
      <c r="AB231" s="355"/>
    </row>
    <row r="232" spans="1:28" ht="17.100000000000001" customHeight="1">
      <c r="A232" s="2295"/>
      <c r="B232" s="862" t="s">
        <v>1817</v>
      </c>
      <c r="C232" s="1115" t="s">
        <v>1260</v>
      </c>
      <c r="D232" s="909" t="s">
        <v>47</v>
      </c>
      <c r="E232" s="909" t="s">
        <v>2001</v>
      </c>
      <c r="F232" s="2360"/>
      <c r="G232" s="860">
        <v>13.6</v>
      </c>
      <c r="H232" s="703">
        <f>부자재매입내역!AL38</f>
        <v>560000</v>
      </c>
      <c r="I232" s="979">
        <f>G232*H232</f>
        <v>7616000</v>
      </c>
      <c r="J232" s="2118"/>
      <c r="K232" s="954"/>
      <c r="L232" s="869"/>
      <c r="M232"/>
      <c r="R232" s="1035" t="s">
        <v>2016</v>
      </c>
      <c r="S232" s="1038">
        <f>COUNTIF($R$3:R232,R232)</f>
        <v>119</v>
      </c>
      <c r="T232" s="1038" t="str">
        <f t="shared" ref="T232:T276" si="47">C232</f>
        <v>M46-0595-02 PF HOOD SEAL CILP(PA)BK</v>
      </c>
      <c r="U232" s="1037">
        <f t="shared" si="42"/>
        <v>560000</v>
      </c>
      <c r="V232" s="1037">
        <f t="shared" si="42"/>
        <v>7616000</v>
      </c>
      <c r="X232" s="355"/>
      <c r="Y232" s="355"/>
      <c r="Z232" s="355"/>
      <c r="AA232" s="355"/>
      <c r="AB232" s="355"/>
    </row>
    <row r="233" spans="1:28" ht="17.100000000000001" customHeight="1">
      <c r="A233" s="2295"/>
      <c r="B233" s="862" t="s">
        <v>1738</v>
      </c>
      <c r="C233" s="1115" t="s">
        <v>694</v>
      </c>
      <c r="D233" s="909" t="s">
        <v>47</v>
      </c>
      <c r="E233" s="909" t="s">
        <v>374</v>
      </c>
      <c r="F233" s="2360"/>
      <c r="G233" s="860">
        <v>12</v>
      </c>
      <c r="H233" s="703">
        <f>부자재매입내역!AL39</f>
        <v>0</v>
      </c>
      <c r="I233" s="979">
        <f>G233*H233</f>
        <v>0</v>
      </c>
      <c r="J233" s="2118"/>
      <c r="K233" s="954"/>
      <c r="L233" s="869"/>
      <c r="M233"/>
      <c r="R233" s="1035" t="s">
        <v>2016</v>
      </c>
      <c r="S233" s="1038">
        <f>COUNTIF($R$3:R233,R233)</f>
        <v>120</v>
      </c>
      <c r="T233" s="1038" t="str">
        <f t="shared" si="47"/>
        <v>M46-0595-02(Dark Gray)-도은</v>
      </c>
      <c r="U233" s="1037">
        <f t="shared" si="42"/>
        <v>0</v>
      </c>
      <c r="V233" s="1037">
        <f t="shared" si="42"/>
        <v>0</v>
      </c>
      <c r="X233" s="355"/>
      <c r="Y233" s="355"/>
      <c r="Z233" s="355"/>
      <c r="AA233" s="355"/>
      <c r="AB233" s="355"/>
    </row>
    <row r="234" spans="1:28" ht="17.100000000000001" customHeight="1">
      <c r="A234" s="2295"/>
      <c r="B234" s="862" t="s">
        <v>1739</v>
      </c>
      <c r="C234" s="1115" t="s">
        <v>375</v>
      </c>
      <c r="D234" s="909" t="s">
        <v>47</v>
      </c>
      <c r="E234" s="2293"/>
      <c r="F234" s="2360"/>
      <c r="G234" s="860">
        <v>5.9</v>
      </c>
      <c r="H234" s="703">
        <f>부자재매입내역!AL40</f>
        <v>0</v>
      </c>
      <c r="I234" s="979">
        <f>G234*H234</f>
        <v>0</v>
      </c>
      <c r="J234" s="2118"/>
      <c r="K234" s="954"/>
      <c r="L234" s="869"/>
      <c r="M234"/>
      <c r="R234" s="1035" t="s">
        <v>2016</v>
      </c>
      <c r="S234" s="1038">
        <f>COUNTIF($R$3:R234,R234)</f>
        <v>121</v>
      </c>
      <c r="T234" s="1038" t="str">
        <f t="shared" si="47"/>
        <v>M46-0580-02(ITW-보라색)</v>
      </c>
      <c r="U234" s="1037">
        <f t="shared" si="42"/>
        <v>0</v>
      </c>
      <c r="V234" s="1037">
        <f t="shared" si="42"/>
        <v>0</v>
      </c>
      <c r="X234" s="355"/>
      <c r="Y234" s="355"/>
      <c r="Z234" s="355"/>
      <c r="AA234" s="355"/>
      <c r="AB234" s="355"/>
    </row>
    <row r="235" spans="1:28" ht="17.100000000000001" customHeight="1">
      <c r="A235" s="2295"/>
      <c r="B235" s="859" t="s">
        <v>1740</v>
      </c>
      <c r="C235" s="1115" t="s">
        <v>376</v>
      </c>
      <c r="D235" s="909" t="s">
        <v>47</v>
      </c>
      <c r="E235" s="2293"/>
      <c r="F235" s="2360"/>
      <c r="G235" s="860">
        <v>5.9</v>
      </c>
      <c r="H235" s="703">
        <f>부자재매입내역!AL41</f>
        <v>0</v>
      </c>
      <c r="I235" s="979">
        <f>G235*H235</f>
        <v>0</v>
      </c>
      <c r="J235" s="2118"/>
      <c r="K235" s="954"/>
      <c r="L235" s="869"/>
      <c r="M235"/>
      <c r="R235" s="1035" t="s">
        <v>2016</v>
      </c>
      <c r="S235" s="1038">
        <f>COUNTIF($R$3:R235,R235)</f>
        <v>122</v>
      </c>
      <c r="T235" s="1038" t="str">
        <f t="shared" si="47"/>
        <v>M46-0580-02(ITW-빨간색)</v>
      </c>
      <c r="U235" s="1037">
        <f t="shared" si="42"/>
        <v>0</v>
      </c>
      <c r="V235" s="1037">
        <f t="shared" si="42"/>
        <v>0</v>
      </c>
      <c r="X235" s="355"/>
      <c r="Y235" s="355"/>
      <c r="Z235" s="355"/>
      <c r="AA235" s="355"/>
      <c r="AB235" s="355"/>
    </row>
    <row r="236" spans="1:28" ht="17.100000000000001" customHeight="1">
      <c r="A236" s="2295"/>
      <c r="B236" s="859" t="s">
        <v>1741</v>
      </c>
      <c r="C236" s="1115" t="s">
        <v>377</v>
      </c>
      <c r="D236" s="909" t="s">
        <v>47</v>
      </c>
      <c r="E236" s="2293"/>
      <c r="F236" s="2360"/>
      <c r="G236" s="860">
        <v>5.9</v>
      </c>
      <c r="H236" s="703">
        <f>부자재매입내역!AL42</f>
        <v>0</v>
      </c>
      <c r="I236" s="979">
        <f t="shared" ref="I236:I237" si="48">G236*H236</f>
        <v>0</v>
      </c>
      <c r="J236" s="2118"/>
      <c r="K236" s="954"/>
      <c r="L236" s="869"/>
      <c r="M236"/>
      <c r="R236" s="1035" t="s">
        <v>2016</v>
      </c>
      <c r="S236" s="1038">
        <f>COUNTIF($R$3:R236,R236)</f>
        <v>123</v>
      </c>
      <c r="T236" s="1038" t="str">
        <f t="shared" si="47"/>
        <v>M46-0580-02(ITW-노란색)</v>
      </c>
      <c r="U236" s="1037">
        <f t="shared" si="42"/>
        <v>0</v>
      </c>
      <c r="V236" s="1037">
        <f t="shared" si="42"/>
        <v>0</v>
      </c>
      <c r="X236" s="355"/>
      <c r="Y236" s="355"/>
      <c r="Z236" s="355"/>
      <c r="AA236" s="355"/>
      <c r="AB236" s="355"/>
    </row>
    <row r="237" spans="1:28" ht="17.100000000000001" customHeight="1">
      <c r="A237" s="2295"/>
      <c r="B237" s="862" t="s">
        <v>1811</v>
      </c>
      <c r="C237" s="1115" t="s">
        <v>432</v>
      </c>
      <c r="D237" s="909" t="s">
        <v>32</v>
      </c>
      <c r="E237" s="2293"/>
      <c r="F237" s="2360"/>
      <c r="G237" s="860">
        <v>5.9</v>
      </c>
      <c r="H237" s="703">
        <f>부자재매입내역!AL43</f>
        <v>1400000</v>
      </c>
      <c r="I237" s="979">
        <f t="shared" si="48"/>
        <v>8260000.0000000009</v>
      </c>
      <c r="J237" s="2118"/>
      <c r="K237" s="954"/>
      <c r="L237" s="869"/>
      <c r="M237"/>
      <c r="R237" s="1035" t="s">
        <v>2016</v>
      </c>
      <c r="S237" s="1038">
        <f>COUNTIF($R$3:R237,R237)</f>
        <v>124</v>
      </c>
      <c r="T237" s="1038" t="str">
        <f t="shared" si="47"/>
        <v>M46-0580-02(ITW-오렌지)</v>
      </c>
      <c r="U237" s="1037">
        <f t="shared" si="42"/>
        <v>1400000</v>
      </c>
      <c r="V237" s="1037">
        <f t="shared" si="42"/>
        <v>8260000.0000000009</v>
      </c>
      <c r="X237" s="355"/>
      <c r="Y237" s="355"/>
      <c r="Z237" s="355"/>
      <c r="AA237" s="355"/>
      <c r="AB237" s="355"/>
    </row>
    <row r="238" spans="1:28" ht="17.100000000000001" customHeight="1" thickBot="1">
      <c r="A238" s="2296"/>
      <c r="B238" s="862" t="s">
        <v>1810</v>
      </c>
      <c r="C238" s="1115" t="s">
        <v>378</v>
      </c>
      <c r="D238" s="1205" t="s">
        <v>47</v>
      </c>
      <c r="E238" s="2293"/>
      <c r="F238" s="2362"/>
      <c r="G238" s="860">
        <v>5.9</v>
      </c>
      <c r="H238" s="710">
        <f>부자재매입내역!AL44</f>
        <v>1500000</v>
      </c>
      <c r="I238" s="980">
        <f t="shared" ref="I238" si="49">G238*H238</f>
        <v>8850000</v>
      </c>
      <c r="J238" s="2118"/>
      <c r="K238" s="954"/>
      <c r="L238" s="869"/>
      <c r="M238"/>
      <c r="R238" s="1035" t="s">
        <v>2016</v>
      </c>
      <c r="S238" s="1038">
        <f>COUNTIF($R$3:R238,R238)</f>
        <v>125</v>
      </c>
      <c r="T238" s="1038" t="str">
        <f t="shared" si="47"/>
        <v>M46-0580-02(ITW-파랑색)</v>
      </c>
      <c r="U238" s="1037">
        <f t="shared" si="42"/>
        <v>1500000</v>
      </c>
      <c r="V238" s="1037">
        <f t="shared" si="42"/>
        <v>8850000</v>
      </c>
      <c r="X238" s="355"/>
      <c r="Y238" s="355"/>
      <c r="Z238" s="355"/>
      <c r="AA238" s="355"/>
      <c r="AB238" s="355"/>
    </row>
    <row r="239" spans="1:28" ht="17.100000000000001" customHeight="1">
      <c r="A239" s="2318" t="s">
        <v>379</v>
      </c>
      <c r="B239" s="791">
        <v>31000462</v>
      </c>
      <c r="C239" s="267" t="s">
        <v>48</v>
      </c>
      <c r="D239" s="266" t="s">
        <v>380</v>
      </c>
      <c r="E239" s="2332" t="s">
        <v>381</v>
      </c>
      <c r="F239" s="2395" t="s">
        <v>382</v>
      </c>
      <c r="G239" s="763">
        <v>120</v>
      </c>
      <c r="H239" s="707">
        <f>부자재매입내역!AL3</f>
        <v>0</v>
      </c>
      <c r="I239" s="707">
        <f t="shared" si="35"/>
        <v>0</v>
      </c>
      <c r="J239" s="1435">
        <f>SUM(I239:I240)</f>
        <v>0</v>
      </c>
      <c r="K239" s="955">
        <v>480000</v>
      </c>
      <c r="L239" s="2374">
        <f t="shared" ref="L239:L240" si="50">J239-K239</f>
        <v>-480000</v>
      </c>
      <c r="M239"/>
      <c r="R239" s="1035" t="s">
        <v>83</v>
      </c>
      <c r="S239" s="1038">
        <f>COUNTIF($R$3:R239,R239)</f>
        <v>28</v>
      </c>
      <c r="T239" s="1038" t="str">
        <f t="shared" si="47"/>
        <v>QZ CORNER COVER LH</v>
      </c>
      <c r="U239" s="1037">
        <f t="shared" si="42"/>
        <v>0</v>
      </c>
      <c r="V239" s="1037">
        <f t="shared" si="42"/>
        <v>0</v>
      </c>
      <c r="X239" s="355"/>
      <c r="Y239" s="355"/>
      <c r="Z239" s="355"/>
      <c r="AA239" s="355"/>
      <c r="AB239" s="355"/>
    </row>
    <row r="240" spans="1:28" ht="17.100000000000001" customHeight="1" thickBot="1">
      <c r="A240" s="2319"/>
      <c r="B240" s="792">
        <v>30110463</v>
      </c>
      <c r="C240" s="270" t="s">
        <v>49</v>
      </c>
      <c r="D240" s="269" t="s">
        <v>380</v>
      </c>
      <c r="E240" s="2323"/>
      <c r="F240" s="2396"/>
      <c r="G240" s="811">
        <v>120</v>
      </c>
      <c r="H240" s="709">
        <f>부자재매입내역!AL4</f>
        <v>0</v>
      </c>
      <c r="I240" s="709">
        <f t="shared" si="35"/>
        <v>0</v>
      </c>
      <c r="J240" s="1436"/>
      <c r="K240" s="956"/>
      <c r="L240" s="2375">
        <f t="shared" si="50"/>
        <v>0</v>
      </c>
      <c r="M240"/>
      <c r="R240" s="1035" t="s">
        <v>83</v>
      </c>
      <c r="S240" s="1038">
        <f>COUNTIF($R$3:R240,R240)</f>
        <v>29</v>
      </c>
      <c r="T240" s="1038" t="str">
        <f t="shared" si="47"/>
        <v>QZ CORNER COVER RH</v>
      </c>
      <c r="U240" s="1037">
        <f t="shared" si="42"/>
        <v>0</v>
      </c>
      <c r="V240" s="1037">
        <f t="shared" si="42"/>
        <v>0</v>
      </c>
      <c r="X240" s="355"/>
      <c r="Y240" s="355"/>
      <c r="Z240" s="355"/>
      <c r="AA240" s="355"/>
      <c r="AB240" s="355"/>
    </row>
    <row r="241" spans="1:28" ht="17.100000000000001" customHeight="1">
      <c r="A241" s="2315" t="s">
        <v>494</v>
      </c>
      <c r="B241" s="828">
        <v>31030221</v>
      </c>
      <c r="C241" s="842" t="s">
        <v>67</v>
      </c>
      <c r="D241" s="832" t="s">
        <v>32</v>
      </c>
      <c r="E241" s="2297" t="s">
        <v>69</v>
      </c>
      <c r="F241" s="2385" t="s">
        <v>495</v>
      </c>
      <c r="G241" s="829">
        <v>10</v>
      </c>
      <c r="H241" s="708">
        <f>부자재매입내역!AL150</f>
        <v>20000</v>
      </c>
      <c r="I241" s="978">
        <f t="shared" si="35"/>
        <v>200000</v>
      </c>
      <c r="J241" s="2118">
        <f>SUM(I241:I251)</f>
        <v>3290000</v>
      </c>
      <c r="K241" s="954">
        <v>4370000</v>
      </c>
      <c r="L241" s="869">
        <f>J241-K241</f>
        <v>-1080000</v>
      </c>
      <c r="R241" s="1035" t="s">
        <v>180</v>
      </c>
      <c r="S241" s="1038">
        <f>COUNTIF($R$3:R241,R241)</f>
        <v>16</v>
      </c>
      <c r="T241" s="1038" t="str">
        <f t="shared" si="47"/>
        <v>EPDM PAD (5T*7W*35L)</v>
      </c>
      <c r="U241" s="1037">
        <f t="shared" si="42"/>
        <v>20000</v>
      </c>
      <c r="V241" s="1037">
        <f t="shared" si="42"/>
        <v>200000</v>
      </c>
      <c r="X241" s="355"/>
      <c r="Y241" s="355"/>
      <c r="Z241" s="355"/>
      <c r="AA241" s="355"/>
      <c r="AB241" s="355"/>
    </row>
    <row r="242" spans="1:28" ht="17.100000000000001" customHeight="1">
      <c r="A242" s="2316"/>
      <c r="B242" s="830">
        <v>31030194</v>
      </c>
      <c r="C242" s="837" t="s">
        <v>68</v>
      </c>
      <c r="D242" s="817" t="s">
        <v>32</v>
      </c>
      <c r="E242" s="2298"/>
      <c r="F242" s="2385"/>
      <c r="G242" s="831">
        <v>6</v>
      </c>
      <c r="H242" s="703">
        <f>부자재매입내역!AL151</f>
        <v>20000</v>
      </c>
      <c r="I242" s="979">
        <f t="shared" si="35"/>
        <v>120000</v>
      </c>
      <c r="J242" s="2118"/>
      <c r="K242" s="954"/>
      <c r="L242" s="869"/>
      <c r="R242" s="1035" t="s">
        <v>180</v>
      </c>
      <c r="S242" s="1038">
        <f>COUNTIF($R$3:R242,R242)</f>
        <v>17</v>
      </c>
      <c r="T242" s="1038" t="str">
        <f t="shared" si="47"/>
        <v>EPDM PAD (10T*4W*14L)</v>
      </c>
      <c r="U242" s="1037">
        <f t="shared" si="42"/>
        <v>20000</v>
      </c>
      <c r="V242" s="1037">
        <f t="shared" si="42"/>
        <v>120000</v>
      </c>
      <c r="X242" s="355"/>
      <c r="Y242" s="355"/>
      <c r="Z242" s="355"/>
      <c r="AA242" s="355"/>
      <c r="AB242" s="355"/>
    </row>
    <row r="243" spans="1:28" ht="17.100000000000001" customHeight="1">
      <c r="A243" s="2316"/>
      <c r="B243" s="834">
        <v>31030198</v>
      </c>
      <c r="C243" s="842" t="s">
        <v>383</v>
      </c>
      <c r="D243" s="817" t="s">
        <v>32</v>
      </c>
      <c r="E243" s="2298" t="s">
        <v>219</v>
      </c>
      <c r="F243" s="2385"/>
      <c r="G243" s="831">
        <v>10.3</v>
      </c>
      <c r="H243" s="703">
        <f>부자재매입내역!AL152</f>
        <v>0</v>
      </c>
      <c r="I243" s="979">
        <f t="shared" ref="I243:I248" si="51">G243*H243</f>
        <v>0</v>
      </c>
      <c r="J243" s="2118"/>
      <c r="K243" s="954"/>
      <c r="L243" s="869"/>
      <c r="R243" s="1035" t="s">
        <v>2016</v>
      </c>
      <c r="S243" s="1038">
        <f>COUNTIF($R$3:R243,R243)</f>
        <v>126</v>
      </c>
      <c r="T243" s="1038" t="str">
        <f t="shared" si="47"/>
        <v>EPDM PAD (4T*4W*30L)</v>
      </c>
      <c r="U243" s="1037">
        <f t="shared" si="42"/>
        <v>0</v>
      </c>
      <c r="V243" s="1037">
        <f t="shared" si="42"/>
        <v>0</v>
      </c>
      <c r="X243" s="355"/>
      <c r="Y243" s="355"/>
      <c r="Z243" s="355"/>
      <c r="AA243" s="355"/>
      <c r="AB243" s="355"/>
    </row>
    <row r="244" spans="1:28" ht="17.100000000000001" customHeight="1">
      <c r="A244" s="2316"/>
      <c r="B244" s="834"/>
      <c r="C244" s="842" t="s">
        <v>539</v>
      </c>
      <c r="D244" s="817" t="s">
        <v>32</v>
      </c>
      <c r="E244" s="2298"/>
      <c r="F244" s="2385"/>
      <c r="G244" s="831">
        <v>19.11</v>
      </c>
      <c r="H244" s="703">
        <f>부자재매입내역!AL153</f>
        <v>0</v>
      </c>
      <c r="I244" s="979">
        <f t="shared" si="51"/>
        <v>0</v>
      </c>
      <c r="J244" s="2118"/>
      <c r="K244" s="954"/>
      <c r="L244" s="869"/>
      <c r="R244" s="1035" t="s">
        <v>2016</v>
      </c>
      <c r="S244" s="1038">
        <f>COUNTIF($R$3:R244,R244)</f>
        <v>127</v>
      </c>
      <c r="T244" s="1038" t="str">
        <f t="shared" si="47"/>
        <v>EPDM PAD (6T*12W*45/56L)</v>
      </c>
      <c r="U244" s="1037">
        <f t="shared" si="42"/>
        <v>0</v>
      </c>
      <c r="V244" s="1037">
        <f t="shared" si="42"/>
        <v>0</v>
      </c>
      <c r="X244" s="355"/>
      <c r="Y244" s="355"/>
      <c r="Z244" s="355"/>
      <c r="AA244" s="355"/>
      <c r="AB244" s="355"/>
    </row>
    <row r="245" spans="1:28" ht="17.100000000000001" customHeight="1">
      <c r="A245" s="2316"/>
      <c r="B245" s="830">
        <v>31030219</v>
      </c>
      <c r="C245" s="837" t="s">
        <v>492</v>
      </c>
      <c r="D245" s="817" t="s">
        <v>32</v>
      </c>
      <c r="E245" s="2331" t="s">
        <v>71</v>
      </c>
      <c r="F245" s="2385"/>
      <c r="G245" s="831">
        <v>49</v>
      </c>
      <c r="H245" s="703">
        <f>부자재매입내역!AL156</f>
        <v>0</v>
      </c>
      <c r="I245" s="979">
        <f t="shared" si="51"/>
        <v>0</v>
      </c>
      <c r="J245" s="2118"/>
      <c r="K245" s="954"/>
      <c r="L245" s="869"/>
      <c r="R245" s="1035" t="s">
        <v>2016</v>
      </c>
      <c r="S245" s="1038">
        <f>COUNTIF($R$3:R245,R245)</f>
        <v>128</v>
      </c>
      <c r="T245" s="1038" t="str">
        <f t="shared" si="47"/>
        <v>EPDM PAD (10T*40W*30L)</v>
      </c>
      <c r="U245" s="1037">
        <f t="shared" si="42"/>
        <v>0</v>
      </c>
      <c r="V245" s="1037">
        <f t="shared" si="42"/>
        <v>0</v>
      </c>
      <c r="X245" s="355"/>
      <c r="Y245" s="355"/>
      <c r="Z245" s="355"/>
      <c r="AA245" s="355"/>
      <c r="AB245" s="355"/>
    </row>
    <row r="246" spans="1:28" ht="17.100000000000001" customHeight="1">
      <c r="A246" s="2316"/>
      <c r="B246" s="830">
        <v>31030209</v>
      </c>
      <c r="C246" s="837" t="s">
        <v>493</v>
      </c>
      <c r="D246" s="817" t="s">
        <v>32</v>
      </c>
      <c r="E246" s="2325"/>
      <c r="F246" s="2385"/>
      <c r="G246" s="831">
        <v>78.3</v>
      </c>
      <c r="H246" s="703">
        <f>부자재매입내역!AL157</f>
        <v>0</v>
      </c>
      <c r="I246" s="979">
        <f t="shared" si="51"/>
        <v>0</v>
      </c>
      <c r="J246" s="2118"/>
      <c r="K246" s="954"/>
      <c r="L246" s="869"/>
      <c r="R246" s="1035" t="s">
        <v>2016</v>
      </c>
      <c r="S246" s="1038">
        <f>COUNTIF($R$3:R246,R246)</f>
        <v>129</v>
      </c>
      <c r="T246" s="1038" t="str">
        <f t="shared" si="47"/>
        <v>EPDM PAD (10T*40W*70L)</v>
      </c>
      <c r="U246" s="1037">
        <f t="shared" si="42"/>
        <v>0</v>
      </c>
      <c r="V246" s="1037">
        <f t="shared" si="42"/>
        <v>0</v>
      </c>
      <c r="X246" s="355"/>
      <c r="Y246" s="355"/>
      <c r="Z246" s="355"/>
      <c r="AA246" s="355"/>
      <c r="AB246" s="355"/>
    </row>
    <row r="247" spans="1:28" ht="17.100000000000001" customHeight="1">
      <c r="A247" s="2316"/>
      <c r="B247" s="834">
        <v>31030038</v>
      </c>
      <c r="C247" s="835" t="s">
        <v>63</v>
      </c>
      <c r="D247" s="817" t="s">
        <v>32</v>
      </c>
      <c r="E247" s="2325"/>
      <c r="F247" s="2385"/>
      <c r="G247" s="831">
        <v>17.5</v>
      </c>
      <c r="H247" s="703">
        <f>부자재매입내역!AL154</f>
        <v>0</v>
      </c>
      <c r="I247" s="979">
        <f t="shared" si="51"/>
        <v>0</v>
      </c>
      <c r="J247" s="2118"/>
      <c r="K247" s="954"/>
      <c r="L247" s="869"/>
      <c r="R247" s="1035" t="s">
        <v>2016</v>
      </c>
      <c r="S247" s="1038">
        <f>COUNTIF($R$3:R247,R247)</f>
        <v>130</v>
      </c>
      <c r="T247" s="1038" t="str">
        <f t="shared" si="47"/>
        <v>EPDM PAD (10T*10W*40L)</v>
      </c>
      <c r="U247" s="1037">
        <f t="shared" si="42"/>
        <v>0</v>
      </c>
      <c r="V247" s="1037">
        <f t="shared" si="42"/>
        <v>0</v>
      </c>
      <c r="X247" s="355"/>
      <c r="Y247" s="355"/>
      <c r="Z247" s="355"/>
      <c r="AA247" s="355"/>
      <c r="AB247" s="355"/>
    </row>
    <row r="248" spans="1:28" ht="17.100000000000001" customHeight="1">
      <c r="A248" s="2316"/>
      <c r="B248" s="830">
        <v>31030220</v>
      </c>
      <c r="C248" s="837" t="s">
        <v>64</v>
      </c>
      <c r="D248" s="817" t="s">
        <v>32</v>
      </c>
      <c r="E248" s="2325"/>
      <c r="F248" s="2385"/>
      <c r="G248" s="831">
        <v>19.100000000000001</v>
      </c>
      <c r="H248" s="703">
        <f>부자재매입내역!AL155</f>
        <v>0</v>
      </c>
      <c r="I248" s="979">
        <f t="shared" si="51"/>
        <v>0</v>
      </c>
      <c r="J248" s="2118"/>
      <c r="K248" s="954"/>
      <c r="L248" s="869"/>
      <c r="R248" s="1035" t="s">
        <v>2016</v>
      </c>
      <c r="S248" s="1038">
        <f>COUNTIF($R$3:R248,R248)</f>
        <v>131</v>
      </c>
      <c r="T248" s="1038" t="str">
        <f t="shared" si="47"/>
        <v>EPDM PAD (10T*15W*20L)</v>
      </c>
      <c r="U248" s="1037">
        <f t="shared" si="42"/>
        <v>0</v>
      </c>
      <c r="V248" s="1037">
        <f t="shared" si="42"/>
        <v>0</v>
      </c>
      <c r="X248" s="355"/>
      <c r="Y248" s="355"/>
      <c r="Z248" s="355"/>
      <c r="AA248" s="355"/>
      <c r="AB248" s="355"/>
    </row>
    <row r="249" spans="1:28" ht="17.100000000000001" customHeight="1">
      <c r="A249" s="2316"/>
      <c r="B249" s="838">
        <v>31030236</v>
      </c>
      <c r="C249" s="839" t="s">
        <v>65</v>
      </c>
      <c r="D249" s="833" t="s">
        <v>32</v>
      </c>
      <c r="E249" s="2325"/>
      <c r="F249" s="2385"/>
      <c r="G249" s="840">
        <v>13.5</v>
      </c>
      <c r="H249" s="703">
        <f>부자재매입내역!AL158</f>
        <v>0</v>
      </c>
      <c r="I249" s="979">
        <f t="shared" si="35"/>
        <v>0</v>
      </c>
      <c r="J249" s="2118"/>
      <c r="K249" s="954"/>
      <c r="L249" s="869"/>
      <c r="R249" s="1035" t="s">
        <v>2016</v>
      </c>
      <c r="S249" s="1038">
        <f>COUNTIF($R$3:R249,R249)</f>
        <v>132</v>
      </c>
      <c r="T249" s="1038" t="str">
        <f t="shared" si="47"/>
        <v>NBR PAD (2x6x115)</v>
      </c>
      <c r="U249" s="1037">
        <f t="shared" si="42"/>
        <v>0</v>
      </c>
      <c r="V249" s="1037">
        <f t="shared" si="42"/>
        <v>0</v>
      </c>
      <c r="X249" s="355"/>
      <c r="Y249" s="355"/>
      <c r="Z249" s="355"/>
      <c r="AA249" s="355"/>
      <c r="AB249" s="355"/>
    </row>
    <row r="250" spans="1:28" ht="17.100000000000001" customHeight="1">
      <c r="A250" s="2316"/>
      <c r="B250" s="834">
        <v>31030237</v>
      </c>
      <c r="C250" s="835" t="s">
        <v>66</v>
      </c>
      <c r="D250" s="826" t="s">
        <v>32</v>
      </c>
      <c r="E250" s="2325"/>
      <c r="F250" s="2385"/>
      <c r="G250" s="836">
        <v>10.6</v>
      </c>
      <c r="H250" s="710">
        <f>부자재매입내역!AL159</f>
        <v>0</v>
      </c>
      <c r="I250" s="980">
        <f t="shared" si="35"/>
        <v>0</v>
      </c>
      <c r="J250" s="2118"/>
      <c r="K250" s="954"/>
      <c r="L250" s="869"/>
      <c r="R250" s="1035" t="s">
        <v>2016</v>
      </c>
      <c r="S250" s="1038">
        <f>COUNTIF($R$3:R250,R250)</f>
        <v>133</v>
      </c>
      <c r="T250" s="1038" t="str">
        <f t="shared" si="47"/>
        <v>NBR PAD (2x6x85)</v>
      </c>
      <c r="U250" s="1037">
        <f t="shared" si="42"/>
        <v>0</v>
      </c>
      <c r="V250" s="1037">
        <f t="shared" si="42"/>
        <v>0</v>
      </c>
      <c r="X250" s="355"/>
      <c r="Y250" s="355"/>
      <c r="Z250" s="355"/>
      <c r="AA250" s="355"/>
      <c r="AB250" s="355"/>
    </row>
    <row r="251" spans="1:28" ht="17.100000000000001" customHeight="1" thickBot="1">
      <c r="A251" s="2317"/>
      <c r="B251" s="834">
        <v>31030701</v>
      </c>
      <c r="C251" s="835" t="s">
        <v>714</v>
      </c>
      <c r="D251" s="826" t="s">
        <v>32</v>
      </c>
      <c r="E251" s="1206" t="s">
        <v>703</v>
      </c>
      <c r="F251" s="2385"/>
      <c r="G251" s="836">
        <v>45</v>
      </c>
      <c r="H251" s="710">
        <f>부자재매입내역!AL149</f>
        <v>66000</v>
      </c>
      <c r="I251" s="980">
        <f t="shared" si="35"/>
        <v>2970000</v>
      </c>
      <c r="J251" s="2118"/>
      <c r="K251" s="954"/>
      <c r="L251" s="869"/>
      <c r="R251" s="1035" t="s">
        <v>2016</v>
      </c>
      <c r="S251" s="1038">
        <f>COUNTIF($R$3:R251,R251)</f>
        <v>134</v>
      </c>
      <c r="T251" s="1038" t="str">
        <f t="shared" si="47"/>
        <v>EPDM PAD (5T*40W*70L) T형 패드</v>
      </c>
      <c r="U251" s="1037">
        <f t="shared" si="42"/>
        <v>66000</v>
      </c>
      <c r="V251" s="1037">
        <f t="shared" si="42"/>
        <v>2970000</v>
      </c>
      <c r="X251" s="355"/>
      <c r="Y251" s="355"/>
      <c r="Z251" s="355"/>
      <c r="AA251" s="355"/>
      <c r="AB251" s="355"/>
    </row>
    <row r="252" spans="1:28" ht="17.100000000000001" customHeight="1">
      <c r="A252" s="2315" t="s">
        <v>934</v>
      </c>
      <c r="B252" s="843"/>
      <c r="C252" s="841" t="s">
        <v>681</v>
      </c>
      <c r="D252" s="814" t="s">
        <v>32</v>
      </c>
      <c r="E252" s="2324" t="s">
        <v>57</v>
      </c>
      <c r="F252" s="2382" t="s">
        <v>533</v>
      </c>
      <c r="G252" s="844">
        <v>20000</v>
      </c>
      <c r="H252" s="707">
        <f>부자재매입내역!AL160</f>
        <v>0</v>
      </c>
      <c r="I252" s="982">
        <f>G252*H252</f>
        <v>0</v>
      </c>
      <c r="J252" s="2156">
        <f>SUM(I252:I258)</f>
        <v>1450000</v>
      </c>
      <c r="K252" s="955">
        <v>0</v>
      </c>
      <c r="L252" s="930">
        <f>J252-K252</f>
        <v>1450000</v>
      </c>
      <c r="R252" s="1035" t="s">
        <v>83</v>
      </c>
      <c r="S252" s="1038">
        <f>COUNTIF($R$3:R252,R252)</f>
        <v>30</v>
      </c>
      <c r="T252" s="1038" t="str">
        <f t="shared" si="47"/>
        <v>TIP SAW 연마</v>
      </c>
      <c r="U252" s="1037">
        <f t="shared" si="42"/>
        <v>0</v>
      </c>
      <c r="V252" s="1037">
        <f t="shared" si="42"/>
        <v>0</v>
      </c>
      <c r="X252" s="355"/>
      <c r="Y252" s="355"/>
      <c r="Z252" s="355"/>
      <c r="AA252" s="355"/>
      <c r="AB252" s="355"/>
    </row>
    <row r="253" spans="1:28" ht="17.100000000000001" customHeight="1">
      <c r="A253" s="2320"/>
      <c r="B253" s="830"/>
      <c r="C253" s="837" t="s">
        <v>682</v>
      </c>
      <c r="D253" s="817" t="s">
        <v>32</v>
      </c>
      <c r="E253" s="2325"/>
      <c r="F253" s="2383"/>
      <c r="G253" s="845">
        <v>2000</v>
      </c>
      <c r="H253" s="703">
        <f>부자재매입내역!AL161</f>
        <v>0</v>
      </c>
      <c r="I253" s="975">
        <f>G253*H253</f>
        <v>0</v>
      </c>
      <c r="J253" s="2157"/>
      <c r="K253" s="954"/>
      <c r="L253" s="931"/>
      <c r="R253" s="1035" t="s">
        <v>83</v>
      </c>
      <c r="S253" s="1038">
        <f>COUNTIF($R$3:R253,R253)</f>
        <v>31</v>
      </c>
      <c r="T253" s="1038" t="str">
        <f t="shared" si="47"/>
        <v>TIP SAW 수리</v>
      </c>
      <c r="U253" s="1037">
        <f t="shared" si="42"/>
        <v>0</v>
      </c>
      <c r="V253" s="1037">
        <f t="shared" si="42"/>
        <v>0</v>
      </c>
      <c r="X253" s="355"/>
      <c r="Y253" s="355"/>
      <c r="Z253" s="355"/>
      <c r="AA253" s="355"/>
      <c r="AB253" s="355"/>
    </row>
    <row r="254" spans="1:28" ht="17.100000000000001" customHeight="1">
      <c r="A254" s="2320"/>
      <c r="B254" s="846">
        <v>80470018</v>
      </c>
      <c r="C254" s="847" t="s">
        <v>384</v>
      </c>
      <c r="D254" s="817" t="s">
        <v>32</v>
      </c>
      <c r="E254" s="2325"/>
      <c r="F254" s="2383"/>
      <c r="G254" s="818">
        <v>85000</v>
      </c>
      <c r="H254" s="703">
        <f>부자재매입내역!AL162</f>
        <v>0</v>
      </c>
      <c r="I254" s="975">
        <f t="shared" si="35"/>
        <v>0</v>
      </c>
      <c r="J254" s="2157"/>
      <c r="K254" s="954"/>
      <c r="L254" s="931"/>
      <c r="R254" s="1035" t="s">
        <v>83</v>
      </c>
      <c r="S254" s="1038">
        <f>COUNTIF($R$3:R254,R254)</f>
        <v>32</v>
      </c>
      <c r="T254" s="1038" t="str">
        <f t="shared" si="47"/>
        <v>WC CUTTER(초경톱날)</v>
      </c>
      <c r="U254" s="1037">
        <f t="shared" si="42"/>
        <v>0</v>
      </c>
      <c r="V254" s="1037">
        <f t="shared" si="42"/>
        <v>0</v>
      </c>
      <c r="X254" s="355"/>
      <c r="Y254" s="355"/>
      <c r="Z254" s="355"/>
      <c r="AA254" s="355"/>
      <c r="AB254" s="355"/>
    </row>
    <row r="255" spans="1:28" ht="17.100000000000001" customHeight="1">
      <c r="A255" s="2320"/>
      <c r="B255" s="848"/>
      <c r="C255" s="849" t="s">
        <v>607</v>
      </c>
      <c r="D255" s="817" t="s">
        <v>32</v>
      </c>
      <c r="E255" s="2325"/>
      <c r="F255" s="2383"/>
      <c r="G255" s="827">
        <v>145000</v>
      </c>
      <c r="H255" s="710">
        <f>부자재매입내역!AL163</f>
        <v>0</v>
      </c>
      <c r="I255" s="983">
        <f t="shared" si="35"/>
        <v>0</v>
      </c>
      <c r="J255" s="2157"/>
      <c r="K255" s="954"/>
      <c r="L255" s="931"/>
      <c r="R255" s="1035" t="s">
        <v>83</v>
      </c>
      <c r="S255" s="1038">
        <f>COUNTIF($R$3:R255,R255)</f>
        <v>33</v>
      </c>
      <c r="T255" s="1038" t="str">
        <f t="shared" si="47"/>
        <v>신품 254*100*2.2*RA*25.4</v>
      </c>
      <c r="U255" s="1037">
        <f t="shared" ref="U255:V276" si="52">H255</f>
        <v>0</v>
      </c>
      <c r="V255" s="1037">
        <f t="shared" si="52"/>
        <v>0</v>
      </c>
      <c r="X255" s="355"/>
      <c r="Y255" s="355"/>
      <c r="Z255" s="355"/>
      <c r="AA255" s="355"/>
      <c r="AB255" s="355"/>
    </row>
    <row r="256" spans="1:28" ht="17.100000000000001" customHeight="1">
      <c r="A256" s="2320"/>
      <c r="B256" s="848"/>
      <c r="C256" s="847" t="s">
        <v>689</v>
      </c>
      <c r="D256" s="817" t="s">
        <v>32</v>
      </c>
      <c r="E256" s="2325"/>
      <c r="F256" s="2383"/>
      <c r="G256" s="827">
        <v>180000</v>
      </c>
      <c r="H256" s="710">
        <f>부자재매입내역!AL164</f>
        <v>0</v>
      </c>
      <c r="I256" s="983">
        <f t="shared" si="35"/>
        <v>0</v>
      </c>
      <c r="J256" s="2157"/>
      <c r="K256" s="954"/>
      <c r="L256" s="931"/>
      <c r="R256" s="1035" t="s">
        <v>83</v>
      </c>
      <c r="S256" s="1038">
        <f>COUNTIF($R$3:R256,R256)</f>
        <v>34</v>
      </c>
      <c r="T256" s="1038" t="str">
        <f t="shared" si="47"/>
        <v>다이아톱</v>
      </c>
      <c r="U256" s="1037">
        <f t="shared" si="52"/>
        <v>0</v>
      </c>
      <c r="V256" s="1037">
        <f t="shared" si="52"/>
        <v>0</v>
      </c>
      <c r="X256" s="355"/>
      <c r="Y256" s="355"/>
      <c r="Z256" s="355"/>
      <c r="AA256" s="355"/>
      <c r="AB256" s="355"/>
    </row>
    <row r="257" spans="1:46" ht="17.100000000000001" customHeight="1">
      <c r="A257" s="2320"/>
      <c r="B257" s="848"/>
      <c r="C257" s="849" t="s">
        <v>691</v>
      </c>
      <c r="D257" s="817" t="s">
        <v>32</v>
      </c>
      <c r="E257" s="2325"/>
      <c r="F257" s="2383"/>
      <c r="G257" s="827">
        <v>85000</v>
      </c>
      <c r="H257" s="710">
        <f>부자재매입내역!AL165</f>
        <v>0</v>
      </c>
      <c r="I257" s="983">
        <f t="shared" si="35"/>
        <v>0</v>
      </c>
      <c r="J257" s="2157"/>
      <c r="K257" s="954"/>
      <c r="L257" s="931"/>
      <c r="R257" s="1035" t="s">
        <v>83</v>
      </c>
      <c r="S257" s="1038">
        <f>COUNTIF($R$3:R257,R257)</f>
        <v>35</v>
      </c>
      <c r="T257" s="1038" t="str">
        <f t="shared" si="47"/>
        <v>신품 254*100*2.2*HT*25.4</v>
      </c>
      <c r="U257" s="1037">
        <f t="shared" si="52"/>
        <v>0</v>
      </c>
      <c r="V257" s="1037">
        <f t="shared" si="52"/>
        <v>0</v>
      </c>
      <c r="X257" s="355"/>
      <c r="Y257" s="355"/>
      <c r="Z257" s="355"/>
      <c r="AA257" s="355"/>
      <c r="AB257" s="355"/>
    </row>
    <row r="258" spans="1:46" ht="15.75" customHeight="1" thickBot="1">
      <c r="A258" s="2321"/>
      <c r="B258" s="850"/>
      <c r="C258" s="851" t="s">
        <v>693</v>
      </c>
      <c r="D258" s="817" t="s">
        <v>32</v>
      </c>
      <c r="E258" s="2326"/>
      <c r="F258" s="2384"/>
      <c r="G258" s="820">
        <v>145000</v>
      </c>
      <c r="H258" s="709">
        <f>부자재매입내역!AL166</f>
        <v>10</v>
      </c>
      <c r="I258" s="976">
        <f t="shared" si="35"/>
        <v>1450000</v>
      </c>
      <c r="J258" s="2158"/>
      <c r="K258" s="956"/>
      <c r="L258" s="932"/>
      <c r="R258" s="1035" t="s">
        <v>83</v>
      </c>
      <c r="S258" s="1038">
        <f>COUNTIF($R$3:R258,R258)</f>
        <v>36</v>
      </c>
      <c r="T258" s="1038" t="str">
        <f t="shared" si="47"/>
        <v>신품 254*100*2.2*HT*25.4(S)</v>
      </c>
      <c r="U258" s="1037">
        <f t="shared" si="52"/>
        <v>10</v>
      </c>
      <c r="V258" s="1037">
        <f t="shared" si="52"/>
        <v>1450000</v>
      </c>
      <c r="X258" s="355"/>
      <c r="Y258" s="355"/>
      <c r="Z258" s="355"/>
      <c r="AA258" s="355"/>
      <c r="AB258" s="355"/>
      <c r="AE258" s="253"/>
    </row>
    <row r="259" spans="1:46" ht="17.100000000000001" customHeight="1">
      <c r="A259" s="2301" t="s">
        <v>386</v>
      </c>
      <c r="B259" s="803">
        <v>172601634</v>
      </c>
      <c r="C259" s="795" t="s">
        <v>387</v>
      </c>
      <c r="D259" s="266" t="s">
        <v>388</v>
      </c>
      <c r="E259" s="911"/>
      <c r="F259" s="2309" t="s">
        <v>892</v>
      </c>
      <c r="G259" s="796">
        <v>577200</v>
      </c>
      <c r="H259" s="708">
        <f>부자재매입내역!AL167</f>
        <v>0</v>
      </c>
      <c r="I259" s="978">
        <f t="shared" si="35"/>
        <v>0</v>
      </c>
      <c r="J259" s="2078">
        <f>SUM(I259:I271)</f>
        <v>2796880</v>
      </c>
      <c r="K259" s="957">
        <v>1617940</v>
      </c>
      <c r="L259" s="924">
        <f>J259-K259</f>
        <v>1178940</v>
      </c>
      <c r="R259" s="1035" t="s">
        <v>83</v>
      </c>
      <c r="S259" s="1038">
        <f>COUNTIF($R$3:R259,R259)</f>
        <v>37</v>
      </c>
      <c r="T259" s="1038" t="str">
        <f t="shared" si="47"/>
        <v>케미록 휠타지</v>
      </c>
      <c r="U259" s="1037">
        <f t="shared" si="52"/>
        <v>0</v>
      </c>
      <c r="V259" s="1037">
        <f t="shared" si="52"/>
        <v>0</v>
      </c>
      <c r="X259" s="355"/>
      <c r="Y259" s="355"/>
      <c r="Z259" s="355"/>
      <c r="AA259" s="355"/>
      <c r="AB259" s="355"/>
    </row>
    <row r="260" spans="1:46" ht="17.100000000000001" customHeight="1">
      <c r="A260" s="2302"/>
      <c r="B260" s="804" t="s">
        <v>555</v>
      </c>
      <c r="C260" s="797" t="s">
        <v>556</v>
      </c>
      <c r="D260" s="264" t="s">
        <v>838</v>
      </c>
      <c r="E260" s="773" t="s">
        <v>390</v>
      </c>
      <c r="F260" s="2310"/>
      <c r="G260" s="703">
        <v>85740</v>
      </c>
      <c r="H260" s="703">
        <f>부자재매입내역!AL168</f>
        <v>4</v>
      </c>
      <c r="I260" s="978">
        <f t="shared" si="35"/>
        <v>342960</v>
      </c>
      <c r="J260" s="2079"/>
      <c r="K260" s="958"/>
      <c r="L260" s="925"/>
      <c r="M260" s="253"/>
      <c r="N260" s="253"/>
      <c r="O260" s="253"/>
      <c r="P260" s="253"/>
      <c r="Q260" s="253"/>
      <c r="R260" s="1035" t="s">
        <v>83</v>
      </c>
      <c r="S260" s="1038">
        <f>COUNTIF($R$3:R260,R260)</f>
        <v>38</v>
      </c>
      <c r="T260" s="1038" t="str">
        <f t="shared" si="47"/>
        <v>접착제 SC-P-1512</v>
      </c>
      <c r="U260" s="1037">
        <f t="shared" si="52"/>
        <v>4</v>
      </c>
      <c r="V260" s="1037">
        <f t="shared" si="52"/>
        <v>342960</v>
      </c>
      <c r="W260" s="253"/>
      <c r="X260" s="355"/>
      <c r="Y260" s="355"/>
      <c r="Z260" s="355"/>
      <c r="AA260" s="355"/>
      <c r="AB260" s="355"/>
      <c r="AC260" s="253"/>
      <c r="AF260" s="253"/>
      <c r="AG260" s="253"/>
      <c r="AH260" s="253"/>
      <c r="AI260" s="253"/>
      <c r="AJ260" s="253"/>
      <c r="AK260" s="253"/>
      <c r="AL260" s="253"/>
      <c r="AM260" s="253"/>
      <c r="AN260" s="253"/>
    </row>
    <row r="261" spans="1:46" ht="17.100000000000001" customHeight="1">
      <c r="A261" s="2302"/>
      <c r="B261" s="805" t="s">
        <v>558</v>
      </c>
      <c r="C261" s="797" t="s">
        <v>559</v>
      </c>
      <c r="D261" s="264" t="s">
        <v>839</v>
      </c>
      <c r="E261" s="773" t="s">
        <v>391</v>
      </c>
      <c r="F261" s="2310"/>
      <c r="G261" s="703">
        <v>60700</v>
      </c>
      <c r="H261" s="703">
        <f>부자재매입내역!AL169</f>
        <v>0</v>
      </c>
      <c r="I261" s="978">
        <f t="shared" si="35"/>
        <v>0</v>
      </c>
      <c r="J261" s="2079"/>
      <c r="K261" s="958"/>
      <c r="L261" s="925"/>
      <c r="R261" s="1035" t="s">
        <v>83</v>
      </c>
      <c r="S261" s="1038">
        <f>COUNTIF($R$3:R261,R261)</f>
        <v>39</v>
      </c>
      <c r="T261" s="1038" t="str">
        <f t="shared" si="47"/>
        <v>BOND SC-H-50</v>
      </c>
      <c r="U261" s="1037">
        <f t="shared" si="52"/>
        <v>0</v>
      </c>
      <c r="V261" s="1037">
        <f t="shared" si="52"/>
        <v>0</v>
      </c>
      <c r="X261" s="355"/>
      <c r="Y261" s="355"/>
      <c r="Z261" s="355"/>
      <c r="AA261" s="355"/>
      <c r="AB261" s="355"/>
    </row>
    <row r="262" spans="1:46" ht="16.2" customHeight="1">
      <c r="A262" s="2302"/>
      <c r="B262" s="806" t="s">
        <v>561</v>
      </c>
      <c r="C262" s="798" t="s">
        <v>562</v>
      </c>
      <c r="D262" s="264" t="s">
        <v>840</v>
      </c>
      <c r="E262" s="773" t="s">
        <v>392</v>
      </c>
      <c r="F262" s="2310"/>
      <c r="G262" s="703">
        <v>118280</v>
      </c>
      <c r="H262" s="703">
        <f>부자재매입내역!AL170</f>
        <v>4</v>
      </c>
      <c r="I262" s="978">
        <f t="shared" si="35"/>
        <v>473120</v>
      </c>
      <c r="J262" s="2079"/>
      <c r="K262" s="958"/>
      <c r="L262" s="925"/>
      <c r="R262" s="1035" t="s">
        <v>83</v>
      </c>
      <c r="S262" s="1038">
        <f>COUNTIF($R$3:R262,R262)</f>
        <v>40</v>
      </c>
      <c r="T262" s="1038" t="str">
        <f t="shared" si="47"/>
        <v>SC-B-4550</v>
      </c>
      <c r="U262" s="1037">
        <f t="shared" si="52"/>
        <v>4</v>
      </c>
      <c r="V262" s="1037">
        <f t="shared" si="52"/>
        <v>473120</v>
      </c>
      <c r="X262" s="355"/>
      <c r="Y262" s="355"/>
      <c r="Z262" s="355"/>
      <c r="AA262" s="355"/>
      <c r="AB262" s="355"/>
    </row>
    <row r="263" spans="1:46" ht="17.100000000000001" customHeight="1">
      <c r="A263" s="2302"/>
      <c r="B263" s="808">
        <v>221600161</v>
      </c>
      <c r="C263" s="799" t="s">
        <v>393</v>
      </c>
      <c r="D263" s="264" t="s">
        <v>394</v>
      </c>
      <c r="E263" s="1438" t="s">
        <v>684</v>
      </c>
      <c r="F263" s="2310"/>
      <c r="G263" s="710">
        <v>218400</v>
      </c>
      <c r="H263" s="703">
        <f>부자재매입내역!AL171</f>
        <v>0</v>
      </c>
      <c r="I263" s="978">
        <f t="shared" ref="I263:I312" si="53">G263*H263</f>
        <v>0</v>
      </c>
      <c r="J263" s="2079"/>
      <c r="K263" s="958"/>
      <c r="L263" s="925"/>
      <c r="P263" s="1051"/>
      <c r="Q263" s="1051"/>
      <c r="R263" s="1048" t="s">
        <v>2017</v>
      </c>
      <c r="S263" s="1049">
        <f>COUNTIF($R$3:R263,R263)</f>
        <v>135</v>
      </c>
      <c r="T263" s="1049" t="str">
        <f t="shared" si="47"/>
        <v>이형제 800-NC</v>
      </c>
      <c r="U263" s="1050">
        <f t="shared" si="52"/>
        <v>0</v>
      </c>
      <c r="V263" s="1050">
        <f t="shared" si="52"/>
        <v>0</v>
      </c>
      <c r="W263" s="1052"/>
      <c r="X263" s="355"/>
      <c r="Y263" s="355"/>
      <c r="Z263" s="355"/>
      <c r="AA263" s="355"/>
      <c r="AB263" s="355"/>
      <c r="AE263" s="277"/>
    </row>
    <row r="264" spans="1:46" ht="17.100000000000001" customHeight="1">
      <c r="A264" s="2302"/>
      <c r="B264" s="807">
        <v>231408400</v>
      </c>
      <c r="C264" s="798" t="s">
        <v>396</v>
      </c>
      <c r="D264" s="264" t="s">
        <v>47</v>
      </c>
      <c r="E264" s="1438"/>
      <c r="F264" s="2310"/>
      <c r="G264" s="710">
        <v>63000</v>
      </c>
      <c r="H264" s="703">
        <f>부자재매입내역!AL175</f>
        <v>0</v>
      </c>
      <c r="I264" s="978">
        <f t="shared" si="53"/>
        <v>0</v>
      </c>
      <c r="J264" s="2079"/>
      <c r="K264" s="958"/>
      <c r="L264" s="925"/>
      <c r="R264" s="1035" t="s">
        <v>83</v>
      </c>
      <c r="S264" s="1038">
        <f>COUNTIF($R$3:R264,R264)</f>
        <v>41</v>
      </c>
      <c r="T264" s="1038" t="str">
        <f t="shared" si="47"/>
        <v>절단가위 SX-10</v>
      </c>
      <c r="U264" s="1037">
        <f t="shared" si="52"/>
        <v>0</v>
      </c>
      <c r="V264" s="1037">
        <f t="shared" si="52"/>
        <v>0</v>
      </c>
      <c r="X264" s="355"/>
      <c r="Y264" s="355"/>
      <c r="Z264" s="355"/>
      <c r="AA264" s="355"/>
      <c r="AB264" s="355"/>
    </row>
    <row r="265" spans="1:46" ht="17.100000000000001" customHeight="1">
      <c r="A265" s="2302"/>
      <c r="B265" s="807">
        <v>121200148</v>
      </c>
      <c r="C265" s="798" t="s">
        <v>397</v>
      </c>
      <c r="D265" s="264" t="s">
        <v>47</v>
      </c>
      <c r="E265" s="1438"/>
      <c r="F265" s="2310"/>
      <c r="G265" s="710">
        <v>25000</v>
      </c>
      <c r="H265" s="703">
        <f>부자재매입내역!AL176</f>
        <v>0</v>
      </c>
      <c r="I265" s="978">
        <f t="shared" si="53"/>
        <v>0</v>
      </c>
      <c r="J265" s="2079"/>
      <c r="K265" s="958"/>
      <c r="L265" s="925"/>
      <c r="M265" s="277"/>
      <c r="N265" s="277"/>
      <c r="O265" s="277"/>
      <c r="P265" s="277"/>
      <c r="Q265" s="277"/>
      <c r="R265" s="1035" t="s">
        <v>83</v>
      </c>
      <c r="S265" s="1038">
        <f>COUNTIF($R$3:R265,R265)</f>
        <v>42</v>
      </c>
      <c r="T265" s="1038" t="str">
        <f t="shared" si="47"/>
        <v>절단가위 날 SX-10</v>
      </c>
      <c r="U265" s="1037">
        <f t="shared" si="52"/>
        <v>0</v>
      </c>
      <c r="V265" s="1037">
        <f t="shared" si="52"/>
        <v>0</v>
      </c>
      <c r="W265" s="277"/>
      <c r="X265" s="355"/>
      <c r="Y265" s="355"/>
      <c r="Z265" s="355"/>
      <c r="AA265" s="355"/>
      <c r="AB265" s="355"/>
      <c r="AC265" s="277"/>
      <c r="AF265" s="277"/>
      <c r="AG265" s="277"/>
      <c r="AH265" s="277"/>
      <c r="AI265" s="277"/>
      <c r="AJ265" s="277"/>
      <c r="AK265" s="277"/>
      <c r="AL265" s="277"/>
      <c r="AM265" s="277"/>
      <c r="AN265" s="277"/>
      <c r="AT265" s="250"/>
    </row>
    <row r="266" spans="1:46" ht="17.100000000000001" customHeight="1">
      <c r="A266" s="2302"/>
      <c r="B266" s="807">
        <v>121700237</v>
      </c>
      <c r="C266" s="798" t="s">
        <v>398</v>
      </c>
      <c r="D266" s="264" t="s">
        <v>47</v>
      </c>
      <c r="E266" s="1438"/>
      <c r="F266" s="2310"/>
      <c r="G266" s="710">
        <v>2000</v>
      </c>
      <c r="H266" s="703">
        <f>부자재매입내역!AL177</f>
        <v>0</v>
      </c>
      <c r="I266" s="978">
        <f t="shared" si="53"/>
        <v>0</v>
      </c>
      <c r="J266" s="2079"/>
      <c r="K266" s="958"/>
      <c r="L266" s="925"/>
      <c r="R266" s="1035" t="s">
        <v>83</v>
      </c>
      <c r="S266" s="1038">
        <f>COUNTIF($R$3:R266,R266)</f>
        <v>43</v>
      </c>
      <c r="T266" s="1038" t="str">
        <f t="shared" si="47"/>
        <v>절단가위 수지판 SX-10</v>
      </c>
      <c r="U266" s="1037">
        <f t="shared" si="52"/>
        <v>0</v>
      </c>
      <c r="V266" s="1037">
        <f t="shared" si="52"/>
        <v>0</v>
      </c>
      <c r="X266" s="355"/>
      <c r="Y266" s="355"/>
      <c r="Z266" s="355"/>
      <c r="AA266" s="355"/>
      <c r="AB266" s="355"/>
    </row>
    <row r="267" spans="1:46" ht="17.100000000000001" customHeight="1">
      <c r="A267" s="2302"/>
      <c r="B267" s="809" t="s">
        <v>899</v>
      </c>
      <c r="C267" s="800" t="s">
        <v>900</v>
      </c>
      <c r="D267" s="264" t="s">
        <v>47</v>
      </c>
      <c r="E267" s="1438"/>
      <c r="F267" s="2310"/>
      <c r="G267" s="710">
        <v>21200</v>
      </c>
      <c r="H267" s="703">
        <f>부자재매입내역!AL178</f>
        <v>0</v>
      </c>
      <c r="I267" s="978">
        <f t="shared" si="53"/>
        <v>0</v>
      </c>
      <c r="J267" s="2079"/>
      <c r="K267" s="958"/>
      <c r="L267" s="925"/>
      <c r="R267" s="1035" t="s">
        <v>83</v>
      </c>
      <c r="S267" s="1038">
        <f>COUNTIF($R$3:R267,R267)</f>
        <v>44</v>
      </c>
      <c r="T267" s="1038" t="str">
        <f t="shared" si="47"/>
        <v>정공가위</v>
      </c>
      <c r="U267" s="1037">
        <f t="shared" si="52"/>
        <v>0</v>
      </c>
      <c r="V267" s="1037">
        <f t="shared" si="52"/>
        <v>0</v>
      </c>
      <c r="X267" s="355"/>
      <c r="Y267" s="355"/>
      <c r="Z267" s="355"/>
      <c r="AA267" s="355"/>
      <c r="AB267" s="355"/>
    </row>
    <row r="268" spans="1:46" ht="17.100000000000001" customHeight="1">
      <c r="A268" s="2302"/>
      <c r="B268" s="809">
        <v>221501043</v>
      </c>
      <c r="C268" s="800" t="s">
        <v>534</v>
      </c>
      <c r="D268" s="264" t="s">
        <v>32</v>
      </c>
      <c r="E268" s="1438" t="s">
        <v>685</v>
      </c>
      <c r="F268" s="2310"/>
      <c r="G268" s="703">
        <v>1400</v>
      </c>
      <c r="H268" s="703">
        <f>부자재매입내역!AL179</f>
        <v>360</v>
      </c>
      <c r="I268" s="978">
        <f t="shared" si="53"/>
        <v>504000</v>
      </c>
      <c r="J268" s="2079"/>
      <c r="K268" s="958"/>
      <c r="L268" s="925"/>
      <c r="R268" s="1035" t="s">
        <v>2016</v>
      </c>
      <c r="S268" s="1038">
        <f>COUNTIF($R$3:R268,R268)</f>
        <v>136</v>
      </c>
      <c r="T268" s="1038" t="str">
        <f t="shared" si="47"/>
        <v>순간접착제 OS-252</v>
      </c>
      <c r="U268" s="1037">
        <f t="shared" si="52"/>
        <v>360</v>
      </c>
      <c r="V268" s="1037">
        <f t="shared" si="52"/>
        <v>504000</v>
      </c>
      <c r="X268" s="355"/>
      <c r="Y268" s="355"/>
      <c r="Z268" s="355"/>
      <c r="AA268" s="355"/>
      <c r="AB268" s="355"/>
    </row>
    <row r="269" spans="1:46" ht="17.100000000000001" customHeight="1">
      <c r="A269" s="2302"/>
      <c r="B269" s="810" t="s">
        <v>1146</v>
      </c>
      <c r="C269" s="800" t="s">
        <v>1275</v>
      </c>
      <c r="D269" s="264" t="s">
        <v>32</v>
      </c>
      <c r="E269" s="912"/>
      <c r="F269" s="2310"/>
      <c r="G269" s="708">
        <v>218400</v>
      </c>
      <c r="H269" s="703">
        <f>부자재매입내역!AL180</f>
        <v>2</v>
      </c>
      <c r="I269" s="978">
        <f t="shared" si="53"/>
        <v>436800</v>
      </c>
      <c r="J269" s="2079"/>
      <c r="K269" s="958"/>
      <c r="L269" s="925"/>
      <c r="R269" s="1035" t="s">
        <v>83</v>
      </c>
      <c r="S269" s="1038">
        <f>COUNTIF($R$3:R269,R269)</f>
        <v>45</v>
      </c>
      <c r="T269" s="1038" t="str">
        <f t="shared" si="47"/>
        <v>스리본드 방청제 1521B 3kg</v>
      </c>
      <c r="U269" s="1037">
        <f t="shared" si="52"/>
        <v>2</v>
      </c>
      <c r="V269" s="1037">
        <f t="shared" si="52"/>
        <v>436800</v>
      </c>
      <c r="X269" s="355"/>
      <c r="Y269" s="355"/>
      <c r="Z269" s="355"/>
      <c r="AA269" s="355"/>
      <c r="AB269" s="355"/>
    </row>
    <row r="270" spans="1:46" ht="17.100000000000001" customHeight="1">
      <c r="A270" s="2302"/>
      <c r="B270" s="320">
        <v>221600160</v>
      </c>
      <c r="C270" s="500" t="s">
        <v>629</v>
      </c>
      <c r="D270" s="264" t="s">
        <v>389</v>
      </c>
      <c r="E270" s="1439" t="s">
        <v>1532</v>
      </c>
      <c r="F270" s="2310"/>
      <c r="G270" s="708">
        <v>260000</v>
      </c>
      <c r="H270" s="703">
        <f>부자재매입내역!AL181</f>
        <v>4</v>
      </c>
      <c r="I270" s="979">
        <f t="shared" si="53"/>
        <v>1040000</v>
      </c>
      <c r="J270" s="2079"/>
      <c r="K270" s="958"/>
      <c r="L270" s="925"/>
      <c r="P270" s="1051">
        <v>0.3</v>
      </c>
      <c r="Q270" s="1051">
        <v>0.7</v>
      </c>
      <c r="R270" s="1048" t="s">
        <v>2025</v>
      </c>
      <c r="S270" s="1038">
        <f>COUNTIF($R$3:R270,R270)</f>
        <v>1</v>
      </c>
      <c r="T270" s="1038" t="str">
        <f t="shared" si="47"/>
        <v>실리콘 MEM-0349</v>
      </c>
      <c r="U270" s="1037">
        <f t="shared" si="52"/>
        <v>4</v>
      </c>
      <c r="V270" s="1037">
        <f t="shared" si="52"/>
        <v>1040000</v>
      </c>
      <c r="X270" s="355"/>
      <c r="Y270" s="355"/>
      <c r="Z270" s="355"/>
      <c r="AA270" s="355"/>
      <c r="AB270" s="355"/>
    </row>
    <row r="271" spans="1:46" ht="17.100000000000001" customHeight="1" thickBot="1">
      <c r="A271" s="852"/>
      <c r="B271" s="322">
        <v>121700005</v>
      </c>
      <c r="C271" s="606" t="s">
        <v>820</v>
      </c>
      <c r="D271" s="527" t="s">
        <v>32</v>
      </c>
      <c r="E271" s="912"/>
      <c r="F271" s="2310"/>
      <c r="G271" s="793">
        <v>31500</v>
      </c>
      <c r="H271" s="710">
        <f>부자재매입내역!AL182</f>
        <v>0</v>
      </c>
      <c r="I271" s="980">
        <f t="shared" si="53"/>
        <v>0</v>
      </c>
      <c r="J271" s="2079"/>
      <c r="K271" s="958"/>
      <c r="L271" s="925"/>
      <c r="P271" s="1051">
        <v>0.3</v>
      </c>
      <c r="Q271" s="1051">
        <v>0.7</v>
      </c>
      <c r="R271" s="1048" t="s">
        <v>2018</v>
      </c>
      <c r="S271" s="1049">
        <f>COUNTIF($R$3:R271,R271)</f>
        <v>2</v>
      </c>
      <c r="T271" s="1049" t="str">
        <f t="shared" si="47"/>
        <v>사상가위</v>
      </c>
      <c r="U271" s="1050">
        <f t="shared" si="52"/>
        <v>0</v>
      </c>
      <c r="V271" s="1050">
        <f t="shared" si="52"/>
        <v>0</v>
      </c>
      <c r="W271" s="1053"/>
      <c r="X271" s="355"/>
      <c r="Y271" s="355"/>
      <c r="Z271" s="355"/>
      <c r="AA271" s="355"/>
      <c r="AB271" s="355"/>
    </row>
    <row r="272" spans="1:46" ht="17.100000000000001" customHeight="1">
      <c r="A272" s="2327" t="s">
        <v>724</v>
      </c>
      <c r="B272" s="1318" t="s">
        <v>704</v>
      </c>
      <c r="C272" s="825" t="s">
        <v>709</v>
      </c>
      <c r="D272" s="814" t="s">
        <v>32</v>
      </c>
      <c r="E272" s="907"/>
      <c r="F272" s="2379" t="s">
        <v>883</v>
      </c>
      <c r="G272" s="815">
        <v>2280</v>
      </c>
      <c r="H272" s="707">
        <f>부자재매입내역!AL183</f>
        <v>0</v>
      </c>
      <c r="I272" s="707">
        <f t="shared" ref="I272:I286" si="54">G272*H272</f>
        <v>0</v>
      </c>
      <c r="J272" s="2124">
        <f>SUM(I272:I286)</f>
        <v>8738000</v>
      </c>
      <c r="K272" s="953">
        <v>9816000</v>
      </c>
      <c r="L272" s="1319">
        <f>J272-K272</f>
        <v>-1078000</v>
      </c>
      <c r="R272" s="1035" t="s">
        <v>1114</v>
      </c>
      <c r="S272" s="1038">
        <f>COUNTIF($R$3:R272,R272)</f>
        <v>33</v>
      </c>
      <c r="T272" s="1038" t="str">
        <f t="shared" si="47"/>
        <v>1120*955*100(BA골)</v>
      </c>
      <c r="U272" s="1037">
        <f t="shared" si="52"/>
        <v>0</v>
      </c>
      <c r="V272" s="1037">
        <f t="shared" si="52"/>
        <v>0</v>
      </c>
      <c r="X272" s="355"/>
      <c r="Y272" s="355"/>
      <c r="Z272" s="355"/>
      <c r="AA272" s="355"/>
      <c r="AB272" s="355"/>
    </row>
    <row r="273" spans="1:42" ht="17.100000000000001" customHeight="1">
      <c r="A273" s="2328"/>
      <c r="B273" s="1317" t="s">
        <v>708</v>
      </c>
      <c r="C273" s="821" t="s">
        <v>881</v>
      </c>
      <c r="D273" s="817" t="s">
        <v>32</v>
      </c>
      <c r="E273" s="908"/>
      <c r="F273" s="2380"/>
      <c r="G273" s="818">
        <v>1770</v>
      </c>
      <c r="H273" s="703">
        <f>부자재매입내역!AL184</f>
        <v>0</v>
      </c>
      <c r="I273" s="703">
        <f t="shared" si="54"/>
        <v>0</v>
      </c>
      <c r="J273" s="2122"/>
      <c r="K273" s="951"/>
      <c r="L273" s="926"/>
      <c r="R273" s="1035" t="s">
        <v>1114</v>
      </c>
      <c r="S273" s="1038">
        <f>COUNTIF($R$3:R273,R273)</f>
        <v>34</v>
      </c>
      <c r="T273" s="1038" t="str">
        <f t="shared" si="47"/>
        <v>1105*930*285(BA골)</v>
      </c>
      <c r="U273" s="1037">
        <f t="shared" si="52"/>
        <v>0</v>
      </c>
      <c r="V273" s="1037">
        <f t="shared" si="52"/>
        <v>0</v>
      </c>
      <c r="X273" s="355"/>
      <c r="Y273" s="355"/>
      <c r="Z273" s="355"/>
      <c r="AA273" s="355"/>
      <c r="AB273" s="355"/>
    </row>
    <row r="274" spans="1:42" ht="17.100000000000001" customHeight="1">
      <c r="A274" s="2328"/>
      <c r="B274" s="1317" t="s">
        <v>708</v>
      </c>
      <c r="C274" s="821" t="s">
        <v>710</v>
      </c>
      <c r="D274" s="817" t="s">
        <v>32</v>
      </c>
      <c r="E274" s="908"/>
      <c r="F274" s="2380"/>
      <c r="G274" s="818">
        <v>1800</v>
      </c>
      <c r="H274" s="703">
        <f>부자재매입내역!AL185</f>
        <v>0</v>
      </c>
      <c r="I274" s="703">
        <f t="shared" ref="I274" si="55">G274*H274</f>
        <v>0</v>
      </c>
      <c r="J274" s="2122"/>
      <c r="K274" s="951"/>
      <c r="L274" s="926"/>
      <c r="R274" s="1035" t="s">
        <v>1114</v>
      </c>
      <c r="S274" s="1038">
        <f>COUNTIF($R$3:R274,R274)</f>
        <v>35</v>
      </c>
      <c r="T274" s="1038" t="str">
        <f t="shared" si="47"/>
        <v>1105*930*315(BA골)</v>
      </c>
      <c r="U274" s="1037">
        <f t="shared" si="52"/>
        <v>0</v>
      </c>
      <c r="V274" s="1037">
        <f t="shared" si="52"/>
        <v>0</v>
      </c>
      <c r="X274" s="355"/>
      <c r="Y274" s="355"/>
      <c r="Z274" s="355"/>
      <c r="AA274" s="355"/>
      <c r="AB274" s="355"/>
    </row>
    <row r="275" spans="1:42" ht="17.100000000000001" customHeight="1">
      <c r="A275" s="2328"/>
      <c r="B275" s="1317" t="s">
        <v>705</v>
      </c>
      <c r="C275" s="821" t="s">
        <v>711</v>
      </c>
      <c r="D275" s="817" t="s">
        <v>32</v>
      </c>
      <c r="E275" s="908"/>
      <c r="F275" s="2380"/>
      <c r="G275" s="818">
        <v>890</v>
      </c>
      <c r="H275" s="703">
        <f>부자재매입내역!AL186</f>
        <v>0</v>
      </c>
      <c r="I275" s="703">
        <f t="shared" si="54"/>
        <v>0</v>
      </c>
      <c r="J275" s="2122"/>
      <c r="K275" s="951"/>
      <c r="L275" s="926"/>
      <c r="R275" s="1035" t="s">
        <v>1114</v>
      </c>
      <c r="S275" s="1038">
        <f>COUNTIF($R$3:R275,R275)</f>
        <v>36</v>
      </c>
      <c r="T275" s="1038" t="str">
        <f t="shared" si="47"/>
        <v>1080*920(BA골)</v>
      </c>
      <c r="U275" s="1037">
        <f t="shared" si="52"/>
        <v>0</v>
      </c>
      <c r="V275" s="1037">
        <f t="shared" si="52"/>
        <v>0</v>
      </c>
      <c r="X275" s="355"/>
      <c r="Y275" s="355"/>
      <c r="Z275" s="355"/>
      <c r="AA275" s="355"/>
      <c r="AB275" s="355"/>
    </row>
    <row r="276" spans="1:42" ht="17.100000000000001" customHeight="1">
      <c r="A276" s="2328"/>
      <c r="B276" s="1317" t="s">
        <v>1170</v>
      </c>
      <c r="C276" s="821" t="s">
        <v>1169</v>
      </c>
      <c r="D276" s="817" t="s">
        <v>32</v>
      </c>
      <c r="E276" s="908"/>
      <c r="F276" s="2380"/>
      <c r="G276" s="818">
        <v>270</v>
      </c>
      <c r="H276" s="703">
        <f>부자재매입내역!AL187</f>
        <v>0</v>
      </c>
      <c r="I276" s="703">
        <f t="shared" si="54"/>
        <v>0</v>
      </c>
      <c r="J276" s="2122"/>
      <c r="K276" s="951"/>
      <c r="L276" s="926"/>
      <c r="R276" s="1035" t="s">
        <v>1114</v>
      </c>
      <c r="S276" s="1038">
        <f>COUNTIF($R$3:R276,R276)</f>
        <v>37</v>
      </c>
      <c r="T276" s="1038" t="str">
        <f t="shared" si="47"/>
        <v>70*4.5T*285</v>
      </c>
      <c r="U276" s="1037">
        <f t="shared" si="52"/>
        <v>0</v>
      </c>
      <c r="V276" s="1037">
        <f t="shared" si="52"/>
        <v>0</v>
      </c>
      <c r="X276" s="355"/>
      <c r="Y276" s="355"/>
      <c r="Z276" s="355"/>
      <c r="AA276" s="355"/>
      <c r="AB276" s="355"/>
    </row>
    <row r="277" spans="1:42" ht="17.100000000000001" customHeight="1">
      <c r="A277" s="2328"/>
      <c r="B277" s="1317" t="s">
        <v>706</v>
      </c>
      <c r="C277" s="821" t="s">
        <v>882</v>
      </c>
      <c r="D277" s="817" t="s">
        <v>32</v>
      </c>
      <c r="E277" s="908"/>
      <c r="F277" s="2380"/>
      <c r="G277" s="818">
        <v>110</v>
      </c>
      <c r="H277" s="703">
        <f>부자재매입내역!AL188</f>
        <v>27000</v>
      </c>
      <c r="I277" s="703">
        <f t="shared" si="54"/>
        <v>2970000</v>
      </c>
      <c r="J277" s="2122"/>
      <c r="K277" s="951"/>
      <c r="L277" s="926"/>
      <c r="R277" s="1035" t="s">
        <v>2017</v>
      </c>
      <c r="S277" s="1038">
        <f>COUNTIF($R$3:R277,R277)</f>
        <v>137</v>
      </c>
      <c r="T277" s="1038" t="str">
        <f>C277</f>
        <v>70*4.5T*140</v>
      </c>
      <c r="U277" s="1037">
        <f>H277</f>
        <v>27000</v>
      </c>
      <c r="V277" s="1037">
        <f>I277</f>
        <v>2970000</v>
      </c>
      <c r="X277" s="355"/>
      <c r="Y277" s="355"/>
      <c r="Z277" s="355"/>
      <c r="AA277" s="355"/>
      <c r="AB277" s="355"/>
    </row>
    <row r="278" spans="1:42" ht="17.100000000000001" customHeight="1">
      <c r="A278" s="2328"/>
      <c r="B278" s="1317" t="s">
        <v>706</v>
      </c>
      <c r="C278" s="821" t="s">
        <v>1147</v>
      </c>
      <c r="D278" s="817" t="s">
        <v>32</v>
      </c>
      <c r="E278" s="908"/>
      <c r="F278" s="2380"/>
      <c r="G278" s="818">
        <v>70</v>
      </c>
      <c r="H278" s="703">
        <f>부자재매입내역!AL189</f>
        <v>0</v>
      </c>
      <c r="I278" s="703">
        <f t="shared" si="54"/>
        <v>0</v>
      </c>
      <c r="J278" s="2122"/>
      <c r="K278" s="951"/>
      <c r="L278" s="926"/>
      <c r="R278" s="1035" t="s">
        <v>2017</v>
      </c>
      <c r="S278" s="1038">
        <f>COUNTIF($R$3:R278,R278)</f>
        <v>138</v>
      </c>
      <c r="T278" s="1038" t="str">
        <f t="shared" ref="T278:T282" si="56">C278</f>
        <v>70*48</v>
      </c>
      <c r="U278" s="1037">
        <f t="shared" ref="U278:V293" si="57">H278</f>
        <v>0</v>
      </c>
      <c r="V278" s="1037">
        <f t="shared" si="57"/>
        <v>0</v>
      </c>
      <c r="X278" s="355"/>
      <c r="Y278" s="355"/>
      <c r="Z278" s="355"/>
      <c r="AA278" s="355"/>
      <c r="AB278" s="355"/>
    </row>
    <row r="279" spans="1:42" ht="17.100000000000001" customHeight="1">
      <c r="A279" s="2328"/>
      <c r="B279" s="1453" t="s">
        <v>1155</v>
      </c>
      <c r="C279" s="821" t="s">
        <v>1159</v>
      </c>
      <c r="D279" s="817" t="s">
        <v>32</v>
      </c>
      <c r="E279" s="908" t="s">
        <v>1165</v>
      </c>
      <c r="F279" s="2380"/>
      <c r="G279" s="818">
        <v>3000</v>
      </c>
      <c r="H279" s="703">
        <f>부자재매입내역!AL190</f>
        <v>0</v>
      </c>
      <c r="I279" s="703">
        <f>G279*H279</f>
        <v>0</v>
      </c>
      <c r="J279" s="2122"/>
      <c r="K279" s="951"/>
      <c r="L279" s="926"/>
      <c r="R279" s="1035" t="s">
        <v>1114</v>
      </c>
      <c r="S279" s="1038">
        <f>COUNTIF($R$3:R279,R279)</f>
        <v>38</v>
      </c>
      <c r="T279" s="1038" t="str">
        <f t="shared" si="56"/>
        <v>2500*450*285</v>
      </c>
      <c r="U279" s="1037">
        <f t="shared" si="57"/>
        <v>0</v>
      </c>
      <c r="V279" s="1037">
        <f t="shared" si="57"/>
        <v>0</v>
      </c>
      <c r="X279" s="355"/>
      <c r="Y279" s="355"/>
      <c r="Z279" s="355"/>
      <c r="AA279" s="355"/>
      <c r="AB279" s="355"/>
    </row>
    <row r="280" spans="1:42" ht="17.100000000000001" customHeight="1">
      <c r="A280" s="2328"/>
      <c r="B280" s="1453" t="s">
        <v>704</v>
      </c>
      <c r="C280" s="821" t="s">
        <v>1401</v>
      </c>
      <c r="D280" s="817" t="s">
        <v>32</v>
      </c>
      <c r="E280" s="908" t="s">
        <v>1165</v>
      </c>
      <c r="F280" s="2380"/>
      <c r="G280" s="818">
        <v>3000</v>
      </c>
      <c r="H280" s="703">
        <f>부자재매입내역!AL191</f>
        <v>0</v>
      </c>
      <c r="I280" s="703">
        <f>G280*H280</f>
        <v>0</v>
      </c>
      <c r="J280" s="2122"/>
      <c r="K280" s="951"/>
      <c r="L280" s="926"/>
      <c r="R280" s="1035" t="s">
        <v>1114</v>
      </c>
      <c r="S280" s="1038">
        <f>COUNTIF($R$3:R280,R280)</f>
        <v>39</v>
      </c>
      <c r="T280" s="1038" t="str">
        <f t="shared" si="56"/>
        <v>2520*470*95</v>
      </c>
      <c r="U280" s="1037">
        <f t="shared" si="57"/>
        <v>0</v>
      </c>
      <c r="V280" s="1037">
        <f t="shared" si="57"/>
        <v>0</v>
      </c>
      <c r="X280" s="355"/>
      <c r="Y280" s="355"/>
      <c r="Z280" s="355"/>
      <c r="AA280" s="355"/>
      <c r="AB280" s="355"/>
    </row>
    <row r="281" spans="1:42" ht="17.100000000000001" customHeight="1">
      <c r="A281" s="2328"/>
      <c r="B281" s="1453" t="s">
        <v>705</v>
      </c>
      <c r="C281" s="821" t="s">
        <v>1161</v>
      </c>
      <c r="D281" s="817" t="s">
        <v>32</v>
      </c>
      <c r="E281" s="908" t="s">
        <v>1165</v>
      </c>
      <c r="F281" s="2380"/>
      <c r="G281" s="818">
        <v>3000</v>
      </c>
      <c r="H281" s="703">
        <f>부자재매입내역!AL192</f>
        <v>0</v>
      </c>
      <c r="I281" s="703">
        <f>G281*H281</f>
        <v>0</v>
      </c>
      <c r="J281" s="2122"/>
      <c r="K281" s="951"/>
      <c r="L281" s="926"/>
      <c r="M281" s="1069"/>
      <c r="R281" s="1035" t="s">
        <v>1114</v>
      </c>
      <c r="S281" s="1038">
        <f>COUNTIF($R$3:R281,R281)</f>
        <v>40</v>
      </c>
      <c r="T281" s="1038" t="str">
        <f t="shared" si="56"/>
        <v>2480*430*0</v>
      </c>
      <c r="U281" s="1037">
        <f t="shared" si="57"/>
        <v>0</v>
      </c>
      <c r="V281" s="1037">
        <f t="shared" si="57"/>
        <v>0</v>
      </c>
      <c r="X281" s="355"/>
      <c r="Y281" s="355"/>
      <c r="Z281" s="355"/>
      <c r="AA281" s="355"/>
      <c r="AB281" s="355"/>
    </row>
    <row r="282" spans="1:42" ht="17.100000000000001" customHeight="1">
      <c r="A282" s="2328"/>
      <c r="B282" s="1317" t="s">
        <v>707</v>
      </c>
      <c r="C282" s="821" t="s">
        <v>1164</v>
      </c>
      <c r="D282" s="817" t="s">
        <v>32</v>
      </c>
      <c r="E282" s="908" t="s">
        <v>1165</v>
      </c>
      <c r="F282" s="2380"/>
      <c r="G282" s="818">
        <v>25600</v>
      </c>
      <c r="H282" s="703">
        <f>부자재매입내역!AL193</f>
        <v>0</v>
      </c>
      <c r="I282" s="703">
        <f>G282*H282</f>
        <v>0</v>
      </c>
      <c r="J282" s="2122"/>
      <c r="K282" s="951"/>
      <c r="L282" s="926"/>
      <c r="M282" s="1069"/>
      <c r="R282" s="1035" t="s">
        <v>1114</v>
      </c>
      <c r="S282" s="1038">
        <f>COUNTIF($R$3:R282,R282)</f>
        <v>41</v>
      </c>
      <c r="T282" s="1038" t="str">
        <f t="shared" si="56"/>
        <v>2500*950</v>
      </c>
      <c r="U282" s="1037">
        <f t="shared" si="57"/>
        <v>0</v>
      </c>
      <c r="V282" s="1037">
        <f t="shared" si="57"/>
        <v>0</v>
      </c>
      <c r="X282" s="355"/>
      <c r="Y282" s="355"/>
      <c r="Z282" s="355"/>
      <c r="AA282" s="355"/>
      <c r="AB282" s="355"/>
    </row>
    <row r="283" spans="1:42" ht="17.100000000000001" customHeight="1">
      <c r="A283" s="2328"/>
      <c r="B283" s="1317" t="s">
        <v>707</v>
      </c>
      <c r="C283" s="821" t="s">
        <v>1066</v>
      </c>
      <c r="D283" s="817" t="s">
        <v>32</v>
      </c>
      <c r="E283" s="908"/>
      <c r="F283" s="2380"/>
      <c r="G283" s="818">
        <v>21000</v>
      </c>
      <c r="H283" s="703">
        <f>부자재매입내역!AL194</f>
        <v>0</v>
      </c>
      <c r="I283" s="703">
        <f t="shared" ref="I283" si="58">G283*H283</f>
        <v>0</v>
      </c>
      <c r="J283" s="2122"/>
      <c r="K283" s="951"/>
      <c r="L283" s="926"/>
      <c r="M283" s="1069"/>
      <c r="R283" s="1035" t="s">
        <v>1114</v>
      </c>
      <c r="S283" s="1038">
        <f>COUNTIF($R$3:R283,R283)</f>
        <v>42</v>
      </c>
      <c r="T283" s="1038" t="str">
        <f>C283</f>
        <v>2000*950</v>
      </c>
      <c r="U283" s="1037">
        <f t="shared" si="57"/>
        <v>0</v>
      </c>
      <c r="V283" s="1037">
        <f t="shared" si="57"/>
        <v>0</v>
      </c>
      <c r="X283" s="355"/>
      <c r="Y283" s="355"/>
      <c r="Z283" s="355"/>
      <c r="AA283" s="355"/>
      <c r="AB283" s="355"/>
    </row>
    <row r="284" spans="1:42" ht="17.100000000000001" customHeight="1">
      <c r="A284" s="2328"/>
      <c r="B284" s="1317" t="s">
        <v>707</v>
      </c>
      <c r="C284" s="821" t="s">
        <v>890</v>
      </c>
      <c r="D284" s="817" t="s">
        <v>32</v>
      </c>
      <c r="E284" s="908"/>
      <c r="F284" s="2380"/>
      <c r="G284" s="818">
        <v>9600</v>
      </c>
      <c r="H284" s="703">
        <f>부자재매입내역!AL195</f>
        <v>0</v>
      </c>
      <c r="I284" s="703">
        <f t="shared" si="54"/>
        <v>0</v>
      </c>
      <c r="J284" s="2122"/>
      <c r="K284" s="951"/>
      <c r="L284" s="926"/>
      <c r="R284" s="1035" t="s">
        <v>2017</v>
      </c>
      <c r="S284" s="1038">
        <f>COUNTIF($R$3:R284,R284)</f>
        <v>139</v>
      </c>
      <c r="T284" s="1038" t="str">
        <f>C284</f>
        <v>1100*950*81</v>
      </c>
      <c r="U284" s="1037">
        <f t="shared" si="57"/>
        <v>0</v>
      </c>
      <c r="V284" s="1037">
        <f t="shared" si="57"/>
        <v>0</v>
      </c>
      <c r="X284" s="355"/>
      <c r="Y284" s="355"/>
      <c r="Z284" s="355"/>
      <c r="AA284" s="355"/>
      <c r="AB284" s="355"/>
    </row>
    <row r="285" spans="1:42" ht="17.100000000000001" customHeight="1">
      <c r="A285" s="2328"/>
      <c r="B285" s="1317" t="s">
        <v>707</v>
      </c>
      <c r="C285" s="821" t="s">
        <v>926</v>
      </c>
      <c r="D285" s="817" t="s">
        <v>32</v>
      </c>
      <c r="E285" s="908"/>
      <c r="F285" s="2380"/>
      <c r="G285" s="818">
        <v>10300</v>
      </c>
      <c r="H285" s="703">
        <f>부자재매입내역!AL196</f>
        <v>560</v>
      </c>
      <c r="I285" s="703">
        <f t="shared" si="54"/>
        <v>5768000</v>
      </c>
      <c r="J285" s="2122"/>
      <c r="K285" s="951"/>
      <c r="L285" s="926"/>
      <c r="R285" s="1035" t="s">
        <v>2016</v>
      </c>
      <c r="S285" s="1038">
        <f>COUNTIF($R$3:R285,R285)</f>
        <v>140</v>
      </c>
      <c r="T285" s="1038" t="str">
        <f>C285</f>
        <v>1100*950*110</v>
      </c>
      <c r="U285" s="1037">
        <f t="shared" si="57"/>
        <v>560</v>
      </c>
      <c r="V285" s="1037">
        <f t="shared" si="57"/>
        <v>5768000</v>
      </c>
      <c r="X285" s="355"/>
      <c r="Y285" s="355"/>
      <c r="Z285" s="355"/>
      <c r="AA285" s="355"/>
      <c r="AB285" s="355"/>
    </row>
    <row r="286" spans="1:42" ht="17.100000000000001" customHeight="1" thickBot="1">
      <c r="A286" s="2329"/>
      <c r="B286" s="1320" t="s">
        <v>1382</v>
      </c>
      <c r="C286" s="1112" t="s">
        <v>1383</v>
      </c>
      <c r="D286" s="819" t="s">
        <v>32</v>
      </c>
      <c r="E286" s="1113"/>
      <c r="F286" s="2381"/>
      <c r="G286" s="820">
        <v>1000</v>
      </c>
      <c r="H286" s="709">
        <f>부자재매입내역!AL197</f>
        <v>0</v>
      </c>
      <c r="I286" s="709">
        <f t="shared" si="54"/>
        <v>0</v>
      </c>
      <c r="J286" s="2123"/>
      <c r="K286" s="1321"/>
      <c r="L286" s="927"/>
      <c r="R286" s="1035" t="s">
        <v>1114</v>
      </c>
      <c r="S286" s="1038">
        <f>COUNTIF($R$3:R286,R286)</f>
        <v>43</v>
      </c>
      <c r="T286" s="1038" t="str">
        <f>C286</f>
        <v>550*270*165</v>
      </c>
      <c r="U286" s="1037">
        <f t="shared" si="57"/>
        <v>0</v>
      </c>
      <c r="V286" s="1037">
        <f t="shared" si="57"/>
        <v>0</v>
      </c>
      <c r="X286" s="355"/>
      <c r="Y286" s="355"/>
      <c r="Z286" s="355"/>
      <c r="AA286" s="355"/>
      <c r="AB286" s="355"/>
      <c r="AO286" s="1120"/>
      <c r="AP286" s="1120"/>
    </row>
    <row r="287" spans="1:42" ht="17.100000000000001" customHeight="1">
      <c r="A287" s="2302" t="s">
        <v>646</v>
      </c>
      <c r="B287" s="565">
        <v>900689</v>
      </c>
      <c r="C287" s="529" t="s">
        <v>570</v>
      </c>
      <c r="D287" s="533" t="s">
        <v>535</v>
      </c>
      <c r="E287" s="1111" t="s">
        <v>54</v>
      </c>
      <c r="F287" s="2376" t="s">
        <v>1273</v>
      </c>
      <c r="G287" s="708">
        <v>67578</v>
      </c>
      <c r="H287" s="708">
        <f>부자재매입내역!AL198</f>
        <v>0</v>
      </c>
      <c r="I287" s="708">
        <f>G287*H287</f>
        <v>0</v>
      </c>
      <c r="J287" s="2122">
        <f>SUM(I287:I306)</f>
        <v>16925873.399999999</v>
      </c>
      <c r="K287" s="959">
        <v>31845949</v>
      </c>
      <c r="L287" s="926">
        <f>J287-K287</f>
        <v>-14920075.600000001</v>
      </c>
      <c r="M287" s="1069"/>
      <c r="N287" s="1069"/>
      <c r="O287" s="1069"/>
      <c r="P287" s="1054"/>
      <c r="Q287" s="1054"/>
      <c r="R287" s="1035" t="s">
        <v>2017</v>
      </c>
      <c r="S287" s="1049">
        <f>COUNTIF($R$3:R287,R287)</f>
        <v>141</v>
      </c>
      <c r="T287" s="1049" t="str">
        <f t="shared" ref="T287:T301" si="59">C287</f>
        <v>HSL-770K-2(주제)</v>
      </c>
      <c r="U287" s="1050">
        <f t="shared" si="57"/>
        <v>0</v>
      </c>
      <c r="V287" s="1050">
        <f t="shared" si="57"/>
        <v>0</v>
      </c>
      <c r="W287" s="1053"/>
      <c r="X287" s="355"/>
      <c r="Y287" s="355"/>
      <c r="Z287" s="355"/>
      <c r="AA287" s="355"/>
      <c r="AB287" s="355"/>
    </row>
    <row r="288" spans="1:42" ht="17.100000000000001" customHeight="1">
      <c r="A288" s="2302"/>
      <c r="B288" s="320">
        <v>400169</v>
      </c>
      <c r="C288" s="263" t="s">
        <v>401</v>
      </c>
      <c r="D288" s="264" t="s">
        <v>837</v>
      </c>
      <c r="E288" s="773" t="s">
        <v>54</v>
      </c>
      <c r="F288" s="2377"/>
      <c r="G288" s="703">
        <v>522480</v>
      </c>
      <c r="H288" s="703">
        <f>부자재매입내역!AL199</f>
        <v>0</v>
      </c>
      <c r="I288" s="703">
        <f t="shared" si="53"/>
        <v>0</v>
      </c>
      <c r="J288" s="2122"/>
      <c r="K288" s="959"/>
      <c r="L288" s="926"/>
      <c r="M288" s="1069"/>
      <c r="N288" s="1069"/>
      <c r="O288" s="1069"/>
      <c r="P288" s="1053">
        <v>0.4</v>
      </c>
      <c r="Q288" s="1053">
        <v>0.6</v>
      </c>
      <c r="R288" s="1035" t="s">
        <v>2019</v>
      </c>
      <c r="S288" s="1038">
        <f>COUNTIF($R$3:R288,R288)</f>
        <v>2</v>
      </c>
      <c r="T288" s="1038" t="str">
        <f t="shared" si="59"/>
        <v>HSX-9600-1(경화제)</v>
      </c>
      <c r="U288" s="1037">
        <f t="shared" si="57"/>
        <v>0</v>
      </c>
      <c r="V288" s="1037">
        <f t="shared" si="57"/>
        <v>0</v>
      </c>
      <c r="W288" s="1053"/>
      <c r="X288" s="355"/>
      <c r="Y288" s="355"/>
      <c r="Z288" s="355"/>
      <c r="AA288" s="355"/>
      <c r="AB288" s="355"/>
    </row>
    <row r="289" spans="1:28" ht="17.100000000000001" customHeight="1">
      <c r="A289" s="2302"/>
      <c r="B289" s="320">
        <v>490204</v>
      </c>
      <c r="C289" s="263" t="s">
        <v>402</v>
      </c>
      <c r="D289" s="264" t="s">
        <v>536</v>
      </c>
      <c r="E289" s="773" t="s">
        <v>54</v>
      </c>
      <c r="F289" s="2377"/>
      <c r="G289" s="703">
        <v>43913.700000000004</v>
      </c>
      <c r="H289" s="703">
        <f>부자재매입내역!AL200</f>
        <v>2</v>
      </c>
      <c r="I289" s="703">
        <f t="shared" si="53"/>
        <v>87827.400000000009</v>
      </c>
      <c r="J289" s="2122"/>
      <c r="K289" s="959"/>
      <c r="L289" s="926"/>
      <c r="M289" s="1069"/>
      <c r="N289" s="1069"/>
      <c r="O289" s="1069"/>
      <c r="P289" s="1053">
        <v>0.4</v>
      </c>
      <c r="Q289" s="1053">
        <v>0.6</v>
      </c>
      <c r="R289" s="1035" t="s">
        <v>2019</v>
      </c>
      <c r="S289" s="1038">
        <f>COUNTIF($R$3:R289,R289)</f>
        <v>3</v>
      </c>
      <c r="T289" s="1038" t="str">
        <f t="shared" si="59"/>
        <v>HSY-6800-1</v>
      </c>
      <c r="U289" s="1037">
        <f t="shared" si="57"/>
        <v>2</v>
      </c>
      <c r="V289" s="1037">
        <f t="shared" si="57"/>
        <v>87827.400000000009</v>
      </c>
      <c r="W289" s="1053"/>
      <c r="X289" s="355"/>
      <c r="Y289" s="355"/>
      <c r="Z289" s="355"/>
      <c r="AA289" s="355"/>
      <c r="AB289" s="355"/>
    </row>
    <row r="290" spans="1:28" ht="17.100000000000001" customHeight="1">
      <c r="A290" s="2302"/>
      <c r="B290" s="320">
        <v>900003</v>
      </c>
      <c r="C290" s="263" t="s">
        <v>403</v>
      </c>
      <c r="D290" s="264" t="s">
        <v>537</v>
      </c>
      <c r="E290" s="773" t="s">
        <v>54</v>
      </c>
      <c r="F290" s="2377"/>
      <c r="G290" s="703">
        <v>31995</v>
      </c>
      <c r="H290" s="703">
        <f>부자재매입내역!AL201</f>
        <v>8</v>
      </c>
      <c r="I290" s="703">
        <f t="shared" si="53"/>
        <v>255960</v>
      </c>
      <c r="J290" s="2122"/>
      <c r="K290" s="959"/>
      <c r="L290" s="926"/>
      <c r="M290" s="1069"/>
      <c r="N290" s="1069"/>
      <c r="O290" s="1069"/>
      <c r="P290" s="1053">
        <v>0.4</v>
      </c>
      <c r="Q290" s="1053">
        <v>0.6</v>
      </c>
      <c r="R290" s="1035" t="s">
        <v>2019</v>
      </c>
      <c r="S290" s="1038">
        <f>COUNTIF($R$3:R290,R290)</f>
        <v>4</v>
      </c>
      <c r="T290" s="1038" t="str">
        <f t="shared" si="59"/>
        <v>PR-405(희석제)</v>
      </c>
      <c r="U290" s="1037">
        <f t="shared" si="57"/>
        <v>8</v>
      </c>
      <c r="V290" s="1037">
        <f t="shared" si="57"/>
        <v>255960</v>
      </c>
      <c r="W290" s="1053"/>
      <c r="X290" s="355"/>
      <c r="Y290" s="355"/>
      <c r="Z290" s="355"/>
      <c r="AA290" s="355"/>
      <c r="AB290" s="355"/>
    </row>
    <row r="291" spans="1:28" ht="17.100000000000001" customHeight="1">
      <c r="A291" s="2302"/>
      <c r="B291" s="320">
        <v>901413</v>
      </c>
      <c r="C291" s="263" t="s">
        <v>930</v>
      </c>
      <c r="D291" s="264" t="s">
        <v>538</v>
      </c>
      <c r="E291" s="773" t="s">
        <v>54</v>
      </c>
      <c r="F291" s="2377"/>
      <c r="G291" s="703">
        <v>51480</v>
      </c>
      <c r="H291" s="703">
        <f>부자재매입내역!AL202</f>
        <v>0</v>
      </c>
      <c r="I291" s="703">
        <f t="shared" si="53"/>
        <v>0</v>
      </c>
      <c r="J291" s="2122"/>
      <c r="K291" s="959"/>
      <c r="L291" s="926"/>
      <c r="M291" s="1069"/>
      <c r="N291" s="1069"/>
      <c r="O291" s="1069"/>
      <c r="R291" s="1035" t="s">
        <v>1114</v>
      </c>
      <c r="S291" s="1038">
        <f>COUNTIF($R$3:R291,R291)</f>
        <v>44</v>
      </c>
      <c r="T291" s="1038" t="str">
        <f t="shared" si="59"/>
        <v>HSC-2000-B-3</v>
      </c>
      <c r="U291" s="1037">
        <f t="shared" si="57"/>
        <v>0</v>
      </c>
      <c r="V291" s="1037">
        <f t="shared" si="57"/>
        <v>0</v>
      </c>
      <c r="X291" s="355"/>
      <c r="Y291" s="355"/>
      <c r="Z291" s="355"/>
      <c r="AA291" s="355"/>
      <c r="AB291" s="355"/>
    </row>
    <row r="292" spans="1:28" ht="17.100000000000001" customHeight="1">
      <c r="A292" s="2302"/>
      <c r="B292" s="320">
        <v>900998</v>
      </c>
      <c r="C292" s="263" t="s">
        <v>404</v>
      </c>
      <c r="D292" s="264" t="s">
        <v>538</v>
      </c>
      <c r="E292" s="773" t="s">
        <v>54</v>
      </c>
      <c r="F292" s="2377"/>
      <c r="G292" s="703">
        <v>63498</v>
      </c>
      <c r="H292" s="703">
        <f>부자재매입내역!AL203</f>
        <v>0</v>
      </c>
      <c r="I292" s="703">
        <f t="shared" si="53"/>
        <v>0</v>
      </c>
      <c r="J292" s="2122"/>
      <c r="K292" s="959"/>
      <c r="L292" s="926"/>
      <c r="M292" s="1069"/>
      <c r="N292" s="1069"/>
      <c r="O292" s="1069"/>
      <c r="R292" s="1035" t="s">
        <v>1114</v>
      </c>
      <c r="S292" s="1038">
        <f>COUNTIF($R$3:R292,R292)</f>
        <v>45</v>
      </c>
      <c r="T292" s="1038" t="str">
        <f t="shared" si="59"/>
        <v>HSP-500-2</v>
      </c>
      <c r="U292" s="1037">
        <f t="shared" si="57"/>
        <v>0</v>
      </c>
      <c r="V292" s="1037">
        <f t="shared" si="57"/>
        <v>0</v>
      </c>
      <c r="X292" s="355"/>
      <c r="Y292" s="355"/>
      <c r="Z292" s="355"/>
      <c r="AA292" s="355"/>
      <c r="AB292" s="355"/>
    </row>
    <row r="293" spans="1:28" ht="17.100000000000001" customHeight="1">
      <c r="A293" s="2302"/>
      <c r="B293" s="320">
        <v>901000</v>
      </c>
      <c r="C293" s="263" t="s">
        <v>405</v>
      </c>
      <c r="D293" s="264" t="s">
        <v>400</v>
      </c>
      <c r="E293" s="773" t="s">
        <v>54</v>
      </c>
      <c r="F293" s="2377"/>
      <c r="G293" s="703">
        <v>0</v>
      </c>
      <c r="H293" s="703">
        <f>부자재매입내역!AL204</f>
        <v>0</v>
      </c>
      <c r="I293" s="703">
        <f t="shared" si="53"/>
        <v>0</v>
      </c>
      <c r="J293" s="2122"/>
      <c r="K293" s="959"/>
      <c r="L293" s="926"/>
      <c r="M293" s="1069"/>
      <c r="N293" s="1069"/>
      <c r="O293" s="1069"/>
      <c r="R293" s="1035" t="s">
        <v>1114</v>
      </c>
      <c r="S293" s="1038">
        <f>COUNTIF($R$3:R293,R293)</f>
        <v>46</v>
      </c>
      <c r="T293" s="1038" t="str">
        <f t="shared" si="59"/>
        <v>PR - 520</v>
      </c>
      <c r="U293" s="1037">
        <f t="shared" si="57"/>
        <v>0</v>
      </c>
      <c r="V293" s="1037">
        <f t="shared" si="57"/>
        <v>0</v>
      </c>
      <c r="X293" s="355"/>
      <c r="Y293" s="355"/>
      <c r="Z293" s="355"/>
      <c r="AA293" s="355"/>
      <c r="AB293" s="355"/>
    </row>
    <row r="294" spans="1:28" ht="17.100000000000001" customHeight="1">
      <c r="A294" s="2302"/>
      <c r="B294" s="320">
        <v>400219</v>
      </c>
      <c r="C294" s="263" t="s">
        <v>637</v>
      </c>
      <c r="D294" s="264" t="s">
        <v>1462</v>
      </c>
      <c r="E294" s="773" t="s">
        <v>648</v>
      </c>
      <c r="F294" s="2377"/>
      <c r="G294" s="703">
        <v>52000</v>
      </c>
      <c r="H294" s="703">
        <f>부자재매입내역!AL205</f>
        <v>0</v>
      </c>
      <c r="I294" s="703">
        <f t="shared" si="53"/>
        <v>0</v>
      </c>
      <c r="J294" s="2122"/>
      <c r="K294" s="959"/>
      <c r="L294" s="926"/>
      <c r="M294" s="1069"/>
      <c r="N294" s="1069"/>
      <c r="O294" s="1069"/>
      <c r="R294" s="1035" t="s">
        <v>2016</v>
      </c>
      <c r="S294" s="1038">
        <f>COUNTIF($R$3:R294,R294)</f>
        <v>142</v>
      </c>
      <c r="T294" s="1038" t="str">
        <f t="shared" si="59"/>
        <v>HS-100W-1(장유)</v>
      </c>
      <c r="U294" s="1037">
        <f t="shared" ref="U294:V309" si="60">H294</f>
        <v>0</v>
      </c>
      <c r="V294" s="1037">
        <f t="shared" si="60"/>
        <v>0</v>
      </c>
      <c r="X294" s="355"/>
      <c r="Y294" s="355"/>
      <c r="Z294" s="355"/>
      <c r="AA294" s="355"/>
      <c r="AB294" s="355"/>
    </row>
    <row r="295" spans="1:28" ht="17.100000000000001" customHeight="1">
      <c r="A295" s="2302"/>
      <c r="B295" s="1252">
        <v>400166</v>
      </c>
      <c r="C295" s="1442" t="s">
        <v>407</v>
      </c>
      <c r="D295" s="264" t="s">
        <v>1463</v>
      </c>
      <c r="E295" s="773" t="s">
        <v>54</v>
      </c>
      <c r="F295" s="2377"/>
      <c r="G295" s="703">
        <v>522480</v>
      </c>
      <c r="H295" s="703">
        <f>부자재매입내역!AL206</f>
        <v>0</v>
      </c>
      <c r="I295" s="703">
        <f t="shared" si="53"/>
        <v>0</v>
      </c>
      <c r="J295" s="2122"/>
      <c r="K295" s="959"/>
      <c r="L295" s="926"/>
      <c r="M295" s="1069"/>
      <c r="N295" s="1069"/>
      <c r="O295" s="1069"/>
      <c r="R295" s="1035" t="s">
        <v>1114</v>
      </c>
      <c r="S295" s="1038">
        <f>COUNTIF($R$3:R295,R295)</f>
        <v>47</v>
      </c>
      <c r="T295" s="1038" t="str">
        <f t="shared" si="59"/>
        <v>HSH-9604</v>
      </c>
      <c r="U295" s="1037">
        <f t="shared" si="60"/>
        <v>0</v>
      </c>
      <c r="V295" s="1037">
        <f t="shared" si="60"/>
        <v>0</v>
      </c>
      <c r="X295" s="355"/>
      <c r="Y295" s="355"/>
      <c r="Z295" s="355"/>
      <c r="AA295" s="355"/>
      <c r="AB295" s="355"/>
    </row>
    <row r="296" spans="1:28" ht="17.100000000000001" customHeight="1">
      <c r="A296" s="2302"/>
      <c r="B296" s="1252" t="s">
        <v>1371</v>
      </c>
      <c r="C296" s="1442" t="s">
        <v>1454</v>
      </c>
      <c r="D296" s="264" t="s">
        <v>400</v>
      </c>
      <c r="E296" s="773" t="s">
        <v>54</v>
      </c>
      <c r="F296" s="2377"/>
      <c r="G296" s="703">
        <v>89880</v>
      </c>
      <c r="H296" s="703">
        <f>부자재매입내역!AL207</f>
        <v>0</v>
      </c>
      <c r="I296" s="703">
        <f t="shared" si="53"/>
        <v>0</v>
      </c>
      <c r="J296" s="2122"/>
      <c r="K296" s="959"/>
      <c r="L296" s="926"/>
      <c r="M296" s="1069"/>
      <c r="N296" s="1069"/>
      <c r="O296" s="1069"/>
      <c r="R296" s="1035" t="s">
        <v>2016</v>
      </c>
      <c r="S296" s="1038">
        <f>COUNTIF($R$3:R296,R296)</f>
        <v>143</v>
      </c>
      <c r="T296" s="1038" t="str">
        <f t="shared" si="59"/>
        <v>HSW-16000LC</v>
      </c>
      <c r="U296" s="1037">
        <f t="shared" si="60"/>
        <v>0</v>
      </c>
      <c r="V296" s="1037">
        <f t="shared" si="60"/>
        <v>0</v>
      </c>
      <c r="X296" s="355"/>
      <c r="Y296" s="355"/>
      <c r="Z296" s="355"/>
      <c r="AA296" s="355"/>
      <c r="AB296" s="355"/>
    </row>
    <row r="297" spans="1:28" ht="17.100000000000001" customHeight="1">
      <c r="A297" s="2302"/>
      <c r="B297" s="1252" t="s">
        <v>1576</v>
      </c>
      <c r="C297" s="1442" t="s">
        <v>1365</v>
      </c>
      <c r="D297" s="264" t="s">
        <v>1464</v>
      </c>
      <c r="E297" s="773" t="s">
        <v>54</v>
      </c>
      <c r="F297" s="2377"/>
      <c r="G297" s="703">
        <v>83888</v>
      </c>
      <c r="H297" s="703">
        <f>부자재매입내역!AL208</f>
        <v>144</v>
      </c>
      <c r="I297" s="703">
        <f>G297*H297</f>
        <v>12079872</v>
      </c>
      <c r="J297" s="2122"/>
      <c r="K297" s="959"/>
      <c r="L297" s="926"/>
      <c r="M297" s="1069"/>
      <c r="N297" s="1069"/>
      <c r="O297" s="1069"/>
      <c r="P297" s="1053">
        <v>0.5</v>
      </c>
      <c r="Q297" s="1053">
        <v>0.5</v>
      </c>
      <c r="R297" s="1035" t="s">
        <v>2019</v>
      </c>
      <c r="S297" s="1038">
        <f>COUNTIF($R$3:R297,R297)</f>
        <v>5</v>
      </c>
      <c r="T297" s="1038" t="str">
        <f t="shared" si="59"/>
        <v>HSW-6000L</v>
      </c>
      <c r="U297" s="1037">
        <f t="shared" si="60"/>
        <v>144</v>
      </c>
      <c r="V297" s="1037">
        <f t="shared" si="60"/>
        <v>12079872</v>
      </c>
      <c r="X297" s="355"/>
      <c r="Y297" s="355"/>
      <c r="Z297" s="355"/>
      <c r="AA297" s="355"/>
      <c r="AB297" s="355"/>
    </row>
    <row r="298" spans="1:28" ht="17.100000000000001" customHeight="1">
      <c r="A298" s="2302"/>
      <c r="B298" s="1252" t="s">
        <v>1578</v>
      </c>
      <c r="C298" s="1442" t="s">
        <v>1367</v>
      </c>
      <c r="D298" s="264" t="s">
        <v>1465</v>
      </c>
      <c r="E298" s="773" t="s">
        <v>54</v>
      </c>
      <c r="F298" s="2377"/>
      <c r="G298" s="703">
        <v>33393</v>
      </c>
      <c r="H298" s="703">
        <f>부자재매입내역!AL209</f>
        <v>34</v>
      </c>
      <c r="I298" s="703">
        <f t="shared" si="53"/>
        <v>1135362</v>
      </c>
      <c r="J298" s="2122"/>
      <c r="K298" s="959"/>
      <c r="L298" s="926"/>
      <c r="M298" s="1069"/>
      <c r="N298" s="1069"/>
      <c r="O298" s="1069"/>
      <c r="P298" s="1053">
        <v>0.5</v>
      </c>
      <c r="Q298" s="1053">
        <v>0.5</v>
      </c>
      <c r="R298" s="1035" t="s">
        <v>2019</v>
      </c>
      <c r="S298" s="1038">
        <f>COUNTIF($R$3:R298,R298)</f>
        <v>6</v>
      </c>
      <c r="T298" s="1038" t="str">
        <f t="shared" si="59"/>
        <v>HSW-595V</v>
      </c>
      <c r="U298" s="1037">
        <f t="shared" si="60"/>
        <v>34</v>
      </c>
      <c r="V298" s="1037">
        <f t="shared" si="60"/>
        <v>1135362</v>
      </c>
      <c r="X298" s="355"/>
      <c r="Y298" s="355"/>
      <c r="Z298" s="355"/>
      <c r="AA298" s="355"/>
      <c r="AB298" s="355"/>
    </row>
    <row r="299" spans="1:28" ht="17.100000000000001" customHeight="1">
      <c r="A299" s="2302"/>
      <c r="B299" s="1252" t="s">
        <v>1577</v>
      </c>
      <c r="C299" s="1442" t="s">
        <v>1369</v>
      </c>
      <c r="D299" s="264" t="s">
        <v>1466</v>
      </c>
      <c r="E299" s="773" t="s">
        <v>54</v>
      </c>
      <c r="F299" s="2377"/>
      <c r="G299" s="703">
        <v>45498</v>
      </c>
      <c r="H299" s="703">
        <f>부자재매입내역!AL210</f>
        <v>74</v>
      </c>
      <c r="I299" s="703">
        <f t="shared" si="53"/>
        <v>3366852</v>
      </c>
      <c r="J299" s="2122"/>
      <c r="K299" s="959"/>
      <c r="L299" s="926"/>
      <c r="M299" s="1069"/>
      <c r="N299" s="1069"/>
      <c r="O299" s="1069"/>
      <c r="P299" s="1053">
        <v>0.5</v>
      </c>
      <c r="Q299" s="1053">
        <v>0.5</v>
      </c>
      <c r="R299" s="1035" t="s">
        <v>2019</v>
      </c>
      <c r="S299" s="1038">
        <f>COUNTIF($R$3:R299,R299)</f>
        <v>7</v>
      </c>
      <c r="T299" s="1038" t="str">
        <f t="shared" si="59"/>
        <v>HSP-700</v>
      </c>
      <c r="U299" s="1037">
        <f t="shared" si="60"/>
        <v>74</v>
      </c>
      <c r="V299" s="1037">
        <f t="shared" si="60"/>
        <v>3366852</v>
      </c>
      <c r="X299" s="355"/>
      <c r="Y299" s="355"/>
      <c r="Z299" s="355"/>
      <c r="AA299" s="355"/>
      <c r="AB299" s="355"/>
    </row>
    <row r="300" spans="1:28" ht="17.100000000000001" customHeight="1">
      <c r="A300" s="2302"/>
      <c r="B300" s="1252" t="s">
        <v>1371</v>
      </c>
      <c r="C300" s="1442" t="s">
        <v>1480</v>
      </c>
      <c r="D300" s="264" t="s">
        <v>1499</v>
      </c>
      <c r="E300" s="773" t="s">
        <v>54</v>
      </c>
      <c r="F300" s="2377"/>
      <c r="G300" s="703">
        <v>208080</v>
      </c>
      <c r="H300" s="703">
        <f>부자재매입내역!AL211</f>
        <v>0</v>
      </c>
      <c r="I300" s="703">
        <f t="shared" si="53"/>
        <v>0</v>
      </c>
      <c r="J300" s="2122"/>
      <c r="K300" s="959"/>
      <c r="L300" s="926"/>
      <c r="M300" s="1069"/>
      <c r="N300" s="1069"/>
      <c r="O300" s="1069"/>
      <c r="R300" s="1035" t="s">
        <v>2016</v>
      </c>
      <c r="S300" s="1038">
        <f>COUNTIF($R$3:R300,R300)</f>
        <v>144</v>
      </c>
      <c r="T300" s="1038" t="str">
        <f t="shared" si="59"/>
        <v>HSW-8000-3P</v>
      </c>
      <c r="U300" s="1037">
        <f t="shared" si="60"/>
        <v>0</v>
      </c>
      <c r="V300" s="1037">
        <f t="shared" si="60"/>
        <v>0</v>
      </c>
      <c r="X300" s="355"/>
      <c r="Y300" s="355"/>
      <c r="Z300" s="355"/>
      <c r="AA300" s="355"/>
      <c r="AB300" s="355"/>
    </row>
    <row r="301" spans="1:28" ht="17.100000000000001" customHeight="1">
      <c r="A301" s="2302"/>
      <c r="B301" s="1252" t="s">
        <v>1299</v>
      </c>
      <c r="C301" s="1442" t="s">
        <v>1484</v>
      </c>
      <c r="D301" s="264" t="s">
        <v>1499</v>
      </c>
      <c r="E301" s="773" t="s">
        <v>1486</v>
      </c>
      <c r="F301" s="2377"/>
      <c r="G301" s="703">
        <v>384000</v>
      </c>
      <c r="H301" s="703">
        <f>부자재매입내역!AL212</f>
        <v>0</v>
      </c>
      <c r="I301" s="703">
        <f t="shared" si="53"/>
        <v>0</v>
      </c>
      <c r="J301" s="2122"/>
      <c r="K301" s="959"/>
      <c r="L301" s="926"/>
      <c r="M301" s="1069"/>
      <c r="N301" s="1069"/>
      <c r="O301" s="1069"/>
      <c r="R301" s="1035" t="s">
        <v>2020</v>
      </c>
      <c r="S301" s="1038">
        <f>COUNTIF($R$3:R301,R301)</f>
        <v>18</v>
      </c>
      <c r="T301" s="1038" t="str">
        <f t="shared" si="59"/>
        <v>HSW-204A</v>
      </c>
      <c r="U301" s="1037">
        <f t="shared" si="60"/>
        <v>0</v>
      </c>
      <c r="V301" s="1037">
        <f t="shared" si="60"/>
        <v>0</v>
      </c>
      <c r="X301" s="355"/>
      <c r="Y301" s="355"/>
      <c r="Z301" s="355"/>
      <c r="AA301" s="355"/>
      <c r="AB301" s="355"/>
    </row>
    <row r="302" spans="1:28" ht="17.100000000000001" customHeight="1">
      <c r="A302" s="2302"/>
      <c r="B302" s="320">
        <v>700230</v>
      </c>
      <c r="C302" s="500" t="s">
        <v>51</v>
      </c>
      <c r="D302" s="264" t="s">
        <v>47</v>
      </c>
      <c r="E302" s="773" t="s">
        <v>13</v>
      </c>
      <c r="F302" s="2377"/>
      <c r="G302" s="801">
        <v>1</v>
      </c>
      <c r="H302" s="703">
        <f>부자재매입내역!AL213</f>
        <v>0</v>
      </c>
      <c r="I302" s="703">
        <f t="shared" si="53"/>
        <v>0</v>
      </c>
      <c r="J302" s="2122"/>
      <c r="K302" s="959"/>
      <c r="L302" s="926"/>
      <c r="M302" s="1069"/>
      <c r="N302" s="1069"/>
      <c r="O302" s="1069"/>
      <c r="R302" s="1035" t="s">
        <v>2016</v>
      </c>
      <c r="S302" s="1038">
        <f>COUNTIF($R$3:R302,R302)</f>
        <v>145</v>
      </c>
      <c r="T302" s="1038" t="str">
        <f>C302</f>
        <v>스폰지패드 5*8*40</v>
      </c>
      <c r="U302" s="1037">
        <f t="shared" si="60"/>
        <v>0</v>
      </c>
      <c r="V302" s="1037">
        <f t="shared" si="60"/>
        <v>0</v>
      </c>
      <c r="X302" s="355"/>
      <c r="Y302" s="355"/>
      <c r="Z302" s="355"/>
      <c r="AA302" s="355"/>
      <c r="AB302" s="355"/>
    </row>
    <row r="303" spans="1:28" ht="17.100000000000001" customHeight="1">
      <c r="A303" s="2302"/>
      <c r="B303" s="320">
        <v>700237</v>
      </c>
      <c r="C303" s="500" t="s">
        <v>408</v>
      </c>
      <c r="D303" s="264" t="s">
        <v>47</v>
      </c>
      <c r="E303" s="2322" t="s">
        <v>210</v>
      </c>
      <c r="F303" s="2377"/>
      <c r="G303" s="801">
        <v>7.2</v>
      </c>
      <c r="H303" s="703">
        <f>부자재매입내역!AL214</f>
        <v>0</v>
      </c>
      <c r="I303" s="703">
        <f t="shared" si="53"/>
        <v>0</v>
      </c>
      <c r="J303" s="2122"/>
      <c r="K303" s="959"/>
      <c r="L303" s="926"/>
      <c r="R303" s="1035" t="s">
        <v>2016</v>
      </c>
      <c r="S303" s="1038">
        <f>COUNTIF($R$3:R303,R303)</f>
        <v>146</v>
      </c>
      <c r="T303" s="1038" t="str">
        <f>C303</f>
        <v>스폰지패드 3*20*60</v>
      </c>
      <c r="U303" s="1037">
        <f t="shared" si="60"/>
        <v>0</v>
      </c>
      <c r="V303" s="1037">
        <f t="shared" si="60"/>
        <v>0</v>
      </c>
      <c r="X303" s="355"/>
      <c r="Y303" s="355"/>
      <c r="Z303" s="355"/>
      <c r="AA303" s="355"/>
      <c r="AB303" s="355"/>
    </row>
    <row r="304" spans="1:28" ht="17.100000000000001" customHeight="1">
      <c r="A304" s="2302"/>
      <c r="B304" s="320">
        <v>700240</v>
      </c>
      <c r="C304" s="500" t="s">
        <v>409</v>
      </c>
      <c r="D304" s="264" t="s">
        <v>47</v>
      </c>
      <c r="E304" s="2322"/>
      <c r="F304" s="2377"/>
      <c r="G304" s="801">
        <v>19.3</v>
      </c>
      <c r="H304" s="703">
        <f>부자재매입내역!AL215</f>
        <v>0</v>
      </c>
      <c r="I304" s="703">
        <f t="shared" si="53"/>
        <v>0</v>
      </c>
      <c r="J304" s="2122"/>
      <c r="K304" s="959"/>
      <c r="L304" s="926"/>
      <c r="R304" s="1035" t="s">
        <v>2016</v>
      </c>
      <c r="S304" s="1038">
        <f>COUNTIF($R$3:R304,R304)</f>
        <v>147</v>
      </c>
      <c r="T304" s="1038" t="str">
        <f>C304</f>
        <v>스폰지패드 3*20*40</v>
      </c>
      <c r="U304" s="1037">
        <f t="shared" si="60"/>
        <v>0</v>
      </c>
      <c r="V304" s="1037">
        <f t="shared" si="60"/>
        <v>0</v>
      </c>
      <c r="X304" s="355"/>
      <c r="Y304" s="355"/>
      <c r="Z304" s="355"/>
      <c r="AA304" s="355"/>
      <c r="AB304" s="355"/>
    </row>
    <row r="305" spans="1:46" ht="17.100000000000001" customHeight="1">
      <c r="A305" s="2302"/>
      <c r="B305" s="320">
        <v>700243</v>
      </c>
      <c r="C305" s="500" t="s">
        <v>410</v>
      </c>
      <c r="D305" s="264" t="s">
        <v>47</v>
      </c>
      <c r="E305" s="2322" t="s">
        <v>216</v>
      </c>
      <c r="F305" s="2377"/>
      <c r="G305" s="801">
        <v>13.5</v>
      </c>
      <c r="H305" s="703">
        <f>부자재매입내역!AL216</f>
        <v>0</v>
      </c>
      <c r="I305" s="703">
        <f t="shared" si="53"/>
        <v>0</v>
      </c>
      <c r="J305" s="2122"/>
      <c r="K305" s="959"/>
      <c r="L305" s="926"/>
      <c r="O305" s="1162"/>
      <c r="R305" s="1035" t="s">
        <v>2016</v>
      </c>
      <c r="S305" s="1038">
        <f>COUNTIF($R$3:R305,R305)</f>
        <v>148</v>
      </c>
      <c r="T305" s="1038" t="str">
        <f>C305</f>
        <v>스폰지패드 3*5*80</v>
      </c>
      <c r="U305" s="1037">
        <f t="shared" si="60"/>
        <v>0</v>
      </c>
      <c r="V305" s="1037">
        <f t="shared" si="60"/>
        <v>0</v>
      </c>
      <c r="X305" s="355"/>
      <c r="Y305" s="355"/>
      <c r="Z305" s="355"/>
      <c r="AA305" s="355"/>
      <c r="AB305" s="355"/>
    </row>
    <row r="306" spans="1:46" ht="17.100000000000001" customHeight="1" thickBot="1">
      <c r="A306" s="2330"/>
      <c r="B306" s="321">
        <v>700952</v>
      </c>
      <c r="C306" s="581" t="s">
        <v>411</v>
      </c>
      <c r="D306" s="269" t="s">
        <v>47</v>
      </c>
      <c r="E306" s="2323"/>
      <c r="F306" s="2378"/>
      <c r="G306" s="802">
        <v>8.9</v>
      </c>
      <c r="H306" s="709">
        <f>부자재매입내역!AL217</f>
        <v>0</v>
      </c>
      <c r="I306" s="709">
        <f t="shared" si="53"/>
        <v>0</v>
      </c>
      <c r="J306" s="2123"/>
      <c r="K306" s="960"/>
      <c r="L306" s="927"/>
      <c r="N306" s="1162"/>
      <c r="R306" s="1035" t="s">
        <v>2016</v>
      </c>
      <c r="S306" s="1038">
        <f>COUNTIF($R$3:R306,R306)</f>
        <v>149</v>
      </c>
      <c r="T306" s="1038" t="str">
        <f>C306</f>
        <v>스폰지패드 3*5*100</v>
      </c>
      <c r="U306" s="1037">
        <f t="shared" si="60"/>
        <v>0</v>
      </c>
      <c r="V306" s="1037">
        <f t="shared" si="60"/>
        <v>0</v>
      </c>
      <c r="X306" s="355"/>
      <c r="Y306" s="355"/>
      <c r="Z306" s="355"/>
      <c r="AA306" s="355"/>
      <c r="AB306" s="355"/>
      <c r="AE306" s="253"/>
    </row>
    <row r="307" spans="1:46" ht="17.100000000000001" customHeight="1">
      <c r="A307" s="2312" t="s">
        <v>1903</v>
      </c>
      <c r="B307" s="1658" t="s">
        <v>1904</v>
      </c>
      <c r="C307" s="1659" t="s">
        <v>1905</v>
      </c>
      <c r="D307" s="942" t="s">
        <v>1906</v>
      </c>
      <c r="E307" s="1660"/>
      <c r="F307" s="2392" t="s">
        <v>1907</v>
      </c>
      <c r="G307" s="1711">
        <v>1905</v>
      </c>
      <c r="H307" s="1640">
        <f>부자재매입내역!AL224</f>
        <v>5240</v>
      </c>
      <c r="I307" s="1640">
        <f t="shared" si="53"/>
        <v>9982200</v>
      </c>
      <c r="J307" s="2124">
        <f>SUM(I307:I319)</f>
        <v>18064700</v>
      </c>
      <c r="K307" s="1855">
        <v>21386700</v>
      </c>
      <c r="L307" s="1319">
        <f>J307-K307</f>
        <v>-3322000</v>
      </c>
      <c r="R307" s="1035" t="s">
        <v>2016</v>
      </c>
      <c r="S307" s="1038">
        <f>COUNTIF($R$3:R307,R307)</f>
        <v>150</v>
      </c>
      <c r="T307" s="1038" t="str">
        <f t="shared" ref="T307:T312" si="61">C307</f>
        <v>1116*949*98</v>
      </c>
      <c r="U307" s="1037">
        <f t="shared" si="60"/>
        <v>5240</v>
      </c>
      <c r="V307" s="1037">
        <f t="shared" si="60"/>
        <v>9982200</v>
      </c>
      <c r="X307" s="355"/>
      <c r="Y307" s="355"/>
      <c r="Z307" s="355"/>
      <c r="AA307" s="355"/>
      <c r="AB307" s="355"/>
      <c r="AO307" s="1661"/>
      <c r="AP307" s="1661"/>
    </row>
    <row r="308" spans="1:46" ht="17.100000000000001" customHeight="1">
      <c r="A308" s="2313"/>
      <c r="B308" s="1662" t="s">
        <v>1908</v>
      </c>
      <c r="C308" s="1663" t="s">
        <v>1909</v>
      </c>
      <c r="D308" s="789" t="s">
        <v>1906</v>
      </c>
      <c r="E308" s="1664"/>
      <c r="F308" s="2393"/>
      <c r="G308" s="1665">
        <v>2300</v>
      </c>
      <c r="H308" s="703">
        <f>부자재매입내역!AL225</f>
        <v>2650</v>
      </c>
      <c r="I308" s="703">
        <f t="shared" si="53"/>
        <v>6095000</v>
      </c>
      <c r="J308" s="2122"/>
      <c r="K308" s="1856"/>
      <c r="L308" s="926"/>
      <c r="M308" s="253"/>
      <c r="N308" s="253"/>
      <c r="O308" s="253"/>
      <c r="P308" s="253"/>
      <c r="Q308" s="253"/>
      <c r="R308" s="1035" t="s">
        <v>2016</v>
      </c>
      <c r="S308" s="1038">
        <f>COUNTIF($R$3:R308,R308)</f>
        <v>151</v>
      </c>
      <c r="T308" s="1038" t="str">
        <f t="shared" si="61"/>
        <v>1100*930*285</v>
      </c>
      <c r="U308" s="1037">
        <f t="shared" si="60"/>
        <v>2650</v>
      </c>
      <c r="V308" s="1037">
        <f t="shared" si="60"/>
        <v>6095000</v>
      </c>
      <c r="W308" s="253"/>
      <c r="X308" s="355"/>
      <c r="Y308" s="355"/>
      <c r="Z308" s="355"/>
      <c r="AA308" s="355"/>
      <c r="AB308" s="355"/>
      <c r="AC308" s="253"/>
      <c r="AF308" s="253"/>
      <c r="AG308" s="253"/>
      <c r="AH308" s="253"/>
      <c r="AI308" s="253"/>
      <c r="AJ308" s="253"/>
      <c r="AK308" s="253"/>
      <c r="AL308" s="253"/>
      <c r="AM308" s="253"/>
      <c r="AN308" s="253"/>
      <c r="AO308" s="1661"/>
      <c r="AP308" s="1661"/>
    </row>
    <row r="309" spans="1:46" ht="17.100000000000001" customHeight="1">
      <c r="A309" s="2313"/>
      <c r="B309" s="1666" t="s">
        <v>1910</v>
      </c>
      <c r="C309" s="1663" t="s">
        <v>1911</v>
      </c>
      <c r="D309" s="789" t="s">
        <v>1906</v>
      </c>
      <c r="E309" s="1664"/>
      <c r="F309" s="2393"/>
      <c r="G309" s="1665">
        <v>750</v>
      </c>
      <c r="H309" s="703">
        <f>부자재매입내역!AL226</f>
        <v>2650</v>
      </c>
      <c r="I309" s="703">
        <f t="shared" si="53"/>
        <v>1987500</v>
      </c>
      <c r="J309" s="2122"/>
      <c r="K309" s="1856"/>
      <c r="L309" s="926"/>
      <c r="R309" s="1035" t="s">
        <v>2016</v>
      </c>
      <c r="S309" s="1038">
        <f>COUNTIF($R$3:R309,R309)</f>
        <v>152</v>
      </c>
      <c r="T309" s="1038" t="str">
        <f t="shared" si="61"/>
        <v>920*1080</v>
      </c>
      <c r="U309" s="1037">
        <f t="shared" si="60"/>
        <v>2650</v>
      </c>
      <c r="V309" s="1037">
        <f t="shared" si="60"/>
        <v>1987500</v>
      </c>
      <c r="X309" s="355"/>
      <c r="Y309" s="355"/>
      <c r="Z309" s="355"/>
      <c r="AA309" s="355"/>
      <c r="AB309" s="355"/>
      <c r="AO309" s="1661"/>
      <c r="AP309" s="1661"/>
    </row>
    <row r="310" spans="1:46" ht="16.2" customHeight="1">
      <c r="A310" s="2313"/>
      <c r="B310" s="1667" t="s">
        <v>1912</v>
      </c>
      <c r="C310" s="1668" t="s">
        <v>1913</v>
      </c>
      <c r="D310" s="789" t="s">
        <v>1906</v>
      </c>
      <c r="E310" s="1664"/>
      <c r="F310" s="2393"/>
      <c r="G310" s="1665">
        <v>1800</v>
      </c>
      <c r="H310" s="703">
        <f>부자재매입내역!AL227</f>
        <v>0</v>
      </c>
      <c r="I310" s="703">
        <f t="shared" si="53"/>
        <v>0</v>
      </c>
      <c r="J310" s="2122"/>
      <c r="K310" s="1856"/>
      <c r="L310" s="926"/>
      <c r="R310" s="1035" t="s">
        <v>1114</v>
      </c>
      <c r="S310" s="1038">
        <f>COUNTIF($R$3:R310,R310)</f>
        <v>48</v>
      </c>
      <c r="T310" s="1038" t="str">
        <f t="shared" si="61"/>
        <v>2015*465*95</v>
      </c>
      <c r="U310" s="1037">
        <f t="shared" ref="U310:V312" si="62">H310</f>
        <v>0</v>
      </c>
      <c r="V310" s="1037">
        <f t="shared" si="62"/>
        <v>0</v>
      </c>
      <c r="X310" s="355"/>
      <c r="Y310" s="355"/>
      <c r="Z310" s="355"/>
      <c r="AA310" s="355"/>
      <c r="AB310" s="355"/>
      <c r="AO310" s="1661"/>
      <c r="AP310" s="1661"/>
    </row>
    <row r="311" spans="1:46" ht="17.100000000000001" customHeight="1">
      <c r="A311" s="2313"/>
      <c r="B311" s="1669" t="s">
        <v>1914</v>
      </c>
      <c r="C311" s="1668" t="s">
        <v>1915</v>
      </c>
      <c r="D311" s="789" t="s">
        <v>1906</v>
      </c>
      <c r="E311" s="1670"/>
      <c r="F311" s="2393"/>
      <c r="G311" s="1665">
        <v>6020</v>
      </c>
      <c r="H311" s="703">
        <f>부자재매입내역!AL228</f>
        <v>0</v>
      </c>
      <c r="I311" s="703">
        <f t="shared" si="53"/>
        <v>0</v>
      </c>
      <c r="J311" s="2122"/>
      <c r="K311" s="1856"/>
      <c r="L311" s="926"/>
      <c r="P311" s="1671"/>
      <c r="Q311" s="1671"/>
      <c r="R311" s="1035" t="s">
        <v>1114</v>
      </c>
      <c r="S311" s="1049">
        <f>COUNTIF($R$3:R311,R311)</f>
        <v>49</v>
      </c>
      <c r="T311" s="1049" t="str">
        <f t="shared" si="61"/>
        <v>1997*450*285</v>
      </c>
      <c r="U311" s="1050">
        <f t="shared" si="62"/>
        <v>0</v>
      </c>
      <c r="V311" s="1050">
        <f t="shared" si="62"/>
        <v>0</v>
      </c>
      <c r="W311" s="1672"/>
      <c r="X311" s="355"/>
      <c r="Y311" s="355"/>
      <c r="Z311" s="355"/>
      <c r="AA311" s="355"/>
      <c r="AB311" s="355"/>
      <c r="AE311" s="277"/>
      <c r="AO311" s="1661"/>
      <c r="AP311" s="1661"/>
    </row>
    <row r="312" spans="1:46" ht="17.100000000000001" customHeight="1" thickBot="1">
      <c r="A312" s="2314"/>
      <c r="B312" s="1673" t="s">
        <v>1916</v>
      </c>
      <c r="C312" s="1674" t="s">
        <v>1917</v>
      </c>
      <c r="D312" s="1675" t="s">
        <v>1906</v>
      </c>
      <c r="E312" s="1676"/>
      <c r="F312" s="2394"/>
      <c r="G312" s="1712">
        <v>705</v>
      </c>
      <c r="H312" s="708">
        <f>부자재매입내역!AL229</f>
        <v>0</v>
      </c>
      <c r="I312" s="1713">
        <f t="shared" si="53"/>
        <v>0</v>
      </c>
      <c r="J312" s="2123"/>
      <c r="K312" s="1857"/>
      <c r="L312" s="927"/>
      <c r="R312" s="1035" t="s">
        <v>1114</v>
      </c>
      <c r="S312" s="1038">
        <f>COUNTIF($R$3:R312,R312)</f>
        <v>50</v>
      </c>
      <c r="T312" s="1038" t="str">
        <f t="shared" si="61"/>
        <v>1977*430</v>
      </c>
      <c r="U312" s="1037">
        <f t="shared" si="62"/>
        <v>0</v>
      </c>
      <c r="V312" s="1037">
        <f t="shared" si="62"/>
        <v>0</v>
      </c>
      <c r="X312" s="355"/>
      <c r="Y312" s="355"/>
      <c r="Z312" s="355"/>
      <c r="AA312" s="355"/>
      <c r="AB312" s="355"/>
      <c r="AO312" s="1661"/>
      <c r="AP312" s="1661"/>
    </row>
    <row r="313" spans="1:46" ht="17.100000000000001" customHeight="1">
      <c r="A313" s="2306" t="s">
        <v>1918</v>
      </c>
      <c r="B313" s="1677"/>
      <c r="C313" s="1678" t="s">
        <v>1919</v>
      </c>
      <c r="D313" s="266"/>
      <c r="E313" s="1679"/>
      <c r="F313" s="2309"/>
      <c r="G313" s="707"/>
      <c r="H313" s="707"/>
      <c r="I313" s="707"/>
      <c r="J313" s="2386"/>
      <c r="K313" s="2389"/>
      <c r="L313" s="2371"/>
      <c r="M313" s="277"/>
      <c r="N313" s="277"/>
      <c r="O313" s="277"/>
      <c r="P313" s="277"/>
      <c r="Q313" s="277"/>
      <c r="S313" s="1038"/>
      <c r="T313" s="1038"/>
      <c r="U313" s="1037"/>
      <c r="V313" s="1037"/>
      <c r="W313" s="277"/>
      <c r="X313" s="355"/>
      <c r="Y313" s="355"/>
      <c r="Z313" s="355"/>
      <c r="AA313" s="355"/>
      <c r="AB313" s="355"/>
      <c r="AC313" s="277"/>
      <c r="AF313" s="277"/>
      <c r="AG313" s="277"/>
      <c r="AH313" s="277"/>
      <c r="AI313" s="277"/>
      <c r="AJ313" s="277"/>
      <c r="AK313" s="277"/>
      <c r="AL313" s="277"/>
      <c r="AM313" s="277"/>
      <c r="AN313" s="277"/>
      <c r="AO313" s="1661"/>
      <c r="AP313" s="1661"/>
      <c r="AT313" s="250"/>
    </row>
    <row r="314" spans="1:46" ht="17.100000000000001" customHeight="1">
      <c r="A314" s="2307"/>
      <c r="B314" s="1680"/>
      <c r="C314" s="1681" t="s">
        <v>1920</v>
      </c>
      <c r="D314" s="264"/>
      <c r="E314" s="1439"/>
      <c r="F314" s="2310"/>
      <c r="G314" s="703"/>
      <c r="H314" s="703"/>
      <c r="I314" s="703"/>
      <c r="J314" s="2387"/>
      <c r="K314" s="2390"/>
      <c r="L314" s="2372"/>
      <c r="S314" s="1038"/>
      <c r="T314" s="1038"/>
      <c r="U314" s="1037"/>
      <c r="V314" s="1037"/>
      <c r="X314" s="355"/>
      <c r="Y314" s="355"/>
      <c r="Z314" s="355"/>
      <c r="AA314" s="355"/>
      <c r="AB314" s="355"/>
      <c r="AO314" s="1661"/>
      <c r="AP314" s="1661"/>
    </row>
    <row r="315" spans="1:46" ht="17.100000000000001" customHeight="1">
      <c r="A315" s="2307"/>
      <c r="B315" s="1682"/>
      <c r="C315" s="1683" t="s">
        <v>1390</v>
      </c>
      <c r="D315" s="264"/>
      <c r="E315" s="1439"/>
      <c r="F315" s="2310"/>
      <c r="G315" s="703"/>
      <c r="H315" s="703"/>
      <c r="I315" s="703"/>
      <c r="J315" s="2387"/>
      <c r="K315" s="2390"/>
      <c r="L315" s="2372"/>
      <c r="S315" s="1038"/>
      <c r="T315" s="1038"/>
      <c r="U315" s="1037"/>
      <c r="V315" s="1037"/>
      <c r="X315" s="355"/>
      <c r="Y315" s="355"/>
      <c r="Z315" s="355"/>
      <c r="AA315" s="355"/>
      <c r="AB315" s="355"/>
      <c r="AO315" s="1661"/>
      <c r="AP315" s="1661"/>
    </row>
    <row r="316" spans="1:46" ht="17.100000000000001" customHeight="1">
      <c r="A316" s="2307"/>
      <c r="B316" s="1682"/>
      <c r="C316" s="1683" t="s">
        <v>1921</v>
      </c>
      <c r="D316" s="264"/>
      <c r="E316" s="1439"/>
      <c r="F316" s="2310"/>
      <c r="G316" s="703"/>
      <c r="H316" s="703"/>
      <c r="I316" s="703"/>
      <c r="J316" s="2387"/>
      <c r="K316" s="2390"/>
      <c r="L316" s="2372"/>
      <c r="S316" s="1038"/>
      <c r="T316" s="1038"/>
      <c r="U316" s="1037"/>
      <c r="V316" s="1037"/>
      <c r="X316" s="355"/>
      <c r="Y316" s="355"/>
      <c r="Z316" s="355"/>
      <c r="AA316" s="355"/>
      <c r="AB316" s="355"/>
      <c r="AO316" s="1661"/>
      <c r="AP316" s="1661"/>
    </row>
    <row r="317" spans="1:46" ht="17.100000000000001" customHeight="1">
      <c r="A317" s="2307"/>
      <c r="B317" s="1684"/>
      <c r="C317" s="1683" t="s">
        <v>1922</v>
      </c>
      <c r="D317" s="264"/>
      <c r="E317" s="1685"/>
      <c r="F317" s="2310"/>
      <c r="G317" s="703"/>
      <c r="H317" s="703"/>
      <c r="I317" s="703"/>
      <c r="J317" s="2387"/>
      <c r="K317" s="2390"/>
      <c r="L317" s="2372"/>
      <c r="S317" s="1038"/>
      <c r="T317" s="1038"/>
      <c r="U317" s="1037"/>
      <c r="V317" s="1037"/>
      <c r="X317" s="355"/>
      <c r="Y317" s="355"/>
      <c r="Z317" s="355"/>
      <c r="AA317" s="355"/>
      <c r="AB317" s="355"/>
      <c r="AO317" s="1661"/>
      <c r="AP317" s="1661"/>
    </row>
    <row r="318" spans="1:46" ht="17.100000000000001" customHeight="1">
      <c r="A318" s="2307"/>
      <c r="B318" s="264"/>
      <c r="C318" s="1686" t="s">
        <v>1923</v>
      </c>
      <c r="D318" s="264"/>
      <c r="E318" s="1439"/>
      <c r="F318" s="2310"/>
      <c r="G318" s="703"/>
      <c r="H318" s="703"/>
      <c r="I318" s="703"/>
      <c r="J318" s="2387"/>
      <c r="K318" s="2390"/>
      <c r="L318" s="2372"/>
      <c r="S318" s="1038"/>
      <c r="T318" s="1038"/>
      <c r="U318" s="1037"/>
      <c r="V318" s="1037"/>
      <c r="X318" s="355"/>
      <c r="Y318" s="355"/>
      <c r="Z318" s="355"/>
      <c r="AA318" s="355"/>
      <c r="AB318" s="355"/>
      <c r="AO318" s="1661"/>
      <c r="AP318" s="1661"/>
    </row>
    <row r="319" spans="1:46" ht="17.100000000000001" customHeight="1" thickBot="1">
      <c r="A319" s="2308"/>
      <c r="B319" s="269"/>
      <c r="C319" s="1687" t="s">
        <v>1924</v>
      </c>
      <c r="D319" s="269"/>
      <c r="E319" s="1688"/>
      <c r="F319" s="2311"/>
      <c r="G319" s="709"/>
      <c r="H319" s="709"/>
      <c r="I319" s="709"/>
      <c r="J319" s="2388"/>
      <c r="K319" s="2391"/>
      <c r="L319" s="2373"/>
      <c r="P319" s="1671"/>
      <c r="Q319" s="1671"/>
      <c r="R319" s="1048"/>
      <c r="S319" s="1049"/>
      <c r="T319" s="1049"/>
      <c r="U319" s="1050"/>
      <c r="V319" s="1050"/>
      <c r="W319" s="1053"/>
      <c r="X319" s="355"/>
      <c r="Y319" s="355"/>
      <c r="Z319" s="355"/>
      <c r="AA319" s="355"/>
      <c r="AB319" s="355"/>
      <c r="AO319" s="1661"/>
      <c r="AP319" s="1661"/>
    </row>
    <row r="320" spans="1:46" ht="39" customHeight="1" thickBot="1">
      <c r="G320" s="913"/>
      <c r="H320" s="1454" t="s">
        <v>503</v>
      </c>
      <c r="I320" s="1455">
        <f>SUM(I3:I312)-I323</f>
        <v>1751798368.4000001</v>
      </c>
      <c r="J320" s="1455">
        <f>SUM(J3:J312)</f>
        <v>1819295168.4000001</v>
      </c>
      <c r="K320" s="1455">
        <f>SUM(K3:K312)</f>
        <v>1756851153</v>
      </c>
      <c r="L320" s="1455">
        <f>SUM(L3:L312)</f>
        <v>62496615.399999999</v>
      </c>
      <c r="M320" s="253"/>
      <c r="V320" s="1036">
        <f t="shared" ref="V320" si="63">I320</f>
        <v>1751798368.4000001</v>
      </c>
      <c r="X320" s="355"/>
      <c r="Y320" s="355"/>
      <c r="Z320" s="355"/>
      <c r="AA320" s="355"/>
      <c r="AB320" s="355"/>
    </row>
    <row r="321" spans="3:42" ht="36" customHeight="1" thickBot="1">
      <c r="H321" s="1456" t="s">
        <v>504</v>
      </c>
      <c r="I321" s="999">
        <f>기타매입내역!AM139</f>
        <v>11852375</v>
      </c>
      <c r="J321" s="999">
        <f>기타매입내역!AM139</f>
        <v>11852375</v>
      </c>
      <c r="K321" s="2188">
        <v>12296600</v>
      </c>
      <c r="L321" s="969">
        <f>J321-K321</f>
        <v>-444225</v>
      </c>
      <c r="X321" s="355"/>
      <c r="Y321" s="355"/>
      <c r="Z321" s="355"/>
      <c r="AA321" s="355"/>
      <c r="AB321" s="355"/>
    </row>
    <row r="322" spans="3:42" ht="39.9" customHeight="1" thickBot="1">
      <c r="G322" s="913" t="s">
        <v>1996</v>
      </c>
      <c r="H322" s="1767" t="s">
        <v>7</v>
      </c>
      <c r="I322" s="1767">
        <f>I321+I320</f>
        <v>1763650743.4000001</v>
      </c>
      <c r="J322" s="1000">
        <f>SUM(J320:J321)</f>
        <v>1831147543.4000001</v>
      </c>
      <c r="K322" s="1082">
        <f>SUM(K320:K321)</f>
        <v>1769147753</v>
      </c>
      <c r="L322" s="1083">
        <f>J322-K322</f>
        <v>61999790.400000095</v>
      </c>
      <c r="R322" s="355" t="s">
        <v>1112</v>
      </c>
      <c r="S322" s="355" t="s">
        <v>1110</v>
      </c>
      <c r="T322" s="355" t="s">
        <v>1111</v>
      </c>
      <c r="U322" s="355" t="s">
        <v>290</v>
      </c>
      <c r="V322" s="355" t="s">
        <v>291</v>
      </c>
      <c r="X322" s="355"/>
      <c r="Y322" s="355"/>
      <c r="Z322" s="355"/>
      <c r="AA322" s="355"/>
      <c r="AB322" s="355"/>
    </row>
    <row r="323" spans="3:42" ht="36" customHeight="1" thickBot="1">
      <c r="H323" s="1689" t="s">
        <v>1925</v>
      </c>
      <c r="I323" s="1689">
        <f>J307+J47</f>
        <v>67496800</v>
      </c>
      <c r="J323" s="999"/>
      <c r="K323" s="2049"/>
      <c r="L323" s="1690">
        <f>K323-J323</f>
        <v>0</v>
      </c>
      <c r="X323" s="355"/>
      <c r="Y323" s="355"/>
      <c r="Z323" s="355"/>
      <c r="AA323" s="355"/>
      <c r="AB323" s="355"/>
      <c r="AO323" s="1661"/>
      <c r="AP323" s="1661"/>
    </row>
    <row r="324" spans="3:42">
      <c r="J324" s="250"/>
      <c r="Q324" s="235" t="s">
        <v>1117</v>
      </c>
      <c r="R324" s="1055" t="s">
        <v>1116</v>
      </c>
      <c r="S324" s="1055">
        <v>1</v>
      </c>
      <c r="T324" s="355" t="str">
        <f t="array" ref="T324">IFERROR(INDEX($T$3:$T$306,MATCH(1,($R324=$R$3:$R$306)*($S324=$S$3:$S$306),0))," ")</f>
        <v>XA1-65B_001 (명례)</v>
      </c>
      <c r="U324" s="355">
        <f t="array" ref="U324">IFERROR(INDEX($U$3:$U$306,MATCH(1,($R324=$R$3:$R$306)*($S324=$S$3:$S$306),0))," ")</f>
        <v>14000</v>
      </c>
      <c r="V324" s="355">
        <f t="array" ref="V324">IFERROR(INDEX($V$3:$V$306,MATCH(1,($R324=$R$3:$R$306)*($S324=$S$3:$S$306),0))," ")</f>
        <v>65240000</v>
      </c>
      <c r="X324" s="355"/>
      <c r="Y324" s="355"/>
      <c r="Z324" s="355"/>
      <c r="AA324" s="355"/>
      <c r="AB324" s="355"/>
    </row>
    <row r="325" spans="3:42">
      <c r="J325" s="250"/>
      <c r="P325" s="235" t="s">
        <v>1118</v>
      </c>
      <c r="Q325" s="1053">
        <f>AK8</f>
        <v>0.59593608585751401</v>
      </c>
      <c r="R325" s="1035" t="s">
        <v>905</v>
      </c>
      <c r="S325" s="1038">
        <f>COUNTIF($R$3:R325,R325)</f>
        <v>19</v>
      </c>
      <c r="T325" s="1050" t="str">
        <f>T324</f>
        <v>XA1-65B_001 (명례)</v>
      </c>
      <c r="U325" s="1849">
        <f>U324*Q325</f>
        <v>8343.1052020051957</v>
      </c>
      <c r="V325" s="1103">
        <f>V324*Q325</f>
        <v>38878870.241344213</v>
      </c>
      <c r="X325" s="355"/>
      <c r="Y325" s="355"/>
      <c r="Z325" s="355"/>
      <c r="AA325" s="355"/>
      <c r="AB325" s="355"/>
    </row>
    <row r="326" spans="3:42">
      <c r="E326" s="913" t="s">
        <v>569</v>
      </c>
      <c r="P326" s="235" t="s">
        <v>1118</v>
      </c>
      <c r="Q326" s="1053">
        <f>AK14</f>
        <v>0.40406391414248594</v>
      </c>
      <c r="R326" s="1035" t="s">
        <v>180</v>
      </c>
      <c r="S326" s="1038">
        <f>COUNTIF($R$3:R326,R326)</f>
        <v>18</v>
      </c>
      <c r="T326" s="1050" t="str">
        <f>T325</f>
        <v>XA1-65B_001 (명례)</v>
      </c>
      <c r="U326" s="1849">
        <f>U324*Q326</f>
        <v>5656.8947979948034</v>
      </c>
      <c r="V326" s="1103">
        <f>V324*Q326</f>
        <v>26361129.758655783</v>
      </c>
      <c r="X326" s="355"/>
      <c r="Y326" s="355"/>
      <c r="Z326" s="355"/>
      <c r="AA326" s="355"/>
      <c r="AB326" s="355"/>
    </row>
    <row r="327" spans="3:42">
      <c r="C327" s="994"/>
      <c r="Q327" s="235" t="s">
        <v>1117</v>
      </c>
      <c r="R327" s="1055" t="s">
        <v>2018</v>
      </c>
      <c r="S327" s="1055">
        <v>1</v>
      </c>
      <c r="T327" s="355" t="str">
        <f t="array" ref="T327">IFERROR(INDEX($T$3:$T$306,MATCH(1,($R327=$R$3:$R$306)*($S327=$S$3:$S$306),0))," ")</f>
        <v>실리콘 MEM-0349</v>
      </c>
      <c r="U327" s="355">
        <f t="array" ref="U327">IFERROR(INDEX($U$3:$U$306,MATCH(1,($R327=$R$3:$R$306)*($S327=$S$3:$S$306),0))," ")</f>
        <v>4</v>
      </c>
      <c r="V327" s="355">
        <f t="array" ref="V327">IFERROR(INDEX($V$3:$V$306,MATCH(1,($R327=$R$3:$R$306)*($S327=$S$3:$S$306),0))," ")</f>
        <v>1040000</v>
      </c>
      <c r="X327" s="355"/>
      <c r="Y327" s="355"/>
      <c r="Z327" s="355"/>
      <c r="AA327" s="355"/>
      <c r="AB327" s="355"/>
    </row>
    <row r="328" spans="3:42">
      <c r="P328" s="235" t="s">
        <v>1118</v>
      </c>
      <c r="Q328" s="1053">
        <f>P270</f>
        <v>0.3</v>
      </c>
      <c r="R328" s="1035" t="s">
        <v>180</v>
      </c>
      <c r="S328" s="1038">
        <f>COUNTIF($R$3:R328,R328)</f>
        <v>19</v>
      </c>
      <c r="T328" s="1050" t="str">
        <f>T327</f>
        <v>실리콘 MEM-0349</v>
      </c>
      <c r="U328" s="1056">
        <f>U327*Q328</f>
        <v>1.2</v>
      </c>
      <c r="V328" s="1050">
        <f>V327*Q328</f>
        <v>312000</v>
      </c>
      <c r="X328" s="355"/>
      <c r="Y328" s="355"/>
      <c r="Z328" s="355"/>
      <c r="AA328" s="355"/>
      <c r="AB328" s="355"/>
    </row>
    <row r="329" spans="3:42">
      <c r="P329" s="235" t="s">
        <v>1118</v>
      </c>
      <c r="Q329" s="1053">
        <f>Q270</f>
        <v>0.7</v>
      </c>
      <c r="R329" s="1035" t="s">
        <v>2016</v>
      </c>
      <c r="S329" s="1038">
        <f>COUNTIF($R$3:R329,R329)</f>
        <v>153</v>
      </c>
      <c r="T329" s="1050" t="str">
        <f>T328</f>
        <v>실리콘 MEM-0349</v>
      </c>
      <c r="U329" s="1056">
        <f>U327*Q329</f>
        <v>2.8</v>
      </c>
      <c r="V329" s="1050">
        <f>V327*Q329</f>
        <v>728000</v>
      </c>
      <c r="X329" s="355"/>
      <c r="Y329" s="355"/>
      <c r="Z329" s="355"/>
      <c r="AA329" s="355"/>
      <c r="AB329" s="355"/>
    </row>
    <row r="330" spans="3:42">
      <c r="Q330" s="235" t="s">
        <v>1117</v>
      </c>
      <c r="R330" s="1055" t="s">
        <v>2018</v>
      </c>
      <c r="S330" s="1055">
        <v>2</v>
      </c>
      <c r="T330" s="355" t="str">
        <f t="array" ref="T330">IFERROR(INDEX($T$3:$T$306,MATCH(1,($R330=$R$3:$R$306)*($S330=$S$3:$S$306),0))," ")</f>
        <v>사상가위</v>
      </c>
      <c r="U330" s="355">
        <f t="array" ref="U330">IFERROR(INDEX($U$3:$U$306,MATCH(1,($R330=$R$3:$R$306)*($S330=$S$3:$S$306),0))," ")</f>
        <v>0</v>
      </c>
      <c r="V330" s="355">
        <f t="array" ref="V330">IFERROR(INDEX($V$3:$V$306,MATCH(1,($R330=$R$3:$R$306)*($S330=$S$3:$S$306),0))," ")</f>
        <v>0</v>
      </c>
      <c r="X330" s="355"/>
      <c r="Y330" s="355"/>
      <c r="Z330" s="355"/>
      <c r="AA330" s="355"/>
      <c r="AB330" s="355"/>
    </row>
    <row r="331" spans="3:42">
      <c r="P331" s="235" t="s">
        <v>1118</v>
      </c>
      <c r="Q331" s="1053">
        <f>P271</f>
        <v>0.3</v>
      </c>
      <c r="R331" s="1035" t="s">
        <v>180</v>
      </c>
      <c r="S331" s="1038">
        <f>COUNTIF($R$3:R331,R331)</f>
        <v>20</v>
      </c>
      <c r="T331" s="1050" t="str">
        <f>T330</f>
        <v>사상가위</v>
      </c>
      <c r="U331" s="1056">
        <f>U330*Q331</f>
        <v>0</v>
      </c>
      <c r="V331" s="1050">
        <f>V330*Q331</f>
        <v>0</v>
      </c>
      <c r="X331" s="355"/>
      <c r="Y331" s="355"/>
      <c r="Z331" s="355"/>
      <c r="AA331" s="355"/>
      <c r="AB331" s="355"/>
    </row>
    <row r="332" spans="3:42">
      <c r="P332" s="235" t="s">
        <v>1118</v>
      </c>
      <c r="Q332" s="1053">
        <f>Q271</f>
        <v>0.7</v>
      </c>
      <c r="R332" s="1035" t="s">
        <v>2016</v>
      </c>
      <c r="S332" s="1038">
        <f>COUNTIF($R$3:R332,R332)</f>
        <v>154</v>
      </c>
      <c r="T332" s="1050" t="str">
        <f>T331</f>
        <v>사상가위</v>
      </c>
      <c r="U332" s="1056">
        <f>U330*Q332</f>
        <v>0</v>
      </c>
      <c r="V332" s="1050">
        <f>V330*Q332</f>
        <v>0</v>
      </c>
      <c r="X332" s="355"/>
      <c r="Y332" s="355"/>
      <c r="Z332" s="355"/>
      <c r="AA332" s="355"/>
      <c r="AB332" s="355"/>
    </row>
    <row r="333" spans="3:42">
      <c r="Q333" s="235" t="s">
        <v>1117</v>
      </c>
      <c r="R333" s="1055" t="s">
        <v>2019</v>
      </c>
      <c r="S333" s="1055">
        <v>1</v>
      </c>
      <c r="T333" s="355" t="str">
        <f t="array" ref="T333">IFERROR(INDEX($T$3:$T$306,MATCH(1,($R333=$R$3:$R$306)*($S333=$S$3:$S$306),0))," ")</f>
        <v>W60905$OS</v>
      </c>
      <c r="U333" s="355">
        <f t="array" ref="U333">IFERROR(INDEX($U$3:$U$306,MATCH(1,($R333=$R$3:$R$306)*($S333=$S$3:$S$306),0))," ")</f>
        <v>4362</v>
      </c>
      <c r="V333" s="355">
        <f t="array" ref="V333">IFERROR(INDEX($V$3:$V$306,MATCH(1,($R333=$R$3:$R$306)*($S333=$S$3:$S$306),0))," ")</f>
        <v>21548280</v>
      </c>
      <c r="X333" s="355"/>
      <c r="Y333" s="355"/>
      <c r="Z333" s="355"/>
      <c r="AA333" s="355"/>
      <c r="AB333" s="355"/>
    </row>
    <row r="334" spans="3:42">
      <c r="P334" s="235" t="s">
        <v>1118</v>
      </c>
      <c r="Q334" s="1053">
        <f>P36</f>
        <v>0.6</v>
      </c>
      <c r="R334" s="1035" t="s">
        <v>2016</v>
      </c>
      <c r="S334" s="1038">
        <f>COUNTIF($R$3:R334,R334)</f>
        <v>155</v>
      </c>
      <c r="T334" s="1050" t="str">
        <f>T333</f>
        <v>W60905$OS</v>
      </c>
      <c r="U334" s="1050">
        <f>U333*Q334</f>
        <v>2617.1999999999998</v>
      </c>
      <c r="V334" s="1050">
        <f>V333*Q334</f>
        <v>12928968</v>
      </c>
      <c r="X334" s="355"/>
      <c r="Y334" s="355"/>
      <c r="Z334" s="355"/>
      <c r="AA334" s="355"/>
      <c r="AB334" s="355"/>
    </row>
    <row r="335" spans="3:42">
      <c r="P335" s="235" t="s">
        <v>1118</v>
      </c>
      <c r="Q335" s="1053">
        <f>Q36</f>
        <v>0.4</v>
      </c>
      <c r="R335" s="1035" t="s">
        <v>1114</v>
      </c>
      <c r="S335" s="1038">
        <f>COUNTIF($R$3:R335,R335)</f>
        <v>51</v>
      </c>
      <c r="T335" s="1050" t="str">
        <f>T334</f>
        <v>W60905$OS</v>
      </c>
      <c r="U335" s="1050">
        <f>U333*Q335</f>
        <v>1744.8000000000002</v>
      </c>
      <c r="V335" s="1050">
        <f>V333*Q335</f>
        <v>8619312</v>
      </c>
      <c r="X335" s="355"/>
      <c r="Y335" s="355"/>
      <c r="Z335" s="355"/>
      <c r="AA335" s="355"/>
      <c r="AB335" s="355"/>
    </row>
    <row r="336" spans="3:42">
      <c r="Q336" s="235" t="s">
        <v>1117</v>
      </c>
      <c r="R336" s="1055" t="s">
        <v>2019</v>
      </c>
      <c r="S336" s="1055">
        <v>2</v>
      </c>
      <c r="T336" s="355" t="str">
        <f t="array" ref="T336">IFERROR(INDEX($T$3:$T$306,MATCH(1,($R336=$R$3:$R$306)*($S336=$S$3:$S$306),0))," ")</f>
        <v>HSX-9600-1(경화제)</v>
      </c>
      <c r="U336" s="355">
        <f t="array" ref="U336">IFERROR(INDEX($U$3:$U$306,MATCH(1,($R336=$R$3:$R$306)*($S336=$S$3:$S$306),0))," ")</f>
        <v>0</v>
      </c>
      <c r="V336" s="355">
        <f t="array" ref="V336">IFERROR(INDEX($V$3:$V$306,MATCH(1,($R336=$R$3:$R$306)*($S336=$S$3:$S$306),0))," ")</f>
        <v>0</v>
      </c>
      <c r="X336" s="355"/>
      <c r="Y336" s="355"/>
      <c r="Z336" s="355"/>
      <c r="AA336" s="355"/>
      <c r="AB336" s="355"/>
    </row>
    <row r="337" spans="16:28">
      <c r="P337" s="235" t="s">
        <v>1118</v>
      </c>
      <c r="Q337" s="1053">
        <f>P288</f>
        <v>0.4</v>
      </c>
      <c r="R337" s="1035" t="s">
        <v>2016</v>
      </c>
      <c r="S337" s="1038">
        <f>COUNTIF($R$3:R337,R337)</f>
        <v>156</v>
      </c>
      <c r="T337" s="1050" t="str">
        <f>T336</f>
        <v>HSX-9600-1(경화제)</v>
      </c>
      <c r="U337" s="1050">
        <f>U336*Q337</f>
        <v>0</v>
      </c>
      <c r="V337" s="1050">
        <f>V336*Q337</f>
        <v>0</v>
      </c>
      <c r="X337" s="355"/>
      <c r="Y337" s="355"/>
      <c r="Z337" s="355"/>
      <c r="AA337" s="355"/>
      <c r="AB337" s="355"/>
    </row>
    <row r="338" spans="16:28">
      <c r="P338" s="235" t="s">
        <v>1118</v>
      </c>
      <c r="Q338" s="1053">
        <f>Q288</f>
        <v>0.6</v>
      </c>
      <c r="R338" s="1035" t="s">
        <v>1114</v>
      </c>
      <c r="S338" s="1038">
        <f>COUNTIF($R$3:R338,R338)</f>
        <v>52</v>
      </c>
      <c r="T338" s="1050" t="str">
        <f>T337</f>
        <v>HSX-9600-1(경화제)</v>
      </c>
      <c r="U338" s="1050">
        <f>U336*Q338</f>
        <v>0</v>
      </c>
      <c r="V338" s="1050">
        <f>V336*Q338</f>
        <v>0</v>
      </c>
      <c r="X338" s="355"/>
      <c r="Y338" s="355"/>
      <c r="Z338" s="355"/>
      <c r="AA338" s="355"/>
      <c r="AB338" s="355"/>
    </row>
    <row r="339" spans="16:28">
      <c r="Q339" s="235" t="s">
        <v>1117</v>
      </c>
      <c r="R339" s="1055" t="s">
        <v>2019</v>
      </c>
      <c r="S339" s="1055">
        <v>3</v>
      </c>
      <c r="T339" s="355" t="str">
        <f t="array" ref="T339">IFERROR(INDEX($T$3:$T$306,MATCH(1,($R339=$R$3:$R$306)*($S339=$S$3:$S$306),0))," ")</f>
        <v>HSY-6800-1</v>
      </c>
      <c r="U339" s="355">
        <f t="array" ref="U339">IFERROR(INDEX($U$3:$U$306,MATCH(1,($R339=$R$3:$R$306)*($S339=$S$3:$S$306),0))," ")</f>
        <v>2</v>
      </c>
      <c r="V339" s="355">
        <f t="array" ref="V339">IFERROR(INDEX($V$3:$V$306,MATCH(1,($R339=$R$3:$R$306)*($S339=$S$3:$S$306),0))," ")</f>
        <v>87827.400000000009</v>
      </c>
      <c r="X339" s="355"/>
      <c r="Y339" s="355"/>
      <c r="Z339" s="355"/>
      <c r="AA339" s="355"/>
      <c r="AB339" s="355"/>
    </row>
    <row r="340" spans="16:28">
      <c r="P340" s="235" t="s">
        <v>1118</v>
      </c>
      <c r="Q340" s="1053">
        <f>P289</f>
        <v>0.4</v>
      </c>
      <c r="R340" s="1035" t="s">
        <v>2016</v>
      </c>
      <c r="S340" s="1038">
        <f>COUNTIF($R$3:R340,R340)</f>
        <v>157</v>
      </c>
      <c r="T340" s="1050" t="str">
        <f>T339</f>
        <v>HSY-6800-1</v>
      </c>
      <c r="U340" s="1050">
        <f>U339*Q340</f>
        <v>0.8</v>
      </c>
      <c r="V340" s="1050">
        <f>V339*Q340</f>
        <v>35130.960000000006</v>
      </c>
      <c r="X340" s="355"/>
      <c r="Y340" s="355"/>
      <c r="Z340" s="355"/>
      <c r="AA340" s="355"/>
      <c r="AB340" s="355"/>
    </row>
    <row r="341" spans="16:28">
      <c r="P341" s="235" t="s">
        <v>1118</v>
      </c>
      <c r="Q341" s="1053">
        <f>Q289</f>
        <v>0.6</v>
      </c>
      <c r="R341" s="1035" t="s">
        <v>1114</v>
      </c>
      <c r="S341" s="1038">
        <f>COUNTIF($R$3:R341,R341)</f>
        <v>53</v>
      </c>
      <c r="T341" s="1050" t="str">
        <f>T340</f>
        <v>HSY-6800-1</v>
      </c>
      <c r="U341" s="1050">
        <f>U339*Q341</f>
        <v>1.2</v>
      </c>
      <c r="V341" s="1050">
        <f>V339*Q341</f>
        <v>52696.44</v>
      </c>
      <c r="X341" s="355"/>
      <c r="Y341" s="355"/>
      <c r="Z341" s="355"/>
      <c r="AA341" s="355"/>
      <c r="AB341" s="355"/>
    </row>
    <row r="342" spans="16:28">
      <c r="Q342" s="235" t="s">
        <v>1117</v>
      </c>
      <c r="R342" s="1055" t="s">
        <v>2019</v>
      </c>
      <c r="S342" s="1055">
        <v>4</v>
      </c>
      <c r="T342" s="355" t="str">
        <f t="array" ref="T342">IFERROR(INDEX($T$3:$T$306,MATCH(1,($R342=$R$3:$R$306)*($S342=$S$3:$S$306),0))," ")</f>
        <v>PR-405(희석제)</v>
      </c>
      <c r="U342" s="355">
        <f t="array" ref="U342">IFERROR(INDEX($U$3:$U$306,MATCH(1,($R342=$R$3:$R$306)*($S342=$S$3:$S$306),0))," ")</f>
        <v>8</v>
      </c>
      <c r="V342" s="355">
        <f t="array" ref="V342">IFERROR(INDEX($V$3:$V$306,MATCH(1,($R342=$R$3:$R$306)*($S342=$S$3:$S$306),0))," ")</f>
        <v>255960</v>
      </c>
      <c r="X342" s="355"/>
      <c r="Y342" s="355"/>
      <c r="Z342" s="355"/>
      <c r="AA342" s="355"/>
      <c r="AB342" s="355"/>
    </row>
    <row r="343" spans="16:28">
      <c r="P343" s="235" t="s">
        <v>1118</v>
      </c>
      <c r="Q343" s="1053">
        <f>P290</f>
        <v>0.4</v>
      </c>
      <c r="R343" s="1035" t="s">
        <v>2016</v>
      </c>
      <c r="S343" s="1038">
        <f>COUNTIF($R$3:R343,R343)</f>
        <v>158</v>
      </c>
      <c r="T343" s="1050" t="str">
        <f>T342</f>
        <v>PR-405(희석제)</v>
      </c>
      <c r="U343" s="1050">
        <f>U342*Q343</f>
        <v>3.2</v>
      </c>
      <c r="V343" s="1050">
        <f>V342*Q343</f>
        <v>102384</v>
      </c>
      <c r="X343" s="355"/>
      <c r="Y343" s="355"/>
      <c r="Z343" s="355"/>
      <c r="AA343" s="355"/>
      <c r="AB343" s="355"/>
    </row>
    <row r="344" spans="16:28">
      <c r="P344" s="235" t="s">
        <v>1118</v>
      </c>
      <c r="Q344" s="1053">
        <f>Q290</f>
        <v>0.6</v>
      </c>
      <c r="R344" s="1035" t="s">
        <v>1114</v>
      </c>
      <c r="S344" s="1038">
        <f>COUNTIF($R$3:R344,R344)</f>
        <v>54</v>
      </c>
      <c r="T344" s="1050" t="str">
        <f>T343</f>
        <v>PR-405(희석제)</v>
      </c>
      <c r="U344" s="1050">
        <f>U342*Q344</f>
        <v>4.8</v>
      </c>
      <c r="V344" s="1050">
        <f>V342*Q344</f>
        <v>153576</v>
      </c>
      <c r="X344" s="355"/>
      <c r="Y344" s="355"/>
      <c r="Z344" s="355"/>
      <c r="AA344" s="355"/>
      <c r="AB344" s="355"/>
    </row>
    <row r="345" spans="16:28">
      <c r="Q345" s="235" t="s">
        <v>1117</v>
      </c>
      <c r="R345" s="1055" t="s">
        <v>2019</v>
      </c>
      <c r="S345" s="1055">
        <v>5</v>
      </c>
      <c r="T345" s="355" t="str">
        <f t="array" ref="T345">IFERROR(INDEX($T$3:$T$306,MATCH(1,($R345=$R$3:$R$306)*($S345=$S$3:$S$306),0))," ")</f>
        <v>HSW-6000L</v>
      </c>
      <c r="U345" s="355">
        <f t="array" ref="U345">IFERROR(INDEX($U$3:$U$306,MATCH(1,($R345=$R$3:$R$306)*($S345=$S$3:$S$306),0))," ")</f>
        <v>144</v>
      </c>
      <c r="V345" s="355">
        <f t="array" ref="V345">IFERROR(INDEX($V$3:$V$306,MATCH(1,($R345=$R$3:$R$306)*($S345=$S$3:$S$306),0))," ")</f>
        <v>12079872</v>
      </c>
      <c r="X345" s="355"/>
      <c r="Y345" s="355"/>
      <c r="Z345" s="355"/>
      <c r="AA345" s="355"/>
      <c r="AB345" s="355"/>
    </row>
    <row r="346" spans="16:28">
      <c r="P346" s="235" t="s">
        <v>1118</v>
      </c>
      <c r="Q346" s="1053">
        <f>P297</f>
        <v>0.5</v>
      </c>
      <c r="R346" s="1035" t="s">
        <v>2016</v>
      </c>
      <c r="S346" s="1038">
        <f>COUNTIF($R$3:R346,R346)</f>
        <v>159</v>
      </c>
      <c r="T346" s="1050" t="str">
        <f>T345</f>
        <v>HSW-6000L</v>
      </c>
      <c r="U346" s="1050">
        <f>U345*Q346</f>
        <v>72</v>
      </c>
      <c r="V346" s="1050">
        <f>V345*Q346</f>
        <v>6039936</v>
      </c>
      <c r="X346" s="355"/>
      <c r="Y346" s="355"/>
      <c r="Z346" s="355"/>
      <c r="AA346" s="355"/>
      <c r="AB346" s="355"/>
    </row>
    <row r="347" spans="16:28">
      <c r="P347" s="235" t="s">
        <v>1118</v>
      </c>
      <c r="Q347" s="1053">
        <f>Q297</f>
        <v>0.5</v>
      </c>
      <c r="R347" s="1035" t="s">
        <v>1114</v>
      </c>
      <c r="S347" s="1038">
        <f>COUNTIF($R$3:R347,R347)</f>
        <v>55</v>
      </c>
      <c r="T347" s="1050" t="str">
        <f>T346</f>
        <v>HSW-6000L</v>
      </c>
      <c r="U347" s="1050">
        <f>U345*Q347</f>
        <v>72</v>
      </c>
      <c r="V347" s="1050">
        <f>V345*Q347</f>
        <v>6039936</v>
      </c>
      <c r="X347" s="355"/>
      <c r="Y347" s="355"/>
      <c r="Z347" s="355"/>
      <c r="AA347" s="355"/>
      <c r="AB347" s="355"/>
    </row>
    <row r="348" spans="16:28">
      <c r="Q348" s="235" t="s">
        <v>1117</v>
      </c>
      <c r="R348" s="1055" t="s">
        <v>2019</v>
      </c>
      <c r="S348" s="1055">
        <v>6</v>
      </c>
      <c r="T348" s="355" t="str">
        <f t="array" ref="T348">IFERROR(INDEX($T$3:$T$306,MATCH(1,($R348=$R$3:$R$306)*($S348=$S$3:$S$306),0))," ")</f>
        <v>HSW-595V</v>
      </c>
      <c r="U348" s="355">
        <f t="array" ref="U348">IFERROR(INDEX($U$3:$U$306,MATCH(1,($R348=$R$3:$R$306)*($S348=$S$3:$S$306),0))," ")</f>
        <v>34</v>
      </c>
      <c r="V348" s="355">
        <f t="array" ref="V348">IFERROR(INDEX($V$3:$V$306,MATCH(1,($R348=$R$3:$R$306)*($S348=$S$3:$S$306),0))," ")</f>
        <v>1135362</v>
      </c>
      <c r="X348" s="355"/>
      <c r="Y348" s="355"/>
      <c r="Z348" s="355"/>
      <c r="AA348" s="355"/>
      <c r="AB348" s="355"/>
    </row>
    <row r="349" spans="16:28">
      <c r="P349" s="235" t="s">
        <v>1118</v>
      </c>
      <c r="Q349" s="1053">
        <f>P298</f>
        <v>0.5</v>
      </c>
      <c r="R349" s="1035" t="s">
        <v>2016</v>
      </c>
      <c r="S349" s="1038">
        <f>COUNTIF($R$3:R349,R349)</f>
        <v>160</v>
      </c>
      <c r="T349" s="1050" t="str">
        <f>T348</f>
        <v>HSW-595V</v>
      </c>
      <c r="U349" s="1050">
        <f>U348*Q349</f>
        <v>17</v>
      </c>
      <c r="V349" s="1050">
        <f>V348*Q349</f>
        <v>567681</v>
      </c>
      <c r="X349" s="355"/>
      <c r="Y349" s="355"/>
      <c r="Z349" s="355"/>
      <c r="AA349" s="355"/>
      <c r="AB349" s="355"/>
    </row>
    <row r="350" spans="16:28">
      <c r="P350" s="235" t="s">
        <v>1118</v>
      </c>
      <c r="Q350" s="1053">
        <f>Q298</f>
        <v>0.5</v>
      </c>
      <c r="R350" s="1035" t="s">
        <v>1114</v>
      </c>
      <c r="S350" s="1038">
        <f>COUNTIF($R$3:R350,R350)</f>
        <v>56</v>
      </c>
      <c r="T350" s="1050" t="str">
        <f>T349</f>
        <v>HSW-595V</v>
      </c>
      <c r="U350" s="1050">
        <f>U348*Q350</f>
        <v>17</v>
      </c>
      <c r="V350" s="1050">
        <f>V348*Q350</f>
        <v>567681</v>
      </c>
      <c r="X350" s="355"/>
      <c r="Y350" s="355"/>
      <c r="Z350" s="355"/>
      <c r="AA350" s="355"/>
      <c r="AB350" s="355"/>
    </row>
    <row r="351" spans="16:28">
      <c r="Q351" s="235" t="s">
        <v>1117</v>
      </c>
      <c r="R351" s="1055" t="s">
        <v>2019</v>
      </c>
      <c r="S351" s="1055">
        <v>7</v>
      </c>
      <c r="T351" s="355" t="str">
        <f t="array" ref="T351">IFERROR(INDEX($T$3:$T$306,MATCH(1,($R351=$R$3:$R$306)*($S351=$S$3:$S$306),0))," ")</f>
        <v>HSP-700</v>
      </c>
      <c r="U351" s="355">
        <f t="array" ref="U351">IFERROR(INDEX($U$3:$U$306,MATCH(1,($R351=$R$3:$R$306)*($S351=$S$3:$S$306),0))," ")</f>
        <v>74</v>
      </c>
      <c r="V351" s="355">
        <f t="array" ref="V351">IFERROR(INDEX($V$3:$V$306,MATCH(1,($R351=$R$3:$R$306)*($S351=$S$3:$S$306),0))," ")</f>
        <v>3366852</v>
      </c>
      <c r="X351" s="355"/>
      <c r="Y351" s="355"/>
      <c r="Z351" s="355"/>
      <c r="AA351" s="355"/>
      <c r="AB351" s="355"/>
    </row>
    <row r="352" spans="16:28">
      <c r="P352" s="235" t="s">
        <v>1118</v>
      </c>
      <c r="Q352" s="1053">
        <f>P299</f>
        <v>0.5</v>
      </c>
      <c r="R352" s="1035" t="s">
        <v>2016</v>
      </c>
      <c r="S352" s="1038">
        <f>COUNTIF($R$3:R352,R352)</f>
        <v>161</v>
      </c>
      <c r="T352" s="1050" t="str">
        <f>T351</f>
        <v>HSP-700</v>
      </c>
      <c r="U352" s="1050">
        <f>U351*Q352</f>
        <v>37</v>
      </c>
      <c r="V352" s="1050">
        <f>V351*Q352</f>
        <v>1683426</v>
      </c>
      <c r="X352" s="355"/>
      <c r="Y352" s="355"/>
      <c r="Z352" s="355"/>
      <c r="AA352" s="355"/>
      <c r="AB352" s="355"/>
    </row>
    <row r="353" spans="16:28">
      <c r="P353" s="235" t="s">
        <v>1118</v>
      </c>
      <c r="Q353" s="1053">
        <f>Q299</f>
        <v>0.5</v>
      </c>
      <c r="R353" s="1035" t="s">
        <v>1114</v>
      </c>
      <c r="S353" s="1038">
        <f>COUNTIF($R$3:R353,R353)</f>
        <v>57</v>
      </c>
      <c r="T353" s="1050" t="str">
        <f>T352</f>
        <v>HSP-700</v>
      </c>
      <c r="U353" s="1050">
        <f>U351*Q353</f>
        <v>37</v>
      </c>
      <c r="V353" s="1050">
        <f>V351*Q353</f>
        <v>1683426</v>
      </c>
      <c r="X353" s="355"/>
      <c r="Y353" s="355"/>
      <c r="Z353" s="355"/>
      <c r="AA353" s="355"/>
      <c r="AB353" s="355"/>
    </row>
    <row r="354" spans="16:28">
      <c r="X354" s="355"/>
      <c r="Y354" s="355"/>
      <c r="Z354" s="355"/>
      <c r="AA354" s="355"/>
      <c r="AB354" s="355"/>
    </row>
    <row r="355" spans="16:28">
      <c r="X355" s="355"/>
      <c r="Y355" s="355"/>
      <c r="Z355" s="355"/>
      <c r="AA355" s="355"/>
      <c r="AB355" s="355"/>
    </row>
    <row r="356" spans="16:28">
      <c r="X356" s="355"/>
      <c r="Y356" s="355"/>
      <c r="Z356" s="355"/>
      <c r="AA356" s="355"/>
      <c r="AB356" s="355"/>
    </row>
    <row r="357" spans="16:28">
      <c r="X357" s="355"/>
      <c r="Y357" s="355"/>
      <c r="Z357" s="355"/>
      <c r="AA357" s="355"/>
      <c r="AB357" s="355"/>
    </row>
    <row r="358" spans="16:28">
      <c r="X358" s="355"/>
      <c r="Y358" s="355"/>
      <c r="Z358" s="355"/>
      <c r="AA358" s="355"/>
      <c r="AB358" s="355"/>
    </row>
    <row r="359" spans="16:28">
      <c r="X359" s="355"/>
      <c r="Y359" s="355"/>
      <c r="Z359" s="355"/>
      <c r="AA359" s="355"/>
      <c r="AB359" s="355"/>
    </row>
    <row r="360" spans="16:28">
      <c r="X360" s="355"/>
      <c r="Y360" s="355"/>
      <c r="Z360" s="355"/>
      <c r="AA360" s="355"/>
      <c r="AB360" s="355"/>
    </row>
    <row r="361" spans="16:28">
      <c r="X361" s="355"/>
      <c r="Y361" s="355"/>
      <c r="Z361" s="355"/>
      <c r="AA361" s="355"/>
      <c r="AB361" s="355"/>
    </row>
    <row r="362" spans="16:28">
      <c r="X362" s="355"/>
      <c r="Y362" s="355"/>
      <c r="Z362" s="355"/>
      <c r="AA362" s="355"/>
      <c r="AB362" s="355"/>
    </row>
    <row r="363" spans="16:28">
      <c r="X363" s="355"/>
      <c r="Y363" s="355"/>
      <c r="Z363" s="355"/>
      <c r="AA363" s="355"/>
      <c r="AB363" s="355"/>
    </row>
    <row r="364" spans="16:28">
      <c r="X364" s="355"/>
      <c r="Y364" s="355"/>
      <c r="Z364" s="355"/>
      <c r="AA364" s="355"/>
      <c r="AB364" s="355"/>
    </row>
    <row r="365" spans="16:28">
      <c r="X365" s="355"/>
      <c r="Y365" s="355"/>
      <c r="Z365" s="355"/>
      <c r="AA365" s="355"/>
      <c r="AB365" s="355"/>
    </row>
    <row r="366" spans="16:28">
      <c r="X366" s="355"/>
      <c r="Y366" s="355"/>
      <c r="Z366" s="355"/>
      <c r="AA366" s="355"/>
      <c r="AB366" s="355"/>
    </row>
    <row r="367" spans="16:28">
      <c r="X367" s="355"/>
      <c r="Y367" s="355"/>
      <c r="Z367" s="355"/>
      <c r="AA367" s="355"/>
      <c r="AB367" s="355"/>
    </row>
    <row r="368" spans="16:28">
      <c r="X368" s="355"/>
      <c r="Y368" s="355"/>
      <c r="Z368" s="355"/>
      <c r="AA368" s="355"/>
      <c r="AB368" s="355"/>
    </row>
    <row r="369" spans="24:28">
      <c r="X369" s="355"/>
      <c r="Y369" s="355"/>
      <c r="Z369" s="355"/>
      <c r="AA369" s="355"/>
      <c r="AB369" s="355"/>
    </row>
    <row r="370" spans="24:28">
      <c r="X370" s="355"/>
      <c r="Y370" s="355"/>
      <c r="Z370" s="355"/>
      <c r="AA370" s="355"/>
      <c r="AB370" s="355"/>
    </row>
    <row r="371" spans="24:28">
      <c r="X371" s="355"/>
      <c r="Y371" s="355"/>
      <c r="Z371" s="355"/>
      <c r="AA371" s="355"/>
      <c r="AB371" s="355"/>
    </row>
    <row r="372" spans="24:28">
      <c r="X372" s="355"/>
      <c r="Y372" s="355"/>
      <c r="Z372" s="355"/>
      <c r="AA372" s="355"/>
      <c r="AB372" s="355"/>
    </row>
    <row r="373" spans="24:28">
      <c r="X373" s="355"/>
      <c r="Y373" s="355"/>
      <c r="Z373" s="355"/>
      <c r="AA373" s="355"/>
      <c r="AB373" s="355"/>
    </row>
    <row r="374" spans="24:28">
      <c r="X374" s="355"/>
      <c r="Y374" s="355"/>
      <c r="Z374" s="355"/>
      <c r="AA374" s="355"/>
      <c r="AB374" s="355"/>
    </row>
    <row r="375" spans="24:28">
      <c r="X375" s="355"/>
      <c r="Y375" s="355"/>
      <c r="Z375" s="355"/>
      <c r="AA375" s="355"/>
      <c r="AB375" s="355"/>
    </row>
    <row r="376" spans="24:28">
      <c r="X376" s="355"/>
      <c r="Y376" s="355"/>
      <c r="Z376" s="355"/>
      <c r="AA376" s="355"/>
      <c r="AB376" s="355"/>
    </row>
    <row r="377" spans="24:28">
      <c r="X377" s="355"/>
      <c r="Y377" s="355"/>
      <c r="Z377" s="355"/>
      <c r="AA377" s="355"/>
      <c r="AB377" s="355"/>
    </row>
    <row r="378" spans="24:28">
      <c r="X378" s="355"/>
      <c r="Y378" s="355"/>
      <c r="Z378" s="355"/>
      <c r="AA378" s="355"/>
      <c r="AB378" s="355"/>
    </row>
    <row r="379" spans="24:28">
      <c r="X379" s="355"/>
      <c r="Y379" s="355"/>
      <c r="Z379" s="355"/>
      <c r="AA379" s="355"/>
      <c r="AB379" s="355"/>
    </row>
    <row r="380" spans="24:28">
      <c r="X380" s="355"/>
      <c r="Y380" s="355"/>
      <c r="Z380" s="355"/>
      <c r="AA380" s="355"/>
      <c r="AB380" s="355"/>
    </row>
    <row r="381" spans="24:28">
      <c r="X381" s="355"/>
      <c r="Y381" s="355"/>
      <c r="Z381" s="355"/>
      <c r="AA381" s="355"/>
      <c r="AB381" s="355"/>
    </row>
    <row r="382" spans="24:28">
      <c r="X382" s="355"/>
      <c r="Y382" s="355"/>
      <c r="Z382" s="355"/>
      <c r="AA382" s="355"/>
      <c r="AB382" s="355"/>
    </row>
    <row r="383" spans="24:28">
      <c r="X383" s="355"/>
      <c r="Y383" s="355"/>
      <c r="Z383" s="355"/>
      <c r="AA383" s="355"/>
      <c r="AB383" s="355"/>
    </row>
    <row r="384" spans="24:28">
      <c r="X384" s="355"/>
      <c r="Y384" s="355"/>
      <c r="Z384" s="355"/>
      <c r="AA384" s="355"/>
      <c r="AB384" s="355"/>
    </row>
    <row r="385" spans="24:28">
      <c r="X385" s="355"/>
      <c r="Y385" s="355"/>
      <c r="Z385" s="355"/>
      <c r="AA385" s="355"/>
      <c r="AB385" s="355"/>
    </row>
    <row r="386" spans="24:28">
      <c r="X386" s="355"/>
      <c r="Y386" s="355"/>
      <c r="Z386" s="355"/>
      <c r="AA386" s="355"/>
      <c r="AB386" s="355"/>
    </row>
    <row r="387" spans="24:28">
      <c r="X387" s="355"/>
      <c r="Y387" s="355"/>
      <c r="Z387" s="355"/>
      <c r="AA387" s="355"/>
      <c r="AB387" s="355"/>
    </row>
    <row r="388" spans="24:28">
      <c r="X388" s="355"/>
      <c r="Y388" s="355"/>
      <c r="Z388" s="355"/>
      <c r="AA388" s="355"/>
      <c r="AB388" s="355"/>
    </row>
    <row r="389" spans="24:28">
      <c r="X389" s="355"/>
      <c r="Y389" s="355"/>
      <c r="Z389" s="355"/>
      <c r="AA389" s="355"/>
      <c r="AB389" s="355"/>
    </row>
    <row r="390" spans="24:28">
      <c r="X390" s="355"/>
      <c r="Y390" s="355"/>
      <c r="Z390" s="355"/>
      <c r="AA390" s="355"/>
      <c r="AB390" s="355"/>
    </row>
    <row r="391" spans="24:28">
      <c r="X391" s="355"/>
      <c r="Y391" s="355"/>
      <c r="Z391" s="355"/>
      <c r="AA391" s="355"/>
      <c r="AB391" s="355"/>
    </row>
    <row r="392" spans="24:28">
      <c r="X392" s="355"/>
      <c r="Y392" s="355"/>
      <c r="Z392" s="355"/>
      <c r="AA392" s="355"/>
      <c r="AB392" s="355"/>
    </row>
    <row r="393" spans="24:28">
      <c r="X393" s="355"/>
      <c r="Y393" s="355"/>
      <c r="Z393" s="355"/>
      <c r="AA393" s="355"/>
      <c r="AB393" s="355"/>
    </row>
    <row r="394" spans="24:28">
      <c r="Z394" s="355"/>
      <c r="AA394" s="355"/>
      <c r="AB394" s="355"/>
    </row>
    <row r="395" spans="24:28">
      <c r="Z395" s="355"/>
      <c r="AA395" s="355"/>
      <c r="AB395" s="355"/>
    </row>
    <row r="396" spans="24:28">
      <c r="Z396" s="355"/>
      <c r="AA396" s="355"/>
      <c r="AB396" s="355"/>
    </row>
    <row r="397" spans="24:28">
      <c r="Z397" s="355"/>
      <c r="AA397" s="355"/>
      <c r="AB397" s="355"/>
    </row>
    <row r="398" spans="24:28">
      <c r="Z398" s="355"/>
      <c r="AA398" s="355"/>
      <c r="AB398" s="355"/>
    </row>
    <row r="399" spans="24:28">
      <c r="Z399" s="355"/>
      <c r="AA399" s="355"/>
      <c r="AB399" s="355"/>
    </row>
    <row r="400" spans="24:28">
      <c r="Z400" s="355"/>
      <c r="AA400" s="355"/>
      <c r="AB400" s="355"/>
    </row>
    <row r="401" spans="26:28">
      <c r="Z401" s="355"/>
      <c r="AA401" s="355"/>
      <c r="AB401" s="355"/>
    </row>
    <row r="402" spans="26:28">
      <c r="Z402" s="355"/>
      <c r="AA402" s="355"/>
      <c r="AB402" s="355"/>
    </row>
    <row r="403" spans="26:28">
      <c r="Z403" s="355"/>
      <c r="AA403" s="355"/>
      <c r="AB403" s="355"/>
    </row>
    <row r="404" spans="26:28">
      <c r="Z404" s="355"/>
      <c r="AA404" s="355"/>
      <c r="AB404" s="355"/>
    </row>
    <row r="405" spans="26:28">
      <c r="Z405" s="355"/>
      <c r="AA405" s="355"/>
      <c r="AB405" s="355"/>
    </row>
    <row r="406" spans="26:28">
      <c r="Z406" s="355"/>
      <c r="AA406" s="355"/>
      <c r="AB406" s="355"/>
    </row>
    <row r="407" spans="26:28">
      <c r="Z407" s="355"/>
      <c r="AA407" s="355"/>
      <c r="AB407" s="355"/>
    </row>
    <row r="408" spans="26:28">
      <c r="Z408" s="355"/>
      <c r="AA408" s="355"/>
      <c r="AB408" s="355"/>
    </row>
    <row r="409" spans="26:28">
      <c r="Z409" s="355"/>
      <c r="AA409" s="355"/>
      <c r="AB409" s="355"/>
    </row>
    <row r="410" spans="26:28">
      <c r="Z410" s="355"/>
      <c r="AA410" s="355"/>
      <c r="AB410" s="355"/>
    </row>
    <row r="411" spans="26:28">
      <c r="Z411" s="355"/>
      <c r="AA411" s="355"/>
      <c r="AB411" s="355"/>
    </row>
    <row r="412" spans="26:28">
      <c r="Z412" s="355"/>
      <c r="AA412" s="355"/>
      <c r="AB412" s="355"/>
    </row>
    <row r="413" spans="26:28">
      <c r="Z413" s="355"/>
      <c r="AA413" s="355"/>
      <c r="AB413" s="355"/>
    </row>
    <row r="414" spans="26:28">
      <c r="Z414" s="355"/>
      <c r="AA414" s="355"/>
      <c r="AB414" s="355"/>
    </row>
    <row r="415" spans="26:28">
      <c r="Z415" s="355"/>
      <c r="AA415" s="355"/>
      <c r="AB415" s="355"/>
    </row>
    <row r="416" spans="26:28">
      <c r="Z416" s="355"/>
      <c r="AA416" s="355"/>
      <c r="AB416" s="355"/>
    </row>
    <row r="417" spans="26:28">
      <c r="Z417" s="355"/>
      <c r="AA417" s="355"/>
      <c r="AB417" s="355"/>
    </row>
    <row r="418" spans="26:28">
      <c r="Z418" s="355"/>
      <c r="AA418" s="355"/>
      <c r="AB418" s="355"/>
    </row>
    <row r="419" spans="26:28">
      <c r="Z419" s="355"/>
      <c r="AA419" s="355"/>
      <c r="AB419" s="355"/>
    </row>
    <row r="420" spans="26:28">
      <c r="Z420" s="355"/>
      <c r="AA420" s="355"/>
      <c r="AB420" s="355"/>
    </row>
    <row r="421" spans="26:28">
      <c r="Z421" s="355"/>
      <c r="AA421" s="355"/>
      <c r="AB421" s="355"/>
    </row>
    <row r="422" spans="26:28">
      <c r="Z422" s="355"/>
      <c r="AA422" s="355"/>
      <c r="AB422" s="355"/>
    </row>
    <row r="423" spans="26:28">
      <c r="Z423" s="355"/>
      <c r="AA423" s="355"/>
      <c r="AB423" s="355"/>
    </row>
    <row r="424" spans="26:28">
      <c r="Z424" s="355"/>
      <c r="AA424" s="355"/>
      <c r="AB424" s="355"/>
    </row>
    <row r="425" spans="26:28">
      <c r="Z425" s="355"/>
      <c r="AA425" s="355"/>
      <c r="AB425" s="355"/>
    </row>
    <row r="426" spans="26:28">
      <c r="Z426" s="355"/>
      <c r="AA426" s="355"/>
      <c r="AB426" s="355"/>
    </row>
    <row r="427" spans="26:28">
      <c r="Z427" s="355"/>
      <c r="AA427" s="355"/>
      <c r="AB427" s="355"/>
    </row>
    <row r="428" spans="26:28">
      <c r="Z428" s="355"/>
      <c r="AA428" s="355"/>
      <c r="AB428" s="355"/>
    </row>
    <row r="429" spans="26:28">
      <c r="Z429" s="355"/>
      <c r="AA429" s="355"/>
      <c r="AB429" s="355"/>
    </row>
    <row r="430" spans="26:28">
      <c r="Z430" s="355"/>
      <c r="AA430" s="355"/>
      <c r="AB430" s="355"/>
    </row>
    <row r="431" spans="26:28">
      <c r="Z431" s="355"/>
      <c r="AA431" s="355"/>
      <c r="AB431" s="355"/>
    </row>
    <row r="432" spans="26:28">
      <c r="Z432" s="355"/>
      <c r="AA432" s="355"/>
      <c r="AB432" s="355"/>
    </row>
    <row r="433" spans="26:28">
      <c r="Z433" s="355"/>
      <c r="AA433" s="355"/>
      <c r="AB433" s="355"/>
    </row>
    <row r="434" spans="26:28">
      <c r="Z434" s="355"/>
      <c r="AA434" s="355"/>
      <c r="AB434" s="355"/>
    </row>
    <row r="435" spans="26:28">
      <c r="Z435" s="355"/>
      <c r="AA435" s="355"/>
      <c r="AB435" s="355"/>
    </row>
    <row r="436" spans="26:28">
      <c r="Z436" s="355"/>
      <c r="AA436" s="355"/>
      <c r="AB436" s="355"/>
    </row>
    <row r="437" spans="26:28">
      <c r="Z437" s="355"/>
      <c r="AA437" s="355"/>
      <c r="AB437" s="355"/>
    </row>
    <row r="438" spans="26:28">
      <c r="Z438" s="355"/>
      <c r="AA438" s="355"/>
      <c r="AB438" s="355"/>
    </row>
    <row r="439" spans="26:28">
      <c r="Z439" s="355"/>
      <c r="AA439" s="355"/>
      <c r="AB439" s="355"/>
    </row>
    <row r="440" spans="26:28">
      <c r="Z440" s="355"/>
      <c r="AA440" s="355"/>
      <c r="AB440" s="355"/>
    </row>
    <row r="441" spans="26:28">
      <c r="Z441" s="355"/>
      <c r="AA441" s="355"/>
      <c r="AB441" s="355"/>
    </row>
    <row r="442" spans="26:28">
      <c r="Z442" s="355"/>
      <c r="AA442" s="355"/>
      <c r="AB442" s="355"/>
    </row>
    <row r="443" spans="26:28">
      <c r="Z443" s="355"/>
      <c r="AA443" s="355"/>
      <c r="AB443" s="355"/>
    </row>
    <row r="444" spans="26:28">
      <c r="Z444" s="355"/>
      <c r="AA444" s="355"/>
      <c r="AB444" s="355"/>
    </row>
    <row r="445" spans="26:28">
      <c r="Z445" s="355"/>
      <c r="AA445" s="355"/>
      <c r="AB445" s="355"/>
    </row>
    <row r="446" spans="26:28">
      <c r="Z446" s="355"/>
      <c r="AA446" s="355"/>
      <c r="AB446" s="355"/>
    </row>
    <row r="447" spans="26:28">
      <c r="Z447" s="355"/>
      <c r="AA447" s="355"/>
      <c r="AB447" s="355"/>
    </row>
    <row r="448" spans="26:28">
      <c r="Z448" s="355"/>
      <c r="AA448" s="355"/>
      <c r="AB448" s="355"/>
    </row>
  </sheetData>
  <autoFilter ref="A2:L322" xr:uid="{00000000-0009-0000-0000-000007000000}"/>
  <customSheetViews>
    <customSheetView guid="{4B6F0EB4-660D-4B5D-BC48-6CB7C10D7F9B}" scale="110" showGridLines="0" showAutoFilter="1">
      <selection activeCell="K63" sqref="K63:K154"/>
      <pageMargins left="0.7" right="0.7" top="0.75" bottom="0.75" header="0.3" footer="0.3"/>
      <pageSetup paperSize="9" orientation="landscape" r:id="rId1"/>
      <autoFilter ref="A2:N240" xr:uid="{9733B7B7-E5D2-465F-8D09-7D0189F0B121}"/>
    </customSheetView>
    <customSheetView guid="{2118503C-FA17-40AD-A92D-3BEB91EE1F01}" scale="110" showGridLines="0" showAutoFilter="1" topLeftCell="A22">
      <selection activeCell="J28" sqref="J28:J39"/>
      <pageMargins left="0.7" right="0.7" top="0.75" bottom="0.75" header="0.3" footer="0.3"/>
      <pageSetup paperSize="9" orientation="landscape" r:id="rId2"/>
      <autoFilter ref="A2:N239" xr:uid="{79DF2361-10C5-4A06-A019-8002DFF77A7E}"/>
    </customSheetView>
    <customSheetView guid="{844B66BD-C499-418A-A656-40E7940347EA}" scale="110" showGridLines="0" showAutoFilter="1" topLeftCell="A229">
      <selection activeCell="G48" sqref="G48"/>
      <pageMargins left="0.7" right="0.7" top="0.75" bottom="0.75" header="0.3" footer="0.3"/>
      <pageSetup paperSize="9" orientation="landscape" r:id="rId3"/>
      <autoFilter ref="A2:N239" xr:uid="{5E027AEE-E8C3-4A8C-842B-554F512D2CED}"/>
    </customSheetView>
    <customSheetView guid="{7523CC8F-897F-48BF-94A5-CFFF399736A5}" scale="110" showGridLines="0" showAutoFilter="1" topLeftCell="A13">
      <selection activeCell="H27" sqref="H27"/>
      <pageMargins left="0.7" right="0.7" top="0.75" bottom="0.75" header="0.3" footer="0.3"/>
      <pageSetup paperSize="9" orientation="landscape" r:id="rId4"/>
      <autoFilter ref="A2:N239" xr:uid="{789651AA-FD9E-4C72-91B6-E51ABA9E0606}"/>
    </customSheetView>
    <customSheetView guid="{89B07EC3-7982-4908-AB99-54EB5928E5C4}" scale="110" showGridLines="0" showAutoFilter="1" topLeftCell="A127">
      <selection activeCell="A2" sqref="A2"/>
      <pageMargins left="0.7" right="0.7" top="0.75" bottom="0.75" header="0.3" footer="0.3"/>
      <pageSetup paperSize="9" orientation="landscape" r:id="rId5"/>
      <autoFilter ref="A2:N240" xr:uid="{9DF75088-C435-44CB-AA59-9F7F6F0CCB3F}"/>
    </customSheetView>
  </customSheetViews>
  <mergeCells count="72">
    <mergeCell ref="L313:L319"/>
    <mergeCell ref="L239:L240"/>
    <mergeCell ref="F287:F306"/>
    <mergeCell ref="E170:E171"/>
    <mergeCell ref="E172:E174"/>
    <mergeCell ref="E223:E229"/>
    <mergeCell ref="F272:F286"/>
    <mergeCell ref="F259:F271"/>
    <mergeCell ref="E243:E244"/>
    <mergeCell ref="F252:F258"/>
    <mergeCell ref="F241:F251"/>
    <mergeCell ref="J313:J319"/>
    <mergeCell ref="K313:K319"/>
    <mergeCell ref="F307:F312"/>
    <mergeCell ref="F239:F240"/>
    <mergeCell ref="E196:E197"/>
    <mergeCell ref="AQ26:AQ27"/>
    <mergeCell ref="O77:O78"/>
    <mergeCell ref="F112:F238"/>
    <mergeCell ref="E71:E72"/>
    <mergeCell ref="F47:F50"/>
    <mergeCell ref="E144:E164"/>
    <mergeCell ref="E205:E206"/>
    <mergeCell ref="E131:E132"/>
    <mergeCell ref="E140:E143"/>
    <mergeCell ref="E126:E129"/>
    <mergeCell ref="E137:E139"/>
    <mergeCell ref="E120:E123"/>
    <mergeCell ref="E210:E222"/>
    <mergeCell ref="E201:E204"/>
    <mergeCell ref="E198:E200"/>
    <mergeCell ref="F82:F90"/>
    <mergeCell ref="A1:J1"/>
    <mergeCell ref="A15:A24"/>
    <mergeCell ref="A26:A28"/>
    <mergeCell ref="B71:B72"/>
    <mergeCell ref="F3:F4"/>
    <mergeCell ref="E3:E14"/>
    <mergeCell ref="F51:F64"/>
    <mergeCell ref="A3:A14"/>
    <mergeCell ref="F31:F46"/>
    <mergeCell ref="F19:F23"/>
    <mergeCell ref="F26:F30"/>
    <mergeCell ref="F5:F8"/>
    <mergeCell ref="F9:F10"/>
    <mergeCell ref="F11:F14"/>
    <mergeCell ref="A31:A64"/>
    <mergeCell ref="A313:A319"/>
    <mergeCell ref="F313:F319"/>
    <mergeCell ref="A307:A312"/>
    <mergeCell ref="A241:A251"/>
    <mergeCell ref="A239:A240"/>
    <mergeCell ref="A259:A270"/>
    <mergeCell ref="A252:A258"/>
    <mergeCell ref="E305:E306"/>
    <mergeCell ref="E252:E258"/>
    <mergeCell ref="E303:E304"/>
    <mergeCell ref="A272:A286"/>
    <mergeCell ref="A287:A306"/>
    <mergeCell ref="E245:E250"/>
    <mergeCell ref="E239:E240"/>
    <mergeCell ref="F95:F111"/>
    <mergeCell ref="B78:B79"/>
    <mergeCell ref="E234:E238"/>
    <mergeCell ref="A112:A238"/>
    <mergeCell ref="E241:E242"/>
    <mergeCell ref="E135:E136"/>
    <mergeCell ref="A65:A81"/>
    <mergeCell ref="E112:E119"/>
    <mergeCell ref="E190:E195"/>
    <mergeCell ref="E124:E125"/>
    <mergeCell ref="E166:E168"/>
  </mergeCells>
  <phoneticPr fontId="8" type="noConversion"/>
  <dataValidations count="1">
    <dataValidation type="list" allowBlank="1" showInputMessage="1" showErrorMessage="1" sqref="X4" xr:uid="{B9EC2292-A779-4BB7-9AC0-0F0CFE1F4968}">
      <formula1>$AD$7:$AD$11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6"/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Z115"/>
  <sheetViews>
    <sheetView workbookViewId="0">
      <pane xSplit="6" ySplit="2" topLeftCell="AD29" activePane="bottomRight" state="frozen"/>
      <selection pane="topRight" activeCell="G1" sqref="G1"/>
      <selection pane="bottomLeft" activeCell="A3" sqref="A3"/>
      <selection pane="bottomRight" activeCell="H30" sqref="H30:AE45"/>
    </sheetView>
  </sheetViews>
  <sheetFormatPr defaultColWidth="9" defaultRowHeight="14.4"/>
  <cols>
    <col min="1" max="1" width="5" style="1254" customWidth="1"/>
    <col min="2" max="2" width="16.8984375" style="488" customWidth="1"/>
    <col min="3" max="3" width="26.5" style="488" customWidth="1"/>
    <col min="4" max="4" width="6.3984375" style="488" customWidth="1"/>
    <col min="5" max="5" width="10.19921875" style="235" customWidth="1"/>
    <col min="6" max="6" width="13" style="488" customWidth="1"/>
    <col min="7" max="7" width="9.5" style="701" customWidth="1"/>
    <col min="8" max="8" width="8.69921875" style="701" customWidth="1"/>
    <col min="9" max="9" width="9.19921875" style="701" customWidth="1"/>
    <col min="10" max="10" width="8.3984375" style="701" customWidth="1"/>
    <col min="11" max="11" width="8.09765625" style="701" customWidth="1"/>
    <col min="12" max="12" width="9.59765625" style="701" customWidth="1"/>
    <col min="13" max="13" width="10.09765625" style="701" customWidth="1"/>
    <col min="14" max="14" width="8.5" style="701" customWidth="1"/>
    <col min="15" max="15" width="11" style="701" customWidth="1"/>
    <col min="16" max="16" width="10.09765625" style="701" customWidth="1"/>
    <col min="17" max="17" width="10.59765625" style="701" customWidth="1"/>
    <col min="18" max="18" width="11.59765625" style="701" customWidth="1"/>
    <col min="19" max="20" width="9.19921875" style="701" customWidth="1"/>
    <col min="21" max="21" width="9.59765625" style="701" customWidth="1"/>
    <col min="22" max="22" width="8.8984375" style="701" customWidth="1"/>
    <col min="23" max="23" width="10.19921875" style="701" customWidth="1"/>
    <col min="24" max="37" width="8.8984375" style="701" customWidth="1"/>
    <col min="38" max="38" width="14.8984375" style="1203" customWidth="1"/>
    <col min="39" max="39" width="21.19921875" style="235" customWidth="1"/>
    <col min="40" max="40" width="17.8984375" style="235" customWidth="1"/>
    <col min="41" max="16384" width="9" style="235"/>
  </cols>
  <sheetData>
    <row r="1" spans="1:39" ht="67.5" customHeight="1" thickBot="1">
      <c r="A1" s="699"/>
      <c r="B1" s="2598" t="s">
        <v>2175</v>
      </c>
      <c r="C1" s="2598"/>
      <c r="D1" s="2598"/>
      <c r="E1" s="2598"/>
      <c r="F1" s="2598"/>
      <c r="G1" s="699"/>
      <c r="H1" s="699"/>
      <c r="I1" s="699"/>
      <c r="J1" s="699"/>
    </row>
    <row r="2" spans="1:39" s="238" customFormat="1" ht="26.25" customHeight="1" thickBot="1">
      <c r="A2" s="1238" t="s">
        <v>412</v>
      </c>
      <c r="B2" s="764" t="s">
        <v>23</v>
      </c>
      <c r="C2" s="765" t="s">
        <v>24</v>
      </c>
      <c r="D2" s="700" t="s">
        <v>25</v>
      </c>
      <c r="E2" s="700" t="s">
        <v>2085</v>
      </c>
      <c r="F2" s="700" t="s">
        <v>800</v>
      </c>
      <c r="G2" s="700">
        <v>1</v>
      </c>
      <c r="H2" s="700">
        <v>2</v>
      </c>
      <c r="I2" s="700">
        <v>3</v>
      </c>
      <c r="J2" s="700">
        <v>4</v>
      </c>
      <c r="K2" s="700">
        <v>5</v>
      </c>
      <c r="L2" s="700">
        <v>6</v>
      </c>
      <c r="M2" s="700">
        <v>7</v>
      </c>
      <c r="N2" s="700">
        <v>8</v>
      </c>
      <c r="O2" s="700">
        <v>9</v>
      </c>
      <c r="P2" s="700">
        <v>10</v>
      </c>
      <c r="Q2" s="700">
        <v>11</v>
      </c>
      <c r="R2" s="700">
        <v>12</v>
      </c>
      <c r="S2" s="700">
        <v>13</v>
      </c>
      <c r="T2" s="700">
        <v>14</v>
      </c>
      <c r="U2" s="700">
        <v>15</v>
      </c>
      <c r="V2" s="700">
        <v>16</v>
      </c>
      <c r="W2" s="700">
        <v>17</v>
      </c>
      <c r="X2" s="700">
        <v>18</v>
      </c>
      <c r="Y2" s="700">
        <v>19</v>
      </c>
      <c r="Z2" s="700">
        <v>20</v>
      </c>
      <c r="AA2" s="700">
        <v>21</v>
      </c>
      <c r="AB2" s="700">
        <v>22</v>
      </c>
      <c r="AC2" s="700">
        <v>23</v>
      </c>
      <c r="AD2" s="700">
        <v>24</v>
      </c>
      <c r="AE2" s="700">
        <v>25</v>
      </c>
      <c r="AF2" s="700">
        <v>26</v>
      </c>
      <c r="AG2" s="700">
        <v>27</v>
      </c>
      <c r="AH2" s="700">
        <v>28</v>
      </c>
      <c r="AI2" s="700">
        <v>29</v>
      </c>
      <c r="AJ2" s="700">
        <v>30</v>
      </c>
      <c r="AK2" s="1953">
        <v>31</v>
      </c>
      <c r="AL2" s="1984" t="s">
        <v>7</v>
      </c>
      <c r="AM2" s="1956" t="s">
        <v>2086</v>
      </c>
    </row>
    <row r="3" spans="1:39" s="244" customFormat="1" ht="24.9" customHeight="1">
      <c r="A3" s="2617" t="s">
        <v>292</v>
      </c>
      <c r="B3" s="767">
        <v>31020015</v>
      </c>
      <c r="C3" s="768" t="s">
        <v>1221</v>
      </c>
      <c r="D3" s="769" t="s">
        <v>27</v>
      </c>
      <c r="E3" s="1908"/>
      <c r="F3" s="2619" t="s">
        <v>577</v>
      </c>
      <c r="G3" s="618"/>
      <c r="H3" s="619"/>
      <c r="I3" s="619"/>
      <c r="J3" s="618"/>
      <c r="K3" s="619"/>
      <c r="L3" s="619"/>
      <c r="M3" s="618"/>
      <c r="N3" s="619"/>
      <c r="O3" s="619"/>
      <c r="P3" s="618"/>
      <c r="Q3" s="619"/>
      <c r="R3" s="619"/>
      <c r="S3" s="618"/>
      <c r="T3" s="619"/>
      <c r="U3" s="619"/>
      <c r="V3" s="619"/>
      <c r="W3" s="619"/>
      <c r="X3" s="619"/>
      <c r="Y3" s="618"/>
      <c r="Z3" s="619"/>
      <c r="AA3" s="619"/>
      <c r="AB3" s="618"/>
      <c r="AC3" s="619"/>
      <c r="AD3" s="619"/>
      <c r="AE3" s="618"/>
      <c r="AF3" s="619"/>
      <c r="AG3" s="619"/>
      <c r="AH3" s="618"/>
      <c r="AI3" s="619"/>
      <c r="AJ3" s="619"/>
      <c r="AK3" s="619"/>
      <c r="AL3" s="1973">
        <f>SUM(G3:AK3)</f>
        <v>0</v>
      </c>
      <c r="AM3" s="1957">
        <f>AL3*E3</f>
        <v>0</v>
      </c>
    </row>
    <row r="4" spans="1:39" s="244" customFormat="1" ht="24.9" customHeight="1">
      <c r="A4" s="2618"/>
      <c r="B4" s="1916">
        <v>31020023</v>
      </c>
      <c r="C4" s="616" t="s">
        <v>422</v>
      </c>
      <c r="D4" s="770" t="s">
        <v>27</v>
      </c>
      <c r="E4" s="1906"/>
      <c r="F4" s="2620"/>
      <c r="G4" s="609"/>
      <c r="H4" s="620"/>
      <c r="I4" s="620"/>
      <c r="J4" s="609"/>
      <c r="K4" s="620"/>
      <c r="L4" s="620"/>
      <c r="M4" s="609"/>
      <c r="N4" s="620"/>
      <c r="O4" s="620"/>
      <c r="P4" s="609"/>
      <c r="Q4" s="620"/>
      <c r="R4" s="620"/>
      <c r="S4" s="609"/>
      <c r="T4" s="620"/>
      <c r="U4" s="620"/>
      <c r="V4" s="620"/>
      <c r="W4" s="620"/>
      <c r="X4" s="620"/>
      <c r="Y4" s="609"/>
      <c r="Z4" s="620"/>
      <c r="AA4" s="620"/>
      <c r="AB4" s="609"/>
      <c r="AC4" s="620"/>
      <c r="AD4" s="620"/>
      <c r="AE4" s="609"/>
      <c r="AF4" s="620"/>
      <c r="AG4" s="620"/>
      <c r="AH4" s="609"/>
      <c r="AI4" s="620"/>
      <c r="AJ4" s="620"/>
      <c r="AK4" s="620"/>
      <c r="AL4" s="1974">
        <f t="shared" ref="AL4:AL88" si="0">SUM(G4:AK4)</f>
        <v>0</v>
      </c>
      <c r="AM4" s="1958">
        <f t="shared" ref="AM4:AM65" si="1">AL4*E4</f>
        <v>0</v>
      </c>
    </row>
    <row r="5" spans="1:39" s="244" customFormat="1" ht="24.9" customHeight="1">
      <c r="A5" s="2618"/>
      <c r="B5" s="771">
        <v>31020025</v>
      </c>
      <c r="C5" s="616" t="s">
        <v>1468</v>
      </c>
      <c r="D5" s="770" t="s">
        <v>27</v>
      </c>
      <c r="E5" s="1906"/>
      <c r="F5" s="2620"/>
      <c r="G5" s="611"/>
      <c r="H5" s="613"/>
      <c r="I5" s="613"/>
      <c r="J5" s="611"/>
      <c r="K5" s="613"/>
      <c r="L5" s="613"/>
      <c r="M5" s="611"/>
      <c r="N5" s="613"/>
      <c r="O5" s="613"/>
      <c r="P5" s="611"/>
      <c r="Q5" s="613"/>
      <c r="R5" s="613"/>
      <c r="S5" s="611"/>
      <c r="T5" s="613"/>
      <c r="U5" s="613"/>
      <c r="V5" s="613"/>
      <c r="W5" s="613"/>
      <c r="X5" s="613"/>
      <c r="Y5" s="611"/>
      <c r="Z5" s="613"/>
      <c r="AA5" s="613"/>
      <c r="AB5" s="611"/>
      <c r="AC5" s="613"/>
      <c r="AD5" s="613"/>
      <c r="AE5" s="611"/>
      <c r="AF5" s="613"/>
      <c r="AG5" s="613"/>
      <c r="AH5" s="611"/>
      <c r="AI5" s="613"/>
      <c r="AJ5" s="613"/>
      <c r="AK5" s="613"/>
      <c r="AL5" s="1974">
        <f t="shared" si="0"/>
        <v>0</v>
      </c>
      <c r="AM5" s="1958">
        <f t="shared" si="1"/>
        <v>0</v>
      </c>
    </row>
    <row r="6" spans="1:39" s="244" customFormat="1" ht="24.9" customHeight="1">
      <c r="A6" s="2618"/>
      <c r="B6" s="771">
        <v>31020026</v>
      </c>
      <c r="C6" s="616" t="s">
        <v>423</v>
      </c>
      <c r="D6" s="770" t="s">
        <v>27</v>
      </c>
      <c r="E6" s="1906"/>
      <c r="F6" s="2620"/>
      <c r="G6" s="609"/>
      <c r="H6" s="1513"/>
      <c r="I6" s="620"/>
      <c r="J6" s="609"/>
      <c r="K6" s="620"/>
      <c r="L6" s="620"/>
      <c r="M6" s="609"/>
      <c r="N6" s="620"/>
      <c r="O6" s="620"/>
      <c r="P6" s="609"/>
      <c r="Q6" s="620"/>
      <c r="R6" s="620"/>
      <c r="S6" s="609"/>
      <c r="T6" s="620"/>
      <c r="U6" s="620"/>
      <c r="V6" s="620"/>
      <c r="W6" s="620"/>
      <c r="X6" s="620"/>
      <c r="Y6" s="609"/>
      <c r="Z6" s="620"/>
      <c r="AA6" s="620"/>
      <c r="AB6" s="609"/>
      <c r="AC6" s="620"/>
      <c r="AD6" s="620"/>
      <c r="AE6" s="609"/>
      <c r="AF6" s="620"/>
      <c r="AG6" s="620"/>
      <c r="AH6" s="609"/>
      <c r="AI6" s="620"/>
      <c r="AJ6" s="620"/>
      <c r="AK6" s="620"/>
      <c r="AL6" s="1974">
        <f t="shared" si="0"/>
        <v>0</v>
      </c>
      <c r="AM6" s="1958">
        <f t="shared" si="1"/>
        <v>0</v>
      </c>
    </row>
    <row r="7" spans="1:39" s="244" customFormat="1" ht="24.9" customHeight="1">
      <c r="A7" s="2618"/>
      <c r="B7" s="772" t="s">
        <v>901</v>
      </c>
      <c r="C7" s="747" t="s">
        <v>903</v>
      </c>
      <c r="D7" s="773" t="s">
        <v>32</v>
      </c>
      <c r="E7" s="1906"/>
      <c r="F7" s="2620"/>
      <c r="G7" s="611"/>
      <c r="H7" s="611"/>
      <c r="I7" s="609"/>
      <c r="J7" s="611"/>
      <c r="K7" s="613"/>
      <c r="L7" s="613">
        <v>12000</v>
      </c>
      <c r="M7" s="611"/>
      <c r="N7" s="613"/>
      <c r="O7" s="613"/>
      <c r="P7" s="613"/>
      <c r="Q7" s="620"/>
      <c r="R7" s="613"/>
      <c r="S7" s="611"/>
      <c r="T7" s="613"/>
      <c r="U7" s="613"/>
      <c r="V7" s="613"/>
      <c r="W7" s="613"/>
      <c r="X7" s="613"/>
      <c r="Y7" s="611"/>
      <c r="Z7" s="613">
        <v>12000</v>
      </c>
      <c r="AA7" s="613"/>
      <c r="AB7" s="611"/>
      <c r="AC7" s="613"/>
      <c r="AD7" s="613"/>
      <c r="AE7" s="611"/>
      <c r="AF7" s="613"/>
      <c r="AG7" s="613"/>
      <c r="AH7" s="611"/>
      <c r="AI7" s="613"/>
      <c r="AJ7" s="613"/>
      <c r="AK7" s="613"/>
      <c r="AL7" s="1974">
        <f t="shared" si="0"/>
        <v>24000</v>
      </c>
      <c r="AM7" s="1958">
        <f t="shared" si="1"/>
        <v>0</v>
      </c>
    </row>
    <row r="8" spans="1:39" s="244" customFormat="1" ht="24" customHeight="1" thickBot="1">
      <c r="A8" s="2618"/>
      <c r="B8" s="774" t="s">
        <v>902</v>
      </c>
      <c r="C8" s="775" t="s">
        <v>904</v>
      </c>
      <c r="D8" s="776" t="s">
        <v>32</v>
      </c>
      <c r="E8" s="1909"/>
      <c r="F8" s="2621"/>
      <c r="G8" s="621"/>
      <c r="H8" s="621"/>
      <c r="I8" s="607"/>
      <c r="J8" s="621"/>
      <c r="K8" s="607"/>
      <c r="L8" s="607">
        <v>12000</v>
      </c>
      <c r="M8" s="621"/>
      <c r="N8" s="607"/>
      <c r="O8" s="607"/>
      <c r="P8" s="621"/>
      <c r="Q8" s="607"/>
      <c r="R8" s="607"/>
      <c r="S8" s="621"/>
      <c r="T8" s="607"/>
      <c r="U8" s="607"/>
      <c r="V8" s="607"/>
      <c r="W8" s="607"/>
      <c r="X8" s="607"/>
      <c r="Y8" s="621"/>
      <c r="Z8" s="607">
        <v>12000</v>
      </c>
      <c r="AA8" s="607"/>
      <c r="AB8" s="621"/>
      <c r="AC8" s="607"/>
      <c r="AD8" s="607"/>
      <c r="AE8" s="621"/>
      <c r="AF8" s="607"/>
      <c r="AG8" s="607"/>
      <c r="AH8" s="621"/>
      <c r="AI8" s="607"/>
      <c r="AJ8" s="607"/>
      <c r="AK8" s="607"/>
      <c r="AL8" s="1975">
        <f t="shared" si="0"/>
        <v>24000</v>
      </c>
      <c r="AM8" s="1959">
        <f t="shared" si="1"/>
        <v>0</v>
      </c>
    </row>
    <row r="9" spans="1:39" s="244" customFormat="1" ht="24.9" customHeight="1">
      <c r="A9" s="2618"/>
      <c r="B9" s="777">
        <v>12457812</v>
      </c>
      <c r="C9" s="778" t="s">
        <v>1137</v>
      </c>
      <c r="D9" s="779" t="s">
        <v>28</v>
      </c>
      <c r="E9" s="1908"/>
      <c r="F9" s="2619" t="s">
        <v>413</v>
      </c>
      <c r="G9" s="622"/>
      <c r="H9" s="623"/>
      <c r="I9" s="623"/>
      <c r="J9" s="624"/>
      <c r="K9" s="623"/>
      <c r="L9" s="625"/>
      <c r="M9" s="624"/>
      <c r="N9" s="623"/>
      <c r="O9" s="623"/>
      <c r="P9" s="624"/>
      <c r="Q9" s="623"/>
      <c r="R9" s="623"/>
      <c r="S9" s="624"/>
      <c r="T9" s="623"/>
      <c r="U9" s="623"/>
      <c r="V9" s="623"/>
      <c r="W9" s="623"/>
      <c r="X9" s="623"/>
      <c r="Y9" s="624"/>
      <c r="Z9" s="623"/>
      <c r="AA9" s="623"/>
      <c r="AB9" s="624"/>
      <c r="AC9" s="623"/>
      <c r="AD9" s="623"/>
      <c r="AE9" s="624"/>
      <c r="AF9" s="623"/>
      <c r="AG9" s="623"/>
      <c r="AH9" s="624"/>
      <c r="AI9" s="623"/>
      <c r="AJ9" s="623"/>
      <c r="AK9" s="623"/>
      <c r="AL9" s="1974">
        <f t="shared" si="0"/>
        <v>0</v>
      </c>
      <c r="AM9" s="1957">
        <f t="shared" si="1"/>
        <v>0</v>
      </c>
    </row>
    <row r="10" spans="1:39" s="244" customFormat="1" ht="24.9" customHeight="1">
      <c r="A10" s="2618"/>
      <c r="B10" s="745">
        <v>12457813</v>
      </c>
      <c r="C10" s="780" t="s">
        <v>297</v>
      </c>
      <c r="D10" s="770" t="s">
        <v>28</v>
      </c>
      <c r="E10" s="1906"/>
      <c r="F10" s="2620"/>
      <c r="G10" s="626"/>
      <c r="H10" s="627"/>
      <c r="I10" s="627"/>
      <c r="J10" s="628"/>
      <c r="K10" s="627"/>
      <c r="L10" s="627"/>
      <c r="M10" s="628"/>
      <c r="N10" s="627"/>
      <c r="O10" s="627"/>
      <c r="P10" s="627"/>
      <c r="Q10" s="627"/>
      <c r="R10" s="627"/>
      <c r="S10" s="628"/>
      <c r="T10" s="627"/>
      <c r="U10" s="627"/>
      <c r="V10" s="628"/>
      <c r="W10" s="628"/>
      <c r="X10" s="628"/>
      <c r="Y10" s="628"/>
      <c r="Z10" s="627"/>
      <c r="AA10" s="627"/>
      <c r="AB10" s="628"/>
      <c r="AC10" s="627"/>
      <c r="AD10" s="627"/>
      <c r="AE10" s="628"/>
      <c r="AF10" s="627"/>
      <c r="AG10" s="627"/>
      <c r="AH10" s="628"/>
      <c r="AI10" s="627"/>
      <c r="AJ10" s="627"/>
      <c r="AK10" s="627"/>
      <c r="AL10" s="1974">
        <f t="shared" si="0"/>
        <v>0</v>
      </c>
      <c r="AM10" s="1958">
        <f t="shared" si="1"/>
        <v>0</v>
      </c>
    </row>
    <row r="11" spans="1:39" s="244" customFormat="1" ht="24.9" customHeight="1">
      <c r="A11" s="2618"/>
      <c r="B11" s="745">
        <v>12457814</v>
      </c>
      <c r="C11" s="780" t="s">
        <v>298</v>
      </c>
      <c r="D11" s="770" t="s">
        <v>28</v>
      </c>
      <c r="E11" s="1906"/>
      <c r="F11" s="2620"/>
      <c r="G11" s="622"/>
      <c r="H11" s="624"/>
      <c r="I11" s="623"/>
      <c r="J11" s="628"/>
      <c r="K11" s="623"/>
      <c r="L11" s="623"/>
      <c r="M11" s="624"/>
      <c r="N11" s="623"/>
      <c r="O11" s="623"/>
      <c r="P11" s="624"/>
      <c r="Q11" s="623"/>
      <c r="R11" s="623"/>
      <c r="S11" s="624"/>
      <c r="T11" s="623"/>
      <c r="U11" s="623"/>
      <c r="V11" s="628"/>
      <c r="W11" s="1452"/>
      <c r="X11" s="628"/>
      <c r="Y11" s="624"/>
      <c r="Z11" s="623"/>
      <c r="AA11" s="623"/>
      <c r="AB11" s="624"/>
      <c r="AC11" s="623"/>
      <c r="AD11" s="623"/>
      <c r="AE11" s="624"/>
      <c r="AF11" s="623"/>
      <c r="AG11" s="623"/>
      <c r="AH11" s="624"/>
      <c r="AI11" s="623"/>
      <c r="AJ11" s="623"/>
      <c r="AK11" s="623"/>
      <c r="AL11" s="1974">
        <f t="shared" si="0"/>
        <v>0</v>
      </c>
      <c r="AM11" s="1958">
        <f t="shared" si="1"/>
        <v>0</v>
      </c>
    </row>
    <row r="12" spans="1:39" s="244" customFormat="1" ht="24.9" customHeight="1">
      <c r="A12" s="2618"/>
      <c r="B12" s="745">
        <v>12345698</v>
      </c>
      <c r="C12" s="780" t="s">
        <v>299</v>
      </c>
      <c r="D12" s="781" t="s">
        <v>300</v>
      </c>
      <c r="E12" s="1906"/>
      <c r="F12" s="2620"/>
      <c r="G12" s="626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8"/>
      <c r="U12" s="628"/>
      <c r="V12" s="628"/>
      <c r="W12" s="628"/>
      <c r="X12" s="628"/>
      <c r="Y12" s="628"/>
      <c r="Z12" s="628"/>
      <c r="AA12" s="628"/>
      <c r="AB12" s="628"/>
      <c r="AC12" s="628"/>
      <c r="AD12" s="628"/>
      <c r="AE12" s="628"/>
      <c r="AF12" s="628"/>
      <c r="AG12" s="628"/>
      <c r="AH12" s="628"/>
      <c r="AI12" s="628"/>
      <c r="AJ12" s="628"/>
      <c r="AK12" s="627"/>
      <c r="AL12" s="1974">
        <f t="shared" si="0"/>
        <v>0</v>
      </c>
      <c r="AM12" s="1958">
        <f t="shared" si="1"/>
        <v>0</v>
      </c>
    </row>
    <row r="13" spans="1:39" s="244" customFormat="1" ht="24.9" customHeight="1" thickBot="1">
      <c r="A13" s="2618"/>
      <c r="B13" s="750">
        <v>31020035</v>
      </c>
      <c r="C13" s="782" t="s">
        <v>414</v>
      </c>
      <c r="D13" s="783" t="s">
        <v>28</v>
      </c>
      <c r="E13" s="1909"/>
      <c r="F13" s="2621"/>
      <c r="G13" s="629"/>
      <c r="H13" s="1239"/>
      <c r="I13" s="630"/>
      <c r="J13" s="631"/>
      <c r="K13" s="630"/>
      <c r="L13" s="630"/>
      <c r="M13" s="631"/>
      <c r="N13" s="630"/>
      <c r="O13" s="630"/>
      <c r="P13" s="630"/>
      <c r="Q13" s="631"/>
      <c r="R13" s="630"/>
      <c r="S13" s="631"/>
      <c r="T13" s="630"/>
      <c r="U13" s="630"/>
      <c r="V13" s="630"/>
      <c r="W13" s="630"/>
      <c r="X13" s="630"/>
      <c r="Y13" s="631"/>
      <c r="Z13" s="630"/>
      <c r="AA13" s="630"/>
      <c r="AB13" s="631"/>
      <c r="AC13" s="630"/>
      <c r="AD13" s="630"/>
      <c r="AE13" s="631"/>
      <c r="AF13" s="630"/>
      <c r="AG13" s="630"/>
      <c r="AH13" s="631"/>
      <c r="AI13" s="630"/>
      <c r="AJ13" s="630"/>
      <c r="AK13" s="630"/>
      <c r="AL13" s="1976">
        <f t="shared" si="0"/>
        <v>0</v>
      </c>
      <c r="AM13" s="1959">
        <f t="shared" si="1"/>
        <v>0</v>
      </c>
    </row>
    <row r="14" spans="1:39" s="244" customFormat="1" ht="24.9" customHeight="1">
      <c r="A14" s="2618"/>
      <c r="B14" s="771">
        <v>31020032</v>
      </c>
      <c r="C14" s="617" t="s">
        <v>29</v>
      </c>
      <c r="D14" s="770" t="s">
        <v>27</v>
      </c>
      <c r="E14" s="1908"/>
      <c r="F14" s="2619" t="s">
        <v>415</v>
      </c>
      <c r="G14" s="611"/>
      <c r="H14" s="613"/>
      <c r="I14" s="613"/>
      <c r="J14" s="611"/>
      <c r="K14" s="613"/>
      <c r="L14" s="613">
        <v>3262</v>
      </c>
      <c r="M14" s="611"/>
      <c r="N14" s="613"/>
      <c r="O14" s="613"/>
      <c r="P14" s="611"/>
      <c r="Q14" s="613"/>
      <c r="R14" s="613"/>
      <c r="S14" s="611"/>
      <c r="T14" s="613"/>
      <c r="U14" s="613"/>
      <c r="V14" s="613"/>
      <c r="W14" s="613"/>
      <c r="X14" s="613"/>
      <c r="Y14" s="611"/>
      <c r="Z14" s="613"/>
      <c r="AA14" s="613"/>
      <c r="AB14" s="611"/>
      <c r="AC14" s="613"/>
      <c r="AD14" s="613"/>
      <c r="AE14" s="611"/>
      <c r="AF14" s="613"/>
      <c r="AG14" s="613"/>
      <c r="AH14" s="611"/>
      <c r="AI14" s="613"/>
      <c r="AJ14" s="613"/>
      <c r="AK14" s="613"/>
      <c r="AL14" s="1974">
        <f t="shared" si="0"/>
        <v>3262</v>
      </c>
      <c r="AM14" s="1957">
        <f t="shared" si="1"/>
        <v>0</v>
      </c>
    </row>
    <row r="15" spans="1:39" s="244" customFormat="1" ht="24.9" customHeight="1" thickBot="1">
      <c r="A15" s="743"/>
      <c r="B15" s="784">
        <v>31030033</v>
      </c>
      <c r="C15" s="782" t="s">
        <v>303</v>
      </c>
      <c r="D15" s="783" t="s">
        <v>27</v>
      </c>
      <c r="E15" s="1909"/>
      <c r="F15" s="2621"/>
      <c r="G15" s="621"/>
      <c r="H15" s="607"/>
      <c r="I15" s="607"/>
      <c r="J15" s="621"/>
      <c r="K15" s="607"/>
      <c r="L15" s="607"/>
      <c r="M15" s="621"/>
      <c r="N15" s="607"/>
      <c r="O15" s="607"/>
      <c r="P15" s="607"/>
      <c r="Q15" s="607"/>
      <c r="R15" s="607"/>
      <c r="S15" s="621"/>
      <c r="T15" s="607"/>
      <c r="U15" s="607"/>
      <c r="V15" s="607"/>
      <c r="W15" s="607"/>
      <c r="X15" s="607"/>
      <c r="Y15" s="621"/>
      <c r="Z15" s="607"/>
      <c r="AA15" s="607"/>
      <c r="AB15" s="621"/>
      <c r="AC15" s="607"/>
      <c r="AD15" s="607"/>
      <c r="AE15" s="621"/>
      <c r="AF15" s="607"/>
      <c r="AG15" s="607"/>
      <c r="AH15" s="621"/>
      <c r="AI15" s="607"/>
      <c r="AJ15" s="607"/>
      <c r="AK15" s="607"/>
      <c r="AL15" s="1975">
        <f t="shared" si="0"/>
        <v>0</v>
      </c>
      <c r="AM15" s="1959">
        <f t="shared" si="1"/>
        <v>0</v>
      </c>
    </row>
    <row r="16" spans="1:39" s="244" customFormat="1" ht="24.9" customHeight="1" thickBot="1">
      <c r="A16" s="743"/>
      <c r="B16" s="1387"/>
      <c r="C16" s="1386" t="s">
        <v>1373</v>
      </c>
      <c r="D16" s="781" t="s">
        <v>28</v>
      </c>
      <c r="E16" s="1910"/>
      <c r="F16" s="1380" t="s">
        <v>1374</v>
      </c>
      <c r="G16" s="1388"/>
      <c r="H16" s="1389"/>
      <c r="I16" s="1389"/>
      <c r="J16" s="1388"/>
      <c r="K16" s="1389"/>
      <c r="L16" s="1389"/>
      <c r="M16" s="1388"/>
      <c r="N16" s="1389"/>
      <c r="O16" s="1389"/>
      <c r="P16" s="1389"/>
      <c r="Q16" s="1389"/>
      <c r="R16" s="1389"/>
      <c r="S16" s="1388"/>
      <c r="T16" s="1389"/>
      <c r="U16" s="1389"/>
      <c r="V16" s="1389"/>
      <c r="W16" s="1389"/>
      <c r="X16" s="1389"/>
      <c r="Y16" s="1388"/>
      <c r="Z16" s="1389"/>
      <c r="AA16" s="1389"/>
      <c r="AB16" s="1388"/>
      <c r="AC16" s="1389"/>
      <c r="AD16" s="1389"/>
      <c r="AE16" s="1388"/>
      <c r="AF16" s="1389"/>
      <c r="AG16" s="1389"/>
      <c r="AH16" s="1388"/>
      <c r="AI16" s="1389"/>
      <c r="AJ16" s="1389"/>
      <c r="AK16" s="1389"/>
      <c r="AL16" s="1977">
        <f t="shared" si="0"/>
        <v>0</v>
      </c>
      <c r="AM16" s="1960">
        <f t="shared" si="1"/>
        <v>0</v>
      </c>
    </row>
    <row r="17" spans="1:41" s="244" customFormat="1" ht="24.9" customHeight="1">
      <c r="A17" s="743"/>
      <c r="B17" s="767">
        <v>37040059</v>
      </c>
      <c r="C17" s="787" t="s">
        <v>30</v>
      </c>
      <c r="D17" s="744" t="s">
        <v>27</v>
      </c>
      <c r="E17" s="1908"/>
      <c r="F17" s="2603" t="s">
        <v>895</v>
      </c>
      <c r="G17" s="618"/>
      <c r="H17" s="618"/>
      <c r="I17" s="618"/>
      <c r="J17" s="618"/>
      <c r="K17" s="618"/>
      <c r="L17" s="618"/>
      <c r="M17" s="618"/>
      <c r="N17" s="618"/>
      <c r="O17" s="618"/>
      <c r="P17" s="618"/>
      <c r="Q17" s="618"/>
      <c r="R17" s="618"/>
      <c r="S17" s="618"/>
      <c r="T17" s="618"/>
      <c r="U17" s="618"/>
      <c r="V17" s="618"/>
      <c r="W17" s="618"/>
      <c r="X17" s="618"/>
      <c r="Y17" s="618"/>
      <c r="Z17" s="618"/>
      <c r="AA17" s="618"/>
      <c r="AB17" s="618"/>
      <c r="AC17" s="618"/>
      <c r="AD17" s="618"/>
      <c r="AE17" s="618"/>
      <c r="AF17" s="618"/>
      <c r="AG17" s="618"/>
      <c r="AH17" s="618"/>
      <c r="AI17" s="618"/>
      <c r="AJ17" s="618"/>
      <c r="AK17" s="619"/>
      <c r="AL17" s="1973">
        <f t="shared" si="0"/>
        <v>0</v>
      </c>
      <c r="AM17" s="1957">
        <f t="shared" si="1"/>
        <v>0</v>
      </c>
    </row>
    <row r="18" spans="1:41" s="244" customFormat="1" ht="24.9" customHeight="1">
      <c r="A18" s="743"/>
      <c r="B18" s="771">
        <v>12457811</v>
      </c>
      <c r="C18" s="616" t="s">
        <v>416</v>
      </c>
      <c r="D18" s="615" t="s">
        <v>27</v>
      </c>
      <c r="E18" s="1906"/>
      <c r="F18" s="2604"/>
      <c r="G18" s="609">
        <v>5000</v>
      </c>
      <c r="H18" s="1523"/>
      <c r="I18" s="609"/>
      <c r="J18" s="609"/>
      <c r="K18" s="609"/>
      <c r="L18" s="609"/>
      <c r="M18" s="609"/>
      <c r="N18" s="609"/>
      <c r="O18" s="609"/>
      <c r="P18" s="609"/>
      <c r="Q18" s="609"/>
      <c r="R18" s="609"/>
      <c r="S18" s="609"/>
      <c r="T18" s="609"/>
      <c r="U18" s="609"/>
      <c r="V18" s="609"/>
      <c r="W18" s="609"/>
      <c r="X18" s="609"/>
      <c r="Y18" s="609"/>
      <c r="Z18" s="609"/>
      <c r="AA18" s="609"/>
      <c r="AB18" s="609"/>
      <c r="AC18" s="609"/>
      <c r="AD18" s="609"/>
      <c r="AE18" s="609"/>
      <c r="AF18" s="609"/>
      <c r="AG18" s="609"/>
      <c r="AH18" s="609"/>
      <c r="AI18" s="609"/>
      <c r="AJ18" s="609"/>
      <c r="AK18" s="620"/>
      <c r="AL18" s="1978">
        <f t="shared" si="0"/>
        <v>5000</v>
      </c>
      <c r="AM18" s="1958">
        <f t="shared" si="1"/>
        <v>0</v>
      </c>
    </row>
    <row r="19" spans="1:41" s="244" customFormat="1" ht="24.9" customHeight="1">
      <c r="A19" s="743"/>
      <c r="B19" s="771">
        <v>12457859</v>
      </c>
      <c r="C19" s="616" t="s">
        <v>306</v>
      </c>
      <c r="D19" s="615" t="s">
        <v>27</v>
      </c>
      <c r="E19" s="1906"/>
      <c r="F19" s="2604"/>
      <c r="G19" s="609"/>
      <c r="H19" s="609"/>
      <c r="I19" s="609"/>
      <c r="J19" s="609"/>
      <c r="K19" s="609"/>
      <c r="L19" s="609"/>
      <c r="M19" s="609"/>
      <c r="N19" s="609"/>
      <c r="O19" s="609"/>
      <c r="P19" s="609"/>
      <c r="Q19" s="609"/>
      <c r="R19" s="609"/>
      <c r="S19" s="609"/>
      <c r="T19" s="609"/>
      <c r="U19" s="609"/>
      <c r="V19" s="609"/>
      <c r="W19" s="609"/>
      <c r="X19" s="609"/>
      <c r="Y19" s="609"/>
      <c r="Z19" s="609"/>
      <c r="AA19" s="609"/>
      <c r="AB19" s="609"/>
      <c r="AC19" s="609"/>
      <c r="AD19" s="609"/>
      <c r="AE19" s="609"/>
      <c r="AF19" s="609"/>
      <c r="AG19" s="609"/>
      <c r="AH19" s="609"/>
      <c r="AI19" s="609"/>
      <c r="AJ19" s="609"/>
      <c r="AK19" s="620"/>
      <c r="AL19" s="1978">
        <f t="shared" si="0"/>
        <v>0</v>
      </c>
      <c r="AM19" s="1958">
        <f t="shared" si="1"/>
        <v>0</v>
      </c>
    </row>
    <row r="20" spans="1:41" s="244" customFormat="1" ht="24.9" customHeight="1">
      <c r="A20" s="743"/>
      <c r="B20" s="771">
        <v>12454522</v>
      </c>
      <c r="C20" s="616" t="s">
        <v>308</v>
      </c>
      <c r="D20" s="615" t="s">
        <v>27</v>
      </c>
      <c r="E20" s="1906"/>
      <c r="F20" s="2604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609"/>
      <c r="AB20" s="609"/>
      <c r="AC20" s="609"/>
      <c r="AD20" s="609"/>
      <c r="AE20" s="609"/>
      <c r="AF20" s="609"/>
      <c r="AG20" s="609"/>
      <c r="AH20" s="609"/>
      <c r="AI20" s="609"/>
      <c r="AJ20" s="609"/>
      <c r="AK20" s="620"/>
      <c r="AL20" s="1978">
        <f t="shared" si="0"/>
        <v>0</v>
      </c>
      <c r="AM20" s="1958">
        <f t="shared" si="1"/>
        <v>0</v>
      </c>
    </row>
    <row r="21" spans="1:41" s="244" customFormat="1" ht="24.9" customHeight="1">
      <c r="A21" s="743"/>
      <c r="B21" s="771">
        <v>12121212</v>
      </c>
      <c r="C21" s="616" t="s">
        <v>417</v>
      </c>
      <c r="D21" s="615" t="s">
        <v>27</v>
      </c>
      <c r="E21" s="1906"/>
      <c r="F21" s="2604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  <c r="Z21" s="609"/>
      <c r="AA21" s="609"/>
      <c r="AB21" s="609"/>
      <c r="AC21" s="609"/>
      <c r="AD21" s="609"/>
      <c r="AE21" s="609"/>
      <c r="AF21" s="609"/>
      <c r="AG21" s="609"/>
      <c r="AH21" s="609"/>
      <c r="AI21" s="609"/>
      <c r="AJ21" s="609"/>
      <c r="AK21" s="620"/>
      <c r="AL21" s="1978">
        <f>SUM(G21:AK21)</f>
        <v>0</v>
      </c>
      <c r="AM21" s="1958">
        <f t="shared" si="1"/>
        <v>0</v>
      </c>
    </row>
    <row r="22" spans="1:41" s="244" customFormat="1" ht="24.9" customHeight="1">
      <c r="A22" s="743"/>
      <c r="B22" s="753" t="s">
        <v>1138</v>
      </c>
      <c r="C22" s="749" t="s">
        <v>1190</v>
      </c>
      <c r="D22" s="615" t="s">
        <v>27</v>
      </c>
      <c r="E22" s="1906"/>
      <c r="F22" s="2604"/>
      <c r="G22" s="609"/>
      <c r="H22" s="609"/>
      <c r="I22" s="609"/>
      <c r="J22" s="609"/>
      <c r="K22" s="609"/>
      <c r="L22" s="609"/>
      <c r="M22" s="609"/>
      <c r="N22" s="609"/>
      <c r="O22" s="609"/>
      <c r="P22" s="609"/>
      <c r="Q22" s="609"/>
      <c r="R22" s="609"/>
      <c r="S22" s="609"/>
      <c r="T22" s="609">
        <v>500</v>
      </c>
      <c r="U22" s="609"/>
      <c r="V22" s="609"/>
      <c r="W22" s="609"/>
      <c r="X22" s="609"/>
      <c r="Y22" s="609"/>
      <c r="Z22" s="609"/>
      <c r="AA22" s="609"/>
      <c r="AB22" s="609"/>
      <c r="AC22" s="609"/>
      <c r="AD22" s="609"/>
      <c r="AE22" s="609"/>
      <c r="AF22" s="609"/>
      <c r="AG22" s="609"/>
      <c r="AH22" s="609"/>
      <c r="AI22" s="609"/>
      <c r="AJ22" s="609"/>
      <c r="AK22" s="620"/>
      <c r="AL22" s="1978">
        <f>SUM(G22:AK22)</f>
        <v>500</v>
      </c>
      <c r="AM22" s="1958">
        <f t="shared" si="1"/>
        <v>0</v>
      </c>
    </row>
    <row r="23" spans="1:41" s="244" customFormat="1" ht="24.75" customHeight="1">
      <c r="A23" s="743"/>
      <c r="B23" s="771" t="s">
        <v>418</v>
      </c>
      <c r="C23" s="616" t="s">
        <v>59</v>
      </c>
      <c r="D23" s="615" t="s">
        <v>27</v>
      </c>
      <c r="E23" s="1906"/>
      <c r="F23" s="2604"/>
      <c r="G23" s="609"/>
      <c r="H23" s="609"/>
      <c r="I23" s="609"/>
      <c r="J23" s="609"/>
      <c r="K23" s="609"/>
      <c r="L23" s="609"/>
      <c r="M23" s="609"/>
      <c r="N23" s="609"/>
      <c r="O23" s="609"/>
      <c r="P23" s="609"/>
      <c r="Q23" s="609"/>
      <c r="R23" s="609"/>
      <c r="S23" s="609"/>
      <c r="T23" s="609"/>
      <c r="U23" s="609"/>
      <c r="V23" s="609"/>
      <c r="W23" s="609"/>
      <c r="X23" s="609"/>
      <c r="Y23" s="609"/>
      <c r="Z23" s="609"/>
      <c r="AA23" s="609"/>
      <c r="AB23" s="609"/>
      <c r="AC23" s="609"/>
      <c r="AD23" s="609"/>
      <c r="AE23" s="609"/>
      <c r="AF23" s="609"/>
      <c r="AG23" s="609"/>
      <c r="AH23" s="609"/>
      <c r="AI23" s="609"/>
      <c r="AJ23" s="609"/>
      <c r="AK23" s="620"/>
      <c r="AL23" s="1978">
        <f t="shared" si="0"/>
        <v>0</v>
      </c>
      <c r="AM23" s="1958">
        <f t="shared" si="1"/>
        <v>0</v>
      </c>
    </row>
    <row r="24" spans="1:41" s="244" customFormat="1" ht="24.75" customHeight="1">
      <c r="A24" s="743"/>
      <c r="B24" s="771" t="s">
        <v>419</v>
      </c>
      <c r="C24" s="616" t="s">
        <v>70</v>
      </c>
      <c r="D24" s="615" t="s">
        <v>27</v>
      </c>
      <c r="E24" s="1906"/>
      <c r="F24" s="2604"/>
      <c r="G24" s="609"/>
      <c r="H24" s="609"/>
      <c r="I24" s="609"/>
      <c r="J24" s="609"/>
      <c r="K24" s="609"/>
      <c r="L24" s="609"/>
      <c r="M24" s="609"/>
      <c r="N24" s="609"/>
      <c r="O24" s="609"/>
      <c r="P24" s="609"/>
      <c r="Q24" s="609"/>
      <c r="R24" s="609"/>
      <c r="S24" s="609"/>
      <c r="T24" s="609"/>
      <c r="U24" s="609"/>
      <c r="V24" s="609"/>
      <c r="W24" s="609"/>
      <c r="X24" s="609"/>
      <c r="Y24" s="609"/>
      <c r="Z24" s="609"/>
      <c r="AA24" s="609"/>
      <c r="AB24" s="609"/>
      <c r="AC24" s="609"/>
      <c r="AD24" s="609"/>
      <c r="AE24" s="609"/>
      <c r="AF24" s="609"/>
      <c r="AG24" s="609"/>
      <c r="AH24" s="609"/>
      <c r="AI24" s="609"/>
      <c r="AJ24" s="609"/>
      <c r="AK24" s="620"/>
      <c r="AL24" s="1978">
        <f t="shared" si="0"/>
        <v>0</v>
      </c>
      <c r="AM24" s="1958">
        <f t="shared" si="1"/>
        <v>0</v>
      </c>
    </row>
    <row r="25" spans="1:41" s="244" customFormat="1" ht="24.9" customHeight="1">
      <c r="A25" s="743"/>
      <c r="B25" s="771" t="s">
        <v>419</v>
      </c>
      <c r="C25" s="616" t="s">
        <v>420</v>
      </c>
      <c r="D25" s="615" t="s">
        <v>27</v>
      </c>
      <c r="E25" s="1906"/>
      <c r="F25" s="2604"/>
      <c r="G25" s="609"/>
      <c r="H25" s="609"/>
      <c r="I25" s="609"/>
      <c r="J25" s="609"/>
      <c r="K25" s="609"/>
      <c r="L25" s="609"/>
      <c r="M25" s="609"/>
      <c r="N25" s="609"/>
      <c r="O25" s="609"/>
      <c r="P25" s="609"/>
      <c r="Q25" s="609"/>
      <c r="R25" s="609"/>
      <c r="S25" s="609"/>
      <c r="T25" s="609"/>
      <c r="U25" s="609"/>
      <c r="V25" s="609"/>
      <c r="W25" s="609"/>
      <c r="X25" s="609"/>
      <c r="Y25" s="609"/>
      <c r="Z25" s="609"/>
      <c r="AA25" s="609"/>
      <c r="AB25" s="609"/>
      <c r="AC25" s="609"/>
      <c r="AD25" s="609"/>
      <c r="AE25" s="609"/>
      <c r="AF25" s="609"/>
      <c r="AG25" s="609"/>
      <c r="AH25" s="609"/>
      <c r="AI25" s="609"/>
      <c r="AJ25" s="609"/>
      <c r="AK25" s="620"/>
      <c r="AL25" s="1978">
        <f t="shared" si="0"/>
        <v>0</v>
      </c>
      <c r="AM25" s="1958">
        <f t="shared" si="1"/>
        <v>0</v>
      </c>
    </row>
    <row r="26" spans="1:41" s="244" customFormat="1" ht="24.9" customHeight="1">
      <c r="A26" s="743"/>
      <c r="B26" s="771" t="s">
        <v>74</v>
      </c>
      <c r="C26" s="616" t="s">
        <v>75</v>
      </c>
      <c r="D26" s="615" t="s">
        <v>27</v>
      </c>
      <c r="E26" s="1906"/>
      <c r="F26" s="2604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  <c r="Z26" s="609"/>
      <c r="AA26" s="609"/>
      <c r="AB26" s="609"/>
      <c r="AC26" s="609"/>
      <c r="AD26" s="609"/>
      <c r="AE26" s="609"/>
      <c r="AF26" s="609"/>
      <c r="AG26" s="609"/>
      <c r="AH26" s="609"/>
      <c r="AI26" s="609"/>
      <c r="AJ26" s="609"/>
      <c r="AK26" s="620"/>
      <c r="AL26" s="1978">
        <f t="shared" si="0"/>
        <v>0</v>
      </c>
      <c r="AM26" s="1958">
        <f t="shared" si="1"/>
        <v>0</v>
      </c>
    </row>
    <row r="27" spans="1:41" s="244" customFormat="1" ht="24.9" customHeight="1">
      <c r="A27" s="743"/>
      <c r="B27" s="771" t="s">
        <v>419</v>
      </c>
      <c r="C27" s="616" t="s">
        <v>922</v>
      </c>
      <c r="D27" s="615" t="s">
        <v>421</v>
      </c>
      <c r="E27" s="1906"/>
      <c r="F27" s="2604"/>
      <c r="G27" s="609">
        <v>136000</v>
      </c>
      <c r="H27" s="1523"/>
      <c r="I27" s="609"/>
      <c r="J27" s="609"/>
      <c r="K27" s="609"/>
      <c r="L27" s="609"/>
      <c r="M27" s="609"/>
      <c r="N27" s="609"/>
      <c r="O27" s="609"/>
      <c r="P27" s="609"/>
      <c r="Q27" s="609"/>
      <c r="R27" s="609"/>
      <c r="S27" s="609"/>
      <c r="T27" s="609"/>
      <c r="U27" s="609"/>
      <c r="V27" s="609"/>
      <c r="W27" s="609"/>
      <c r="X27" s="609"/>
      <c r="Y27" s="609"/>
      <c r="Z27" s="609"/>
      <c r="AA27" s="609"/>
      <c r="AB27" s="609"/>
      <c r="AC27" s="609"/>
      <c r="AD27" s="609"/>
      <c r="AE27" s="609"/>
      <c r="AF27" s="609"/>
      <c r="AG27" s="609"/>
      <c r="AH27" s="609"/>
      <c r="AI27" s="609"/>
      <c r="AJ27" s="609"/>
      <c r="AK27" s="620"/>
      <c r="AL27" s="1978">
        <f t="shared" si="0"/>
        <v>136000</v>
      </c>
      <c r="AM27" s="1958">
        <f t="shared" si="1"/>
        <v>0</v>
      </c>
    </row>
    <row r="28" spans="1:41" s="244" customFormat="1" ht="24.9" customHeight="1">
      <c r="A28" s="743"/>
      <c r="B28" s="771" t="s">
        <v>419</v>
      </c>
      <c r="C28" s="749" t="s">
        <v>1403</v>
      </c>
      <c r="D28" s="1390" t="s">
        <v>421</v>
      </c>
      <c r="E28" s="1906"/>
      <c r="F28" s="2604"/>
      <c r="G28" s="609">
        <v>16150</v>
      </c>
      <c r="H28" s="1523"/>
      <c r="I28" s="609"/>
      <c r="J28" s="609"/>
      <c r="K28" s="609"/>
      <c r="L28" s="609"/>
      <c r="M28" s="609"/>
      <c r="N28" s="609"/>
      <c r="O28" s="609"/>
      <c r="P28" s="609"/>
      <c r="Q28" s="609"/>
      <c r="R28" s="609"/>
      <c r="S28" s="609">
        <v>16200</v>
      </c>
      <c r="T28" s="609"/>
      <c r="U28" s="609"/>
      <c r="V28" s="609"/>
      <c r="W28" s="609"/>
      <c r="X28" s="609"/>
      <c r="Y28" s="609"/>
      <c r="Z28" s="609"/>
      <c r="AA28" s="609"/>
      <c r="AB28" s="609"/>
      <c r="AC28" s="609"/>
      <c r="AD28" s="609"/>
      <c r="AE28" s="609"/>
      <c r="AF28" s="609"/>
      <c r="AG28" s="609">
        <v>16200</v>
      </c>
      <c r="AH28" s="609"/>
      <c r="AI28" s="609"/>
      <c r="AJ28" s="609"/>
      <c r="AK28" s="620"/>
      <c r="AL28" s="1978">
        <f t="shared" si="0"/>
        <v>48550</v>
      </c>
      <c r="AM28" s="1958">
        <f t="shared" si="1"/>
        <v>0</v>
      </c>
    </row>
    <row r="29" spans="1:41" s="244" customFormat="1" ht="25.2" customHeight="1" thickBot="1">
      <c r="A29" s="743"/>
      <c r="B29" s="745" t="s">
        <v>418</v>
      </c>
      <c r="C29" s="1503" t="s">
        <v>531</v>
      </c>
      <c r="D29" s="746" t="s">
        <v>447</v>
      </c>
      <c r="E29" s="1907"/>
      <c r="F29" s="2622"/>
      <c r="G29" s="1502"/>
      <c r="H29" s="1502"/>
      <c r="I29" s="610"/>
      <c r="J29" s="610"/>
      <c r="K29" s="610"/>
      <c r="L29" s="610"/>
      <c r="M29" s="610"/>
      <c r="N29" s="610"/>
      <c r="O29" s="610"/>
      <c r="P29" s="610"/>
      <c r="Q29" s="610"/>
      <c r="R29" s="610"/>
      <c r="S29" s="610"/>
      <c r="T29" s="610"/>
      <c r="U29" s="610"/>
      <c r="V29" s="610"/>
      <c r="W29" s="610"/>
      <c r="X29" s="610"/>
      <c r="Y29" s="610"/>
      <c r="Z29" s="610"/>
      <c r="AA29" s="610"/>
      <c r="AB29" s="610"/>
      <c r="AC29" s="610"/>
      <c r="AD29" s="610"/>
      <c r="AE29" s="610"/>
      <c r="AF29" s="610"/>
      <c r="AG29" s="610"/>
      <c r="AH29" s="610"/>
      <c r="AI29" s="610"/>
      <c r="AJ29" s="610"/>
      <c r="AK29" s="1244"/>
      <c r="AL29" s="1979">
        <f t="shared" si="0"/>
        <v>0</v>
      </c>
      <c r="AM29" s="1961">
        <f t="shared" si="1"/>
        <v>0</v>
      </c>
    </row>
    <row r="30" spans="1:41" s="490" customFormat="1" ht="23.25" customHeight="1">
      <c r="A30" s="743"/>
      <c r="B30" s="767">
        <v>1</v>
      </c>
      <c r="C30" s="986" t="s">
        <v>1757</v>
      </c>
      <c r="D30" s="744" t="s">
        <v>309</v>
      </c>
      <c r="E30" s="1901"/>
      <c r="F30" s="2611" t="s">
        <v>1136</v>
      </c>
      <c r="G30" s="2037">
        <v>8568</v>
      </c>
      <c r="H30" s="618">
        <v>2083</v>
      </c>
      <c r="I30" s="1504">
        <v>4147</v>
      </c>
      <c r="J30" s="618"/>
      <c r="K30" s="619"/>
      <c r="L30" s="618">
        <v>1112</v>
      </c>
      <c r="M30" s="618">
        <v>2272</v>
      </c>
      <c r="N30" s="619">
        <v>546</v>
      </c>
      <c r="O30" s="619">
        <v>1457</v>
      </c>
      <c r="P30" s="618">
        <v>4491</v>
      </c>
      <c r="Q30" s="619">
        <v>759</v>
      </c>
      <c r="R30" s="619"/>
      <c r="S30" s="1505">
        <v>969</v>
      </c>
      <c r="T30" s="619">
        <v>1972</v>
      </c>
      <c r="U30" s="619">
        <v>1034</v>
      </c>
      <c r="V30" s="619"/>
      <c r="W30" s="619">
        <v>3630</v>
      </c>
      <c r="X30" s="1388"/>
      <c r="Y30" s="1388"/>
      <c r="Z30" s="1388">
        <v>1409</v>
      </c>
      <c r="AA30" s="619">
        <v>2474</v>
      </c>
      <c r="AB30" s="619">
        <v>1574</v>
      </c>
      <c r="AC30" s="618"/>
      <c r="AD30" s="619">
        <v>3375</v>
      </c>
      <c r="AE30" s="618"/>
      <c r="AF30" s="619"/>
      <c r="AG30" s="619"/>
      <c r="AH30" s="618"/>
      <c r="AI30" s="619"/>
      <c r="AJ30" s="619"/>
      <c r="AK30" s="619"/>
      <c r="AL30" s="1973">
        <f t="shared" ref="AL30:AL48" si="2">SUM(G30:AK30)</f>
        <v>41872</v>
      </c>
      <c r="AM30" s="1962">
        <f t="shared" si="1"/>
        <v>0</v>
      </c>
      <c r="AN30" s="1265"/>
      <c r="AO30" s="1265"/>
    </row>
    <row r="31" spans="1:41" s="490" customFormat="1" ht="23.25" customHeight="1">
      <c r="A31" s="743"/>
      <c r="B31" s="771">
        <v>2</v>
      </c>
      <c r="C31" s="749" t="s">
        <v>1758</v>
      </c>
      <c r="D31" s="615" t="s">
        <v>309</v>
      </c>
      <c r="E31" s="1903"/>
      <c r="F31" s="2612"/>
      <c r="G31" s="1523">
        <v>1112</v>
      </c>
      <c r="H31" s="609">
        <v>792</v>
      </c>
      <c r="I31" s="1381">
        <v>673</v>
      </c>
      <c r="J31" s="609"/>
      <c r="K31" s="613"/>
      <c r="L31" s="611">
        <v>1002</v>
      </c>
      <c r="M31" s="611"/>
      <c r="N31" s="613"/>
      <c r="O31" s="613">
        <v>1157</v>
      </c>
      <c r="P31" s="611">
        <v>409</v>
      </c>
      <c r="Q31" s="613"/>
      <c r="R31" s="613"/>
      <c r="S31" s="1395"/>
      <c r="T31" s="613"/>
      <c r="U31" s="613"/>
      <c r="V31" s="613">
        <v>1012</v>
      </c>
      <c r="W31" s="613"/>
      <c r="X31" s="609"/>
      <c r="Y31" s="609"/>
      <c r="Z31" s="609"/>
      <c r="AA31" s="613"/>
      <c r="AB31" s="613"/>
      <c r="AC31" s="611">
        <v>1011</v>
      </c>
      <c r="AD31" s="613"/>
      <c r="AE31" s="611"/>
      <c r="AF31" s="613"/>
      <c r="AG31" s="613"/>
      <c r="AH31" s="611"/>
      <c r="AI31" s="613"/>
      <c r="AJ31" s="613"/>
      <c r="AK31" s="613"/>
      <c r="AL31" s="1974">
        <f t="shared" si="2"/>
        <v>7168</v>
      </c>
      <c r="AM31" s="1963">
        <f t="shared" si="1"/>
        <v>0</v>
      </c>
      <c r="AN31" s="1265"/>
      <c r="AO31" s="1265"/>
    </row>
    <row r="32" spans="1:41" s="490" customFormat="1" ht="26.4" customHeight="1">
      <c r="A32" s="743"/>
      <c r="B32" s="771">
        <v>3</v>
      </c>
      <c r="C32" s="749" t="s">
        <v>2087</v>
      </c>
      <c r="D32" s="615" t="s">
        <v>309</v>
      </c>
      <c r="E32" s="1903"/>
      <c r="F32" s="2612"/>
      <c r="G32" s="1523">
        <v>2270</v>
      </c>
      <c r="H32" s="609">
        <v>1200</v>
      </c>
      <c r="I32" s="1379"/>
      <c r="J32" s="609"/>
      <c r="K32" s="1379"/>
      <c r="L32" s="611">
        <v>313</v>
      </c>
      <c r="M32" s="611">
        <v>2150</v>
      </c>
      <c r="N32" s="613">
        <v>505</v>
      </c>
      <c r="O32" s="613"/>
      <c r="P32" s="611"/>
      <c r="Q32" s="613"/>
      <c r="R32" s="613"/>
      <c r="S32" s="611">
        <v>314</v>
      </c>
      <c r="T32" s="611">
        <v>1702</v>
      </c>
      <c r="U32" s="611">
        <v>633</v>
      </c>
      <c r="V32" s="613"/>
      <c r="W32" s="611"/>
      <c r="X32" s="611"/>
      <c r="Y32" s="611"/>
      <c r="Z32" s="611">
        <v>1264</v>
      </c>
      <c r="AA32" s="613">
        <v>1319</v>
      </c>
      <c r="AB32" s="613">
        <v>1342</v>
      </c>
      <c r="AC32" s="611">
        <v>442</v>
      </c>
      <c r="AD32" s="613"/>
      <c r="AE32" s="613"/>
      <c r="AF32" s="620"/>
      <c r="AG32" s="620"/>
      <c r="AH32" s="609"/>
      <c r="AI32" s="620"/>
      <c r="AJ32" s="620"/>
      <c r="AK32" s="613"/>
      <c r="AL32" s="1974">
        <f t="shared" si="2"/>
        <v>13454</v>
      </c>
      <c r="AM32" s="1963">
        <f t="shared" si="1"/>
        <v>0</v>
      </c>
      <c r="AN32" s="1265"/>
      <c r="AO32" s="1265"/>
    </row>
    <row r="33" spans="1:41" s="490" customFormat="1" ht="24.9" customHeight="1">
      <c r="A33" s="743"/>
      <c r="B33" s="771">
        <v>4</v>
      </c>
      <c r="C33" s="749" t="s">
        <v>1185</v>
      </c>
      <c r="D33" s="615" t="s">
        <v>309</v>
      </c>
      <c r="E33" s="1903"/>
      <c r="F33" s="2612"/>
      <c r="G33" s="1523">
        <v>0</v>
      </c>
      <c r="H33" s="609"/>
      <c r="I33" s="1381"/>
      <c r="J33" s="609"/>
      <c r="K33" s="613"/>
      <c r="L33" s="611"/>
      <c r="M33" s="611"/>
      <c r="N33" s="613"/>
      <c r="O33" s="613"/>
      <c r="P33" s="611"/>
      <c r="Q33" s="613"/>
      <c r="R33" s="613"/>
      <c r="S33" s="611"/>
      <c r="T33" s="611"/>
      <c r="U33" s="611"/>
      <c r="V33" s="613"/>
      <c r="W33" s="611"/>
      <c r="X33" s="611"/>
      <c r="Y33" s="611"/>
      <c r="Z33" s="613"/>
      <c r="AA33" s="613"/>
      <c r="AB33" s="613"/>
      <c r="AC33" s="611"/>
      <c r="AD33" s="613"/>
      <c r="AE33" s="613"/>
      <c r="AF33" s="613"/>
      <c r="AG33" s="613"/>
      <c r="AH33" s="611"/>
      <c r="AI33" s="613"/>
      <c r="AJ33" s="613"/>
      <c r="AK33" s="613"/>
      <c r="AL33" s="1974">
        <f t="shared" si="2"/>
        <v>0</v>
      </c>
      <c r="AM33" s="1963">
        <f t="shared" si="1"/>
        <v>0</v>
      </c>
      <c r="AN33" s="1265"/>
      <c r="AO33" s="1265"/>
    </row>
    <row r="34" spans="1:41" s="490" customFormat="1" ht="24.9" customHeight="1">
      <c r="A34" s="743"/>
      <c r="B34" s="771">
        <v>5</v>
      </c>
      <c r="C34" s="749" t="s">
        <v>2088</v>
      </c>
      <c r="D34" s="615" t="s">
        <v>309</v>
      </c>
      <c r="E34" s="1903"/>
      <c r="F34" s="2612"/>
      <c r="G34" s="1523">
        <v>2183</v>
      </c>
      <c r="H34" s="609">
        <v>626</v>
      </c>
      <c r="I34" s="1381">
        <v>376</v>
      </c>
      <c r="J34" s="609"/>
      <c r="K34" s="613"/>
      <c r="L34" s="611">
        <v>252</v>
      </c>
      <c r="M34" s="611"/>
      <c r="N34" s="613">
        <v>499</v>
      </c>
      <c r="O34" s="613">
        <v>816</v>
      </c>
      <c r="P34" s="611"/>
      <c r="Q34" s="613"/>
      <c r="R34" s="613"/>
      <c r="S34" s="611">
        <v>313</v>
      </c>
      <c r="T34" s="611">
        <v>344</v>
      </c>
      <c r="U34" s="611">
        <v>591</v>
      </c>
      <c r="V34" s="613">
        <v>625</v>
      </c>
      <c r="W34" s="611"/>
      <c r="X34" s="611"/>
      <c r="Y34" s="611"/>
      <c r="Z34" s="613">
        <v>499</v>
      </c>
      <c r="AA34" s="613">
        <v>437</v>
      </c>
      <c r="AB34" s="613"/>
      <c r="AC34" s="611">
        <v>373</v>
      </c>
      <c r="AD34" s="613"/>
      <c r="AE34" s="613"/>
      <c r="AF34" s="613"/>
      <c r="AG34" s="613"/>
      <c r="AH34" s="611"/>
      <c r="AI34" s="613"/>
      <c r="AJ34" s="613"/>
      <c r="AK34" s="613"/>
      <c r="AL34" s="1974">
        <f t="shared" si="2"/>
        <v>7934</v>
      </c>
      <c r="AM34" s="1963">
        <f t="shared" si="1"/>
        <v>0</v>
      </c>
      <c r="AN34" s="1265"/>
      <c r="AO34" s="1265"/>
    </row>
    <row r="35" spans="1:41" s="490" customFormat="1" ht="24.9" customHeight="1">
      <c r="A35" s="1241"/>
      <c r="B35" s="771">
        <v>6</v>
      </c>
      <c r="C35" s="749" t="s">
        <v>1899</v>
      </c>
      <c r="D35" s="615" t="s">
        <v>309</v>
      </c>
      <c r="E35" s="1906"/>
      <c r="F35" s="2612"/>
      <c r="G35" s="1523">
        <v>682</v>
      </c>
      <c r="H35" s="609">
        <v>457</v>
      </c>
      <c r="I35" s="1381">
        <v>457</v>
      </c>
      <c r="J35" s="609"/>
      <c r="K35" s="613"/>
      <c r="L35" s="611">
        <v>443</v>
      </c>
      <c r="M35" s="611"/>
      <c r="N35" s="613"/>
      <c r="O35" s="613"/>
      <c r="P35" s="611"/>
      <c r="Q35" s="613"/>
      <c r="R35" s="613"/>
      <c r="S35" s="611">
        <v>453</v>
      </c>
      <c r="T35" s="611">
        <v>457</v>
      </c>
      <c r="U35" s="611">
        <v>449</v>
      </c>
      <c r="V35" s="613"/>
      <c r="W35" s="613"/>
      <c r="X35" s="611"/>
      <c r="Y35" s="611"/>
      <c r="Z35" s="613">
        <v>511</v>
      </c>
      <c r="AA35" s="613"/>
      <c r="AB35" s="613"/>
      <c r="AC35" s="611">
        <v>453</v>
      </c>
      <c r="AD35" s="613"/>
      <c r="AE35" s="613"/>
      <c r="AF35" s="613"/>
      <c r="AG35" s="613"/>
      <c r="AH35" s="611"/>
      <c r="AI35" s="613"/>
      <c r="AJ35" s="613"/>
      <c r="AK35" s="613"/>
      <c r="AL35" s="1974">
        <f t="shared" si="2"/>
        <v>4362</v>
      </c>
      <c r="AM35" s="1964">
        <f t="shared" si="1"/>
        <v>0</v>
      </c>
    </row>
    <row r="36" spans="1:41" s="490" customFormat="1" ht="24" customHeight="1">
      <c r="A36" s="1241"/>
      <c r="B36" s="771">
        <v>7</v>
      </c>
      <c r="C36" s="749" t="s">
        <v>513</v>
      </c>
      <c r="D36" s="615" t="s">
        <v>309</v>
      </c>
      <c r="E36" s="1906"/>
      <c r="F36" s="2612"/>
      <c r="G36" s="1523">
        <v>0</v>
      </c>
      <c r="H36" s="609"/>
      <c r="I36" s="1381"/>
      <c r="J36" s="611"/>
      <c r="K36" s="613"/>
      <c r="L36" s="611"/>
      <c r="M36" s="611"/>
      <c r="N36" s="613"/>
      <c r="O36" s="613"/>
      <c r="P36" s="611"/>
      <c r="Q36" s="613"/>
      <c r="R36" s="613"/>
      <c r="S36" s="611"/>
      <c r="T36" s="613"/>
      <c r="U36" s="613"/>
      <c r="V36" s="613"/>
      <c r="W36" s="613"/>
      <c r="X36" s="611"/>
      <c r="Y36" s="611"/>
      <c r="Z36" s="613"/>
      <c r="AA36" s="613"/>
      <c r="AB36" s="613"/>
      <c r="AC36" s="611"/>
      <c r="AD36" s="613"/>
      <c r="AE36" s="613"/>
      <c r="AF36" s="613"/>
      <c r="AG36" s="613"/>
      <c r="AH36" s="611"/>
      <c r="AI36" s="613"/>
      <c r="AJ36" s="613"/>
      <c r="AK36" s="613"/>
      <c r="AL36" s="1974">
        <f t="shared" si="2"/>
        <v>0</v>
      </c>
      <c r="AM36" s="1964">
        <f t="shared" si="1"/>
        <v>0</v>
      </c>
    </row>
    <row r="37" spans="1:41" s="490" customFormat="1" ht="24.9" customHeight="1">
      <c r="A37" s="1241"/>
      <c r="B37" s="771">
        <v>8</v>
      </c>
      <c r="C37" s="749" t="s">
        <v>310</v>
      </c>
      <c r="D37" s="615" t="s">
        <v>309</v>
      </c>
      <c r="E37" s="1906"/>
      <c r="F37" s="2612"/>
      <c r="G37" s="1523">
        <v>0</v>
      </c>
      <c r="H37" s="609"/>
      <c r="I37" s="1382"/>
      <c r="J37" s="634"/>
      <c r="K37" s="635"/>
      <c r="L37" s="634"/>
      <c r="M37" s="634"/>
      <c r="N37" s="635"/>
      <c r="O37" s="635"/>
      <c r="P37" s="634"/>
      <c r="Q37" s="635"/>
      <c r="R37" s="635"/>
      <c r="S37" s="634"/>
      <c r="T37" s="635"/>
      <c r="U37" s="635"/>
      <c r="V37" s="635"/>
      <c r="W37" s="635"/>
      <c r="X37" s="634"/>
      <c r="Y37" s="634"/>
      <c r="Z37" s="635"/>
      <c r="AA37" s="635"/>
      <c r="AB37" s="635"/>
      <c r="AC37" s="634"/>
      <c r="AD37" s="635"/>
      <c r="AE37" s="635"/>
      <c r="AF37" s="635"/>
      <c r="AG37" s="635"/>
      <c r="AH37" s="634"/>
      <c r="AI37" s="635"/>
      <c r="AJ37" s="635"/>
      <c r="AK37" s="635"/>
      <c r="AL37" s="1974">
        <f t="shared" si="2"/>
        <v>0</v>
      </c>
      <c r="AM37" s="1964">
        <f t="shared" si="1"/>
        <v>0</v>
      </c>
    </row>
    <row r="38" spans="1:41" s="490" customFormat="1" ht="24.9" customHeight="1">
      <c r="A38" s="1242"/>
      <c r="B38" s="771">
        <v>9</v>
      </c>
      <c r="C38" s="749" t="s">
        <v>665</v>
      </c>
      <c r="D38" s="615" t="s">
        <v>666</v>
      </c>
      <c r="E38" s="1906"/>
      <c r="F38" s="2612"/>
      <c r="G38" s="1523">
        <v>0</v>
      </c>
      <c r="H38" s="609"/>
      <c r="I38" s="1383"/>
      <c r="J38" s="609"/>
      <c r="K38" s="609"/>
      <c r="L38" s="609"/>
      <c r="M38" s="609"/>
      <c r="N38" s="609"/>
      <c r="O38" s="609"/>
      <c r="P38" s="609"/>
      <c r="Q38" s="609"/>
      <c r="R38" s="609"/>
      <c r="S38" s="609"/>
      <c r="T38" s="609"/>
      <c r="U38" s="609"/>
      <c r="V38" s="609"/>
      <c r="W38" s="609"/>
      <c r="X38" s="609"/>
      <c r="Y38" s="609"/>
      <c r="Z38" s="609"/>
      <c r="AA38" s="609"/>
      <c r="AB38" s="609"/>
      <c r="AC38" s="609"/>
      <c r="AD38" s="609"/>
      <c r="AE38" s="609"/>
      <c r="AF38" s="609"/>
      <c r="AG38" s="609"/>
      <c r="AH38" s="609"/>
      <c r="AI38" s="609"/>
      <c r="AJ38" s="609"/>
      <c r="AK38" s="620"/>
      <c r="AL38" s="1974">
        <f t="shared" si="2"/>
        <v>0</v>
      </c>
      <c r="AM38" s="1964">
        <f t="shared" si="1"/>
        <v>0</v>
      </c>
    </row>
    <row r="39" spans="1:41" s="490" customFormat="1" ht="24" customHeight="1">
      <c r="A39" s="1242"/>
      <c r="B39" s="771">
        <v>10</v>
      </c>
      <c r="C39" s="749" t="s">
        <v>618</v>
      </c>
      <c r="D39" s="615" t="s">
        <v>309</v>
      </c>
      <c r="E39" s="1906"/>
      <c r="F39" s="2612"/>
      <c r="G39" s="1523">
        <v>0</v>
      </c>
      <c r="H39" s="609"/>
      <c r="I39" s="1384"/>
      <c r="J39" s="634"/>
      <c r="K39" s="635"/>
      <c r="L39" s="634"/>
      <c r="M39" s="634"/>
      <c r="N39" s="635"/>
      <c r="O39" s="635"/>
      <c r="P39" s="634"/>
      <c r="Q39" s="635"/>
      <c r="R39" s="635"/>
      <c r="S39" s="634"/>
      <c r="T39" s="635"/>
      <c r="U39" s="635"/>
      <c r="V39" s="635"/>
      <c r="W39" s="635"/>
      <c r="X39" s="634"/>
      <c r="Y39" s="634"/>
      <c r="Z39" s="635"/>
      <c r="AA39" s="635"/>
      <c r="AB39" s="635"/>
      <c r="AC39" s="634"/>
      <c r="AD39" s="635"/>
      <c r="AE39" s="635"/>
      <c r="AF39" s="635"/>
      <c r="AG39" s="635"/>
      <c r="AH39" s="634"/>
      <c r="AI39" s="635"/>
      <c r="AJ39" s="635"/>
      <c r="AK39" s="635"/>
      <c r="AL39" s="1974">
        <f t="shared" si="2"/>
        <v>0</v>
      </c>
      <c r="AM39" s="1964">
        <f t="shared" si="1"/>
        <v>0</v>
      </c>
    </row>
    <row r="40" spans="1:41" s="490" customFormat="1" ht="24.9" customHeight="1">
      <c r="A40" s="1243"/>
      <c r="B40" s="771">
        <v>11</v>
      </c>
      <c r="C40" s="749" t="s">
        <v>616</v>
      </c>
      <c r="D40" s="615" t="s">
        <v>27</v>
      </c>
      <c r="E40" s="1906"/>
      <c r="F40" s="2612"/>
      <c r="G40" s="1523">
        <v>0</v>
      </c>
      <c r="H40" s="609"/>
      <c r="I40" s="1379"/>
      <c r="J40" s="609"/>
      <c r="K40" s="620"/>
      <c r="L40" s="609"/>
      <c r="M40" s="609"/>
      <c r="N40" s="620"/>
      <c r="O40" s="620"/>
      <c r="P40" s="609"/>
      <c r="Q40" s="620"/>
      <c r="R40" s="620"/>
      <c r="S40" s="609"/>
      <c r="T40" s="620"/>
      <c r="U40" s="620"/>
      <c r="V40" s="620"/>
      <c r="W40" s="620"/>
      <c r="X40" s="609"/>
      <c r="Y40" s="609"/>
      <c r="Z40" s="620"/>
      <c r="AA40" s="620"/>
      <c r="AB40" s="620"/>
      <c r="AC40" s="609"/>
      <c r="AD40" s="620"/>
      <c r="AE40" s="609"/>
      <c r="AF40" s="620"/>
      <c r="AG40" s="620"/>
      <c r="AH40" s="609"/>
      <c r="AI40" s="620"/>
      <c r="AJ40" s="620"/>
      <c r="AK40" s="620"/>
      <c r="AL40" s="1974">
        <f t="shared" si="2"/>
        <v>0</v>
      </c>
      <c r="AM40" s="1964">
        <f t="shared" si="1"/>
        <v>0</v>
      </c>
    </row>
    <row r="41" spans="1:41" s="490" customFormat="1" ht="24.9" customHeight="1">
      <c r="A41" s="1241"/>
      <c r="B41" s="771">
        <v>12</v>
      </c>
      <c r="C41" s="749" t="s">
        <v>2089</v>
      </c>
      <c r="D41" s="746" t="s">
        <v>309</v>
      </c>
      <c r="E41" s="1906"/>
      <c r="F41" s="2612"/>
      <c r="G41" s="1523">
        <v>1673</v>
      </c>
      <c r="H41" s="609">
        <v>313</v>
      </c>
      <c r="I41" s="1385">
        <v>746</v>
      </c>
      <c r="J41" s="610"/>
      <c r="K41" s="1244"/>
      <c r="L41" s="610">
        <v>798</v>
      </c>
      <c r="M41" s="610">
        <v>309</v>
      </c>
      <c r="N41" s="1244"/>
      <c r="O41" s="1244">
        <v>432</v>
      </c>
      <c r="P41" s="1244">
        <v>744</v>
      </c>
      <c r="Q41" s="1244"/>
      <c r="R41" s="1244"/>
      <c r="S41" s="610">
        <v>934</v>
      </c>
      <c r="T41" s="1244">
        <v>317</v>
      </c>
      <c r="U41" s="1244">
        <v>309</v>
      </c>
      <c r="V41" s="1244"/>
      <c r="W41" s="1244">
        <v>314</v>
      </c>
      <c r="X41" s="610"/>
      <c r="Y41" s="610"/>
      <c r="Z41" s="1244">
        <v>308</v>
      </c>
      <c r="AA41" s="1244">
        <v>304</v>
      </c>
      <c r="AB41" s="1244"/>
      <c r="AC41" s="610">
        <v>1052</v>
      </c>
      <c r="AD41" s="1244">
        <v>557</v>
      </c>
      <c r="AE41" s="610"/>
      <c r="AF41" s="1244"/>
      <c r="AG41" s="1244"/>
      <c r="AH41" s="610"/>
      <c r="AI41" s="1244"/>
      <c r="AJ41" s="1244"/>
      <c r="AK41" s="1244"/>
      <c r="AL41" s="1974">
        <f t="shared" si="2"/>
        <v>9110</v>
      </c>
      <c r="AM41" s="1964">
        <f t="shared" si="1"/>
        <v>0</v>
      </c>
    </row>
    <row r="42" spans="1:41" s="490" customFormat="1" ht="24.9" customHeight="1">
      <c r="A42" s="1241"/>
      <c r="B42" s="771">
        <v>13</v>
      </c>
      <c r="C42" s="749" t="s">
        <v>2090</v>
      </c>
      <c r="D42" s="746" t="s">
        <v>309</v>
      </c>
      <c r="E42" s="1906"/>
      <c r="F42" s="2612"/>
      <c r="G42" s="1523">
        <v>438</v>
      </c>
      <c r="H42" s="609">
        <v>189</v>
      </c>
      <c r="I42" s="1385"/>
      <c r="J42" s="610"/>
      <c r="K42" s="1244"/>
      <c r="L42" s="610">
        <v>316</v>
      </c>
      <c r="M42" s="610"/>
      <c r="N42" s="1244"/>
      <c r="O42" s="1244"/>
      <c r="P42" s="1244"/>
      <c r="Q42" s="1244"/>
      <c r="R42" s="1244"/>
      <c r="S42" s="610">
        <v>252</v>
      </c>
      <c r="T42" s="1244"/>
      <c r="U42" s="1244"/>
      <c r="V42" s="1244"/>
      <c r="W42" s="1244"/>
      <c r="X42" s="610"/>
      <c r="Y42" s="610"/>
      <c r="Z42" s="1244">
        <v>892</v>
      </c>
      <c r="AA42" s="1244"/>
      <c r="AB42" s="1244"/>
      <c r="AC42" s="610"/>
      <c r="AD42" s="1244"/>
      <c r="AE42" s="610"/>
      <c r="AF42" s="1244"/>
      <c r="AG42" s="1244"/>
      <c r="AH42" s="610"/>
      <c r="AI42" s="1244"/>
      <c r="AJ42" s="1244"/>
      <c r="AK42" s="1244"/>
      <c r="AL42" s="1974">
        <f t="shared" si="2"/>
        <v>2087</v>
      </c>
      <c r="AM42" s="1964">
        <f t="shared" si="1"/>
        <v>0</v>
      </c>
    </row>
    <row r="43" spans="1:41" s="490" customFormat="1" ht="24.9" customHeight="1">
      <c r="A43" s="1241"/>
      <c r="B43" s="771">
        <v>14</v>
      </c>
      <c r="C43" s="749" t="s">
        <v>1259</v>
      </c>
      <c r="D43" s="615" t="s">
        <v>1199</v>
      </c>
      <c r="E43" s="1906"/>
      <c r="F43" s="2612"/>
      <c r="G43" s="1523">
        <v>0</v>
      </c>
      <c r="H43" s="609"/>
      <c r="I43" s="1383"/>
      <c r="J43" s="609"/>
      <c r="K43" s="609"/>
      <c r="L43" s="609"/>
      <c r="M43" s="609"/>
      <c r="N43" s="609"/>
      <c r="O43" s="609"/>
      <c r="P43" s="609"/>
      <c r="Q43" s="609"/>
      <c r="R43" s="609"/>
      <c r="S43" s="609"/>
      <c r="T43" s="609"/>
      <c r="U43" s="609"/>
      <c r="V43" s="609"/>
      <c r="W43" s="609"/>
      <c r="X43" s="609"/>
      <c r="Y43" s="609"/>
      <c r="Z43" s="609"/>
      <c r="AA43" s="609"/>
      <c r="AB43" s="609"/>
      <c r="AC43" s="609"/>
      <c r="AD43" s="609"/>
      <c r="AE43" s="609"/>
      <c r="AF43" s="609"/>
      <c r="AG43" s="609"/>
      <c r="AH43" s="609"/>
      <c r="AI43" s="609"/>
      <c r="AJ43" s="609"/>
      <c r="AK43" s="620"/>
      <c r="AL43" s="1974">
        <f t="shared" si="2"/>
        <v>0</v>
      </c>
      <c r="AM43" s="1964">
        <f t="shared" si="1"/>
        <v>0</v>
      </c>
    </row>
    <row r="44" spans="1:41" s="490" customFormat="1" ht="24.9" customHeight="1">
      <c r="A44" s="1241"/>
      <c r="B44" s="771">
        <v>15</v>
      </c>
      <c r="C44" s="749" t="s">
        <v>1203</v>
      </c>
      <c r="D44" s="615" t="s">
        <v>1199</v>
      </c>
      <c r="E44" s="1906"/>
      <c r="F44" s="2612"/>
      <c r="G44" s="1523">
        <v>0</v>
      </c>
      <c r="H44" s="609"/>
      <c r="I44" s="1383"/>
      <c r="J44" s="609"/>
      <c r="K44" s="609"/>
      <c r="L44" s="609"/>
      <c r="M44" s="609"/>
      <c r="N44" s="609"/>
      <c r="O44" s="609"/>
      <c r="P44" s="609"/>
      <c r="Q44" s="609"/>
      <c r="R44" s="609"/>
      <c r="S44" s="609"/>
      <c r="T44" s="609"/>
      <c r="U44" s="609"/>
      <c r="V44" s="609"/>
      <c r="W44" s="609"/>
      <c r="X44" s="609"/>
      <c r="Y44" s="609"/>
      <c r="Z44" s="609"/>
      <c r="AA44" s="609"/>
      <c r="AB44" s="609"/>
      <c r="AC44" s="609"/>
      <c r="AD44" s="609"/>
      <c r="AE44" s="609"/>
      <c r="AF44" s="609"/>
      <c r="AG44" s="609"/>
      <c r="AH44" s="609"/>
      <c r="AI44" s="609"/>
      <c r="AJ44" s="609"/>
      <c r="AK44" s="620"/>
      <c r="AL44" s="1974">
        <f t="shared" si="2"/>
        <v>0</v>
      </c>
      <c r="AM44" s="1964">
        <f t="shared" si="1"/>
        <v>0</v>
      </c>
    </row>
    <row r="45" spans="1:41" s="490" customFormat="1" ht="24.9" customHeight="1" thickBot="1">
      <c r="A45" s="1241"/>
      <c r="B45" s="750">
        <v>16</v>
      </c>
      <c r="C45" s="1240" t="s">
        <v>1204</v>
      </c>
      <c r="D45" s="754" t="s">
        <v>1199</v>
      </c>
      <c r="E45" s="1909"/>
      <c r="F45" s="2613"/>
      <c r="G45" s="2038">
        <v>0</v>
      </c>
      <c r="H45" s="636"/>
      <c r="I45" s="1501"/>
      <c r="J45" s="636"/>
      <c r="K45" s="636"/>
      <c r="L45" s="636"/>
      <c r="M45" s="636"/>
      <c r="N45" s="636"/>
      <c r="O45" s="636"/>
      <c r="P45" s="636"/>
      <c r="Q45" s="636"/>
      <c r="R45" s="636"/>
      <c r="S45" s="636"/>
      <c r="T45" s="636"/>
      <c r="U45" s="636"/>
      <c r="V45" s="636"/>
      <c r="W45" s="636"/>
      <c r="X45" s="636"/>
      <c r="Y45" s="636"/>
      <c r="Z45" s="636"/>
      <c r="AA45" s="636"/>
      <c r="AB45" s="636"/>
      <c r="AC45" s="636"/>
      <c r="AD45" s="636"/>
      <c r="AE45" s="636"/>
      <c r="AF45" s="636"/>
      <c r="AG45" s="636"/>
      <c r="AH45" s="636"/>
      <c r="AI45" s="636"/>
      <c r="AJ45" s="636"/>
      <c r="AK45" s="1954"/>
      <c r="AL45" s="1975">
        <f t="shared" si="2"/>
        <v>0</v>
      </c>
      <c r="AM45" s="1965">
        <f t="shared" si="1"/>
        <v>0</v>
      </c>
    </row>
    <row r="46" spans="1:41" s="490" customFormat="1" ht="24.9" customHeight="1">
      <c r="A46" s="1241"/>
      <c r="B46" s="767">
        <v>17</v>
      </c>
      <c r="C46" s="986" t="s">
        <v>1896</v>
      </c>
      <c r="D46" s="1641" t="s">
        <v>1199</v>
      </c>
      <c r="E46" s="1908"/>
      <c r="F46" s="2606" t="s">
        <v>1897</v>
      </c>
      <c r="G46" s="1504">
        <v>636</v>
      </c>
      <c r="H46" s="618">
        <v>643</v>
      </c>
      <c r="I46" s="618"/>
      <c r="J46" s="618">
        <v>637</v>
      </c>
      <c r="K46" s="618"/>
      <c r="L46" s="618"/>
      <c r="M46" s="618">
        <v>644</v>
      </c>
      <c r="N46" s="618"/>
      <c r="O46" s="618">
        <v>648</v>
      </c>
      <c r="P46" s="618"/>
      <c r="Q46" s="618">
        <v>641</v>
      </c>
      <c r="R46" s="618"/>
      <c r="S46" s="618"/>
      <c r="T46" s="618">
        <v>639</v>
      </c>
      <c r="U46" s="618"/>
      <c r="V46" s="618">
        <v>650</v>
      </c>
      <c r="W46" s="618"/>
      <c r="X46" s="618"/>
      <c r="Y46" s="618"/>
      <c r="Z46" s="618"/>
      <c r="AA46" s="618">
        <v>620</v>
      </c>
      <c r="AB46" s="618"/>
      <c r="AC46" s="618">
        <v>624</v>
      </c>
      <c r="AD46" s="618">
        <v>632</v>
      </c>
      <c r="AE46" s="618">
        <v>636</v>
      </c>
      <c r="AF46" s="618"/>
      <c r="AG46" s="618"/>
      <c r="AH46" s="618"/>
      <c r="AI46" s="618"/>
      <c r="AJ46" s="618"/>
      <c r="AK46" s="619"/>
      <c r="AL46" s="1973">
        <f t="shared" si="2"/>
        <v>7650</v>
      </c>
      <c r="AM46" s="1966">
        <f t="shared" si="1"/>
        <v>0</v>
      </c>
    </row>
    <row r="47" spans="1:41" s="490" customFormat="1" ht="24.9" customHeight="1">
      <c r="A47" s="1241"/>
      <c r="B47" s="771">
        <v>18</v>
      </c>
      <c r="C47" s="749" t="s">
        <v>1898</v>
      </c>
      <c r="D47" s="1642" t="s">
        <v>1199</v>
      </c>
      <c r="E47" s="1906"/>
      <c r="F47" s="2607"/>
      <c r="G47" s="1383"/>
      <c r="H47" s="609">
        <v>217</v>
      </c>
      <c r="I47" s="609"/>
      <c r="J47" s="609"/>
      <c r="K47" s="609"/>
      <c r="L47" s="609"/>
      <c r="M47" s="609">
        <v>221</v>
      </c>
      <c r="N47" s="609"/>
      <c r="O47" s="609">
        <v>113</v>
      </c>
      <c r="P47" s="609"/>
      <c r="Q47" s="609">
        <v>112</v>
      </c>
      <c r="R47" s="609"/>
      <c r="S47" s="609"/>
      <c r="T47" s="609">
        <v>108</v>
      </c>
      <c r="U47" s="609"/>
      <c r="V47" s="609">
        <v>109</v>
      </c>
      <c r="W47" s="609"/>
      <c r="X47" s="609"/>
      <c r="Y47" s="609"/>
      <c r="Z47" s="609"/>
      <c r="AA47" s="609"/>
      <c r="AB47" s="609"/>
      <c r="AC47" s="609"/>
      <c r="AD47" s="609"/>
      <c r="AE47" s="609"/>
      <c r="AF47" s="609"/>
      <c r="AG47" s="609"/>
      <c r="AH47" s="609"/>
      <c r="AI47" s="609"/>
      <c r="AJ47" s="609"/>
      <c r="AK47" s="620"/>
      <c r="AL47" s="1978">
        <f t="shared" si="2"/>
        <v>880</v>
      </c>
      <c r="AM47" s="1964">
        <f t="shared" si="1"/>
        <v>0</v>
      </c>
    </row>
    <row r="48" spans="1:41" s="490" customFormat="1" ht="24.9" customHeight="1" thickBot="1">
      <c r="A48" s="1241"/>
      <c r="B48" s="750">
        <v>19</v>
      </c>
      <c r="C48" s="1240" t="s">
        <v>1899</v>
      </c>
      <c r="D48" s="1643" t="s">
        <v>1199</v>
      </c>
      <c r="E48" s="1909"/>
      <c r="F48" s="2608"/>
      <c r="G48" s="1501"/>
      <c r="H48" s="636"/>
      <c r="I48" s="636"/>
      <c r="J48" s="636"/>
      <c r="K48" s="636"/>
      <c r="L48" s="636"/>
      <c r="M48" s="636"/>
      <c r="N48" s="636"/>
      <c r="O48" s="636"/>
      <c r="P48" s="636"/>
      <c r="Q48" s="636"/>
      <c r="R48" s="636"/>
      <c r="S48" s="636"/>
      <c r="T48" s="636"/>
      <c r="U48" s="636"/>
      <c r="V48" s="636"/>
      <c r="W48" s="636"/>
      <c r="X48" s="636"/>
      <c r="Y48" s="636"/>
      <c r="Z48" s="636"/>
      <c r="AA48" s="636"/>
      <c r="AB48" s="636"/>
      <c r="AC48" s="636"/>
      <c r="AD48" s="636"/>
      <c r="AE48" s="636"/>
      <c r="AF48" s="636"/>
      <c r="AG48" s="636"/>
      <c r="AH48" s="636"/>
      <c r="AI48" s="636"/>
      <c r="AJ48" s="636"/>
      <c r="AK48" s="1954"/>
      <c r="AL48" s="1976">
        <f t="shared" si="2"/>
        <v>0</v>
      </c>
      <c r="AM48" s="1965">
        <f t="shared" si="1"/>
        <v>0</v>
      </c>
    </row>
    <row r="49" spans="1:39" s="244" customFormat="1" ht="24.9" customHeight="1" thickBot="1">
      <c r="A49" s="743"/>
      <c r="B49" s="2599" t="s">
        <v>767</v>
      </c>
      <c r="C49" s="1135" t="s">
        <v>765</v>
      </c>
      <c r="D49" s="748" t="s">
        <v>309</v>
      </c>
      <c r="E49" s="1908"/>
      <c r="F49" s="2601" t="s">
        <v>812</v>
      </c>
      <c r="G49" s="611"/>
      <c r="H49" s="613"/>
      <c r="I49" s="613"/>
      <c r="J49" s="611"/>
      <c r="K49" s="613"/>
      <c r="L49" s="613"/>
      <c r="M49" s="611"/>
      <c r="N49" s="613"/>
      <c r="O49" s="613"/>
      <c r="P49" s="613"/>
      <c r="Q49" s="613"/>
      <c r="R49" s="613"/>
      <c r="S49" s="611"/>
      <c r="T49" s="613"/>
      <c r="U49" s="613"/>
      <c r="V49" s="613"/>
      <c r="W49" s="613"/>
      <c r="X49" s="613"/>
      <c r="Y49" s="611"/>
      <c r="Z49" s="613"/>
      <c r="AA49" s="613"/>
      <c r="AB49" s="611"/>
      <c r="AC49" s="613"/>
      <c r="AD49" s="613"/>
      <c r="AE49" s="611"/>
      <c r="AF49" s="613"/>
      <c r="AG49" s="613"/>
      <c r="AH49" s="611"/>
      <c r="AI49" s="613"/>
      <c r="AJ49" s="613"/>
      <c r="AK49" s="613"/>
      <c r="AL49" s="1975">
        <f t="shared" si="0"/>
        <v>0</v>
      </c>
      <c r="AM49" s="1957">
        <f t="shared" si="1"/>
        <v>0</v>
      </c>
    </row>
    <row r="50" spans="1:39" s="244" customFormat="1" ht="24.9" customHeight="1" thickBot="1">
      <c r="A50" s="743"/>
      <c r="B50" s="2600"/>
      <c r="C50" s="1136" t="s">
        <v>766</v>
      </c>
      <c r="D50" s="746" t="s">
        <v>309</v>
      </c>
      <c r="E50" s="1909"/>
      <c r="F50" s="2602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610"/>
      <c r="AB50" s="610"/>
      <c r="AC50" s="610"/>
      <c r="AD50" s="610"/>
      <c r="AE50" s="610"/>
      <c r="AF50" s="610"/>
      <c r="AG50" s="610"/>
      <c r="AH50" s="610"/>
      <c r="AI50" s="610"/>
      <c r="AJ50" s="610"/>
      <c r="AK50" s="1244"/>
      <c r="AL50" s="1979">
        <f t="shared" ref="AL50:AL64" si="3">SUM(G50:AK50)</f>
        <v>0</v>
      </c>
      <c r="AM50" s="1959">
        <f t="shared" si="1"/>
        <v>0</v>
      </c>
    </row>
    <row r="51" spans="1:39" s="490" customFormat="1" ht="24.9" customHeight="1" thickBot="1">
      <c r="A51" s="743"/>
      <c r="B51" s="751"/>
      <c r="C51" s="915" t="s">
        <v>1188</v>
      </c>
      <c r="D51" s="744" t="s">
        <v>666</v>
      </c>
      <c r="E51" s="1908"/>
      <c r="F51" s="2603" t="s">
        <v>1039</v>
      </c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618"/>
      <c r="AD51" s="618">
        <v>259</v>
      </c>
      <c r="AE51" s="618"/>
      <c r="AF51" s="618"/>
      <c r="AG51" s="618"/>
      <c r="AH51" s="618"/>
      <c r="AI51" s="618"/>
      <c r="AJ51" s="618"/>
      <c r="AK51" s="619"/>
      <c r="AL51" s="1973">
        <f t="shared" ref="AL51:AL52" si="4">SUM(G51:AK51)</f>
        <v>259</v>
      </c>
      <c r="AM51" s="1966">
        <f t="shared" si="1"/>
        <v>0</v>
      </c>
    </row>
    <row r="52" spans="1:39" s="490" customFormat="1" ht="24.9" customHeight="1">
      <c r="A52" s="743"/>
      <c r="B52" s="753" t="s">
        <v>863</v>
      </c>
      <c r="C52" s="752" t="s">
        <v>1187</v>
      </c>
      <c r="D52" s="615" t="s">
        <v>666</v>
      </c>
      <c r="E52" s="1906"/>
      <c r="F52" s="2604"/>
      <c r="G52" s="611">
        <v>499</v>
      </c>
      <c r="H52" s="611"/>
      <c r="I52" s="611"/>
      <c r="J52" s="611"/>
      <c r="K52" s="611"/>
      <c r="L52" s="611"/>
      <c r="M52" s="611"/>
      <c r="N52" s="611"/>
      <c r="O52" s="611"/>
      <c r="P52" s="611"/>
      <c r="Q52" s="611"/>
      <c r="R52" s="611"/>
      <c r="S52" s="611"/>
      <c r="T52" s="611"/>
      <c r="U52" s="611"/>
      <c r="V52" s="611"/>
      <c r="W52" s="611"/>
      <c r="X52" s="611"/>
      <c r="Y52" s="611"/>
      <c r="Z52" s="611"/>
      <c r="AA52" s="611"/>
      <c r="AB52" s="611"/>
      <c r="AC52" s="611"/>
      <c r="AD52" s="611"/>
      <c r="AE52" s="611"/>
      <c r="AF52" s="611"/>
      <c r="AG52" s="611"/>
      <c r="AH52" s="611"/>
      <c r="AI52" s="611"/>
      <c r="AJ52" s="611"/>
      <c r="AK52" s="613"/>
      <c r="AL52" s="1973">
        <f t="shared" si="4"/>
        <v>499</v>
      </c>
      <c r="AM52" s="1964">
        <f t="shared" si="1"/>
        <v>0</v>
      </c>
    </row>
    <row r="53" spans="1:39" s="490" customFormat="1" ht="24.9" customHeight="1">
      <c r="A53" s="743"/>
      <c r="B53" s="753"/>
      <c r="C53" s="752" t="s">
        <v>925</v>
      </c>
      <c r="D53" s="615" t="s">
        <v>666</v>
      </c>
      <c r="E53" s="1906"/>
      <c r="F53" s="2604"/>
      <c r="G53" s="609"/>
      <c r="H53" s="609"/>
      <c r="I53" s="609">
        <v>1152</v>
      </c>
      <c r="J53" s="609"/>
      <c r="K53" s="609"/>
      <c r="L53" s="609"/>
      <c r="M53" s="609">
        <v>514</v>
      </c>
      <c r="N53" s="609">
        <v>1884</v>
      </c>
      <c r="O53" s="609"/>
      <c r="P53" s="609"/>
      <c r="Q53" s="609"/>
      <c r="R53" s="609"/>
      <c r="S53" s="609">
        <v>1878</v>
      </c>
      <c r="T53" s="609"/>
      <c r="U53" s="609">
        <v>2323</v>
      </c>
      <c r="V53" s="609"/>
      <c r="W53" s="609"/>
      <c r="X53" s="609"/>
      <c r="Y53" s="609"/>
      <c r="Z53" s="609"/>
      <c r="AA53" s="609"/>
      <c r="AB53" s="609">
        <v>1863</v>
      </c>
      <c r="AC53" s="609">
        <v>1409</v>
      </c>
      <c r="AD53" s="609"/>
      <c r="AE53" s="609"/>
      <c r="AF53" s="609"/>
      <c r="AG53" s="609">
        <v>2041</v>
      </c>
      <c r="AH53" s="609">
        <v>1199</v>
      </c>
      <c r="AI53" s="609">
        <v>1402</v>
      </c>
      <c r="AJ53" s="609"/>
      <c r="AK53" s="620"/>
      <c r="AL53" s="1978">
        <f t="shared" si="3"/>
        <v>15665</v>
      </c>
      <c r="AM53" s="1964">
        <f t="shared" si="1"/>
        <v>0</v>
      </c>
    </row>
    <row r="54" spans="1:39" s="490" customFormat="1" ht="24.9" customHeight="1">
      <c r="A54" s="743"/>
      <c r="B54" s="753" t="s">
        <v>779</v>
      </c>
      <c r="C54" s="752" t="s">
        <v>780</v>
      </c>
      <c r="D54" s="615" t="s">
        <v>666</v>
      </c>
      <c r="E54" s="1906"/>
      <c r="F54" s="2604"/>
      <c r="G54" s="609"/>
      <c r="H54" s="609"/>
      <c r="I54" s="609"/>
      <c r="J54" s="609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609"/>
      <c r="W54" s="609"/>
      <c r="X54" s="609"/>
      <c r="Y54" s="609"/>
      <c r="Z54" s="609"/>
      <c r="AA54" s="609"/>
      <c r="AB54" s="609"/>
      <c r="AC54" s="609"/>
      <c r="AD54" s="609"/>
      <c r="AE54" s="609"/>
      <c r="AF54" s="609"/>
      <c r="AG54" s="609"/>
      <c r="AH54" s="609"/>
      <c r="AI54" s="609"/>
      <c r="AJ54" s="609"/>
      <c r="AK54" s="620"/>
      <c r="AL54" s="1978">
        <f t="shared" si="3"/>
        <v>0</v>
      </c>
      <c r="AM54" s="1964">
        <f t="shared" si="1"/>
        <v>0</v>
      </c>
    </row>
    <row r="55" spans="1:39" s="490" customFormat="1" ht="24.9" customHeight="1">
      <c r="A55" s="743"/>
      <c r="B55" s="753" t="s">
        <v>863</v>
      </c>
      <c r="C55" s="752" t="s">
        <v>1185</v>
      </c>
      <c r="D55" s="615" t="s">
        <v>666</v>
      </c>
      <c r="E55" s="1906"/>
      <c r="F55" s="2604"/>
      <c r="G55" s="609"/>
      <c r="H55" s="609"/>
      <c r="I55" s="609"/>
      <c r="J55" s="609"/>
      <c r="K55" s="609"/>
      <c r="L55" s="609"/>
      <c r="M55" s="609"/>
      <c r="N55" s="609"/>
      <c r="O55" s="609"/>
      <c r="P55" s="609"/>
      <c r="Q55" s="609"/>
      <c r="R55" s="609"/>
      <c r="S55" s="609"/>
      <c r="T55" s="609">
        <v>458</v>
      </c>
      <c r="U55" s="609"/>
      <c r="V55" s="609"/>
      <c r="W55" s="609"/>
      <c r="X55" s="609"/>
      <c r="Y55" s="609"/>
      <c r="Z55" s="609">
        <v>560</v>
      </c>
      <c r="AA55" s="609"/>
      <c r="AB55" s="609"/>
      <c r="AC55" s="609"/>
      <c r="AD55" s="609"/>
      <c r="AE55" s="609"/>
      <c r="AF55" s="609"/>
      <c r="AG55" s="609"/>
      <c r="AH55" s="609"/>
      <c r="AI55" s="609"/>
      <c r="AJ55" s="609"/>
      <c r="AK55" s="620"/>
      <c r="AL55" s="1978">
        <f t="shared" si="3"/>
        <v>1018</v>
      </c>
      <c r="AM55" s="1964">
        <f t="shared" si="1"/>
        <v>0</v>
      </c>
    </row>
    <row r="56" spans="1:39" s="490" customFormat="1" ht="24.9" customHeight="1">
      <c r="A56" s="743"/>
      <c r="B56" s="753" t="s">
        <v>808</v>
      </c>
      <c r="C56" s="752" t="s">
        <v>806</v>
      </c>
      <c r="D56" s="615" t="s">
        <v>666</v>
      </c>
      <c r="E56" s="1906"/>
      <c r="F56" s="2604"/>
      <c r="G56" s="609">
        <v>420</v>
      </c>
      <c r="H56" s="609"/>
      <c r="I56" s="609">
        <v>489</v>
      </c>
      <c r="J56" s="609"/>
      <c r="K56" s="609"/>
      <c r="L56" s="609"/>
      <c r="M56" s="609"/>
      <c r="N56" s="609"/>
      <c r="O56" s="609"/>
      <c r="P56" s="609">
        <v>762</v>
      </c>
      <c r="Q56" s="609"/>
      <c r="R56" s="609"/>
      <c r="S56" s="609"/>
      <c r="T56" s="2070"/>
      <c r="U56" s="609"/>
      <c r="V56" s="609">
        <v>496</v>
      </c>
      <c r="W56" s="609">
        <v>587</v>
      </c>
      <c r="X56" s="609"/>
      <c r="Y56" s="609"/>
      <c r="Z56" s="609"/>
      <c r="AA56" s="609"/>
      <c r="AB56" s="609"/>
      <c r="AC56" s="609"/>
      <c r="AD56" s="609">
        <v>1074</v>
      </c>
      <c r="AE56" s="609"/>
      <c r="AF56" s="609"/>
      <c r="AG56" s="609"/>
      <c r="AH56" s="609"/>
      <c r="AI56" s="609"/>
      <c r="AJ56" s="609"/>
      <c r="AK56" s="620"/>
      <c r="AL56" s="1978">
        <f t="shared" si="3"/>
        <v>3828</v>
      </c>
      <c r="AM56" s="1964">
        <f t="shared" si="1"/>
        <v>0</v>
      </c>
    </row>
    <row r="57" spans="1:39" s="490" customFormat="1" ht="24.9" customHeight="1">
      <c r="A57" s="743"/>
      <c r="B57" s="753" t="s">
        <v>781</v>
      </c>
      <c r="C57" s="752" t="s">
        <v>618</v>
      </c>
      <c r="D57" s="615" t="s">
        <v>666</v>
      </c>
      <c r="E57" s="1906"/>
      <c r="F57" s="2604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  <c r="Z57" s="609"/>
      <c r="AA57" s="609"/>
      <c r="AB57" s="609"/>
      <c r="AC57" s="609"/>
      <c r="AD57" s="609"/>
      <c r="AE57" s="609"/>
      <c r="AF57" s="609"/>
      <c r="AG57" s="609"/>
      <c r="AH57" s="609"/>
      <c r="AI57" s="609"/>
      <c r="AJ57" s="609"/>
      <c r="AK57" s="620"/>
      <c r="AL57" s="1978">
        <f t="shared" si="3"/>
        <v>0</v>
      </c>
      <c r="AM57" s="1964">
        <f t="shared" si="1"/>
        <v>0</v>
      </c>
    </row>
    <row r="58" spans="1:39" s="490" customFormat="1" ht="24.9" customHeight="1">
      <c r="A58" s="743"/>
      <c r="B58" s="753"/>
      <c r="C58" s="752" t="s">
        <v>824</v>
      </c>
      <c r="D58" s="615" t="s">
        <v>666</v>
      </c>
      <c r="E58" s="1906"/>
      <c r="F58" s="2604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  <c r="Z58" s="609"/>
      <c r="AA58" s="609"/>
      <c r="AB58" s="609"/>
      <c r="AC58" s="609"/>
      <c r="AD58" s="609"/>
      <c r="AE58" s="609"/>
      <c r="AF58" s="609"/>
      <c r="AG58" s="609"/>
      <c r="AH58" s="609"/>
      <c r="AI58" s="609"/>
      <c r="AJ58" s="609"/>
      <c r="AK58" s="620"/>
      <c r="AL58" s="1978">
        <f t="shared" si="3"/>
        <v>0</v>
      </c>
      <c r="AM58" s="1964">
        <f t="shared" si="1"/>
        <v>0</v>
      </c>
    </row>
    <row r="59" spans="1:39" s="490" customFormat="1" ht="24.9" customHeight="1">
      <c r="A59" s="743"/>
      <c r="B59" s="753"/>
      <c r="C59" s="752" t="s">
        <v>834</v>
      </c>
      <c r="D59" s="615" t="s">
        <v>666</v>
      </c>
      <c r="E59" s="1906"/>
      <c r="F59" s="2604"/>
      <c r="G59" s="609"/>
      <c r="H59" s="609"/>
      <c r="I59" s="609"/>
      <c r="J59" s="609"/>
      <c r="K59" s="609"/>
      <c r="L59" s="609"/>
      <c r="M59" s="609"/>
      <c r="N59" s="609"/>
      <c r="O59" s="609"/>
      <c r="P59" s="609"/>
      <c r="Q59" s="609"/>
      <c r="R59" s="609"/>
      <c r="S59" s="609"/>
      <c r="T59" s="609"/>
      <c r="U59" s="609"/>
      <c r="V59" s="609"/>
      <c r="W59" s="609"/>
      <c r="X59" s="609"/>
      <c r="Y59" s="609"/>
      <c r="Z59" s="609"/>
      <c r="AA59" s="609"/>
      <c r="AB59" s="609"/>
      <c r="AC59" s="609"/>
      <c r="AD59" s="609"/>
      <c r="AE59" s="609"/>
      <c r="AF59" s="609"/>
      <c r="AG59" s="609"/>
      <c r="AH59" s="609"/>
      <c r="AI59" s="609"/>
      <c r="AJ59" s="609"/>
      <c r="AK59" s="620"/>
      <c r="AL59" s="1978">
        <f t="shared" si="3"/>
        <v>0</v>
      </c>
      <c r="AM59" s="1964">
        <f t="shared" si="1"/>
        <v>0</v>
      </c>
    </row>
    <row r="60" spans="1:39" s="490" customFormat="1" ht="24.9" customHeight="1">
      <c r="A60" s="743"/>
      <c r="B60" s="753"/>
      <c r="C60" s="752" t="s">
        <v>836</v>
      </c>
      <c r="D60" s="615" t="s">
        <v>666</v>
      </c>
      <c r="E60" s="1906"/>
      <c r="F60" s="2604"/>
      <c r="G60" s="609"/>
      <c r="H60" s="609"/>
      <c r="I60" s="609"/>
      <c r="J60" s="609"/>
      <c r="K60" s="609"/>
      <c r="L60" s="609"/>
      <c r="M60" s="609"/>
      <c r="N60" s="609"/>
      <c r="O60" s="609"/>
      <c r="P60" s="609"/>
      <c r="Q60" s="609"/>
      <c r="R60" s="609"/>
      <c r="S60" s="609"/>
      <c r="T60" s="609"/>
      <c r="U60" s="609"/>
      <c r="V60" s="609"/>
      <c r="W60" s="609"/>
      <c r="X60" s="609"/>
      <c r="Y60" s="609"/>
      <c r="Z60" s="609"/>
      <c r="AA60" s="609"/>
      <c r="AB60" s="609"/>
      <c r="AC60" s="609"/>
      <c r="AD60" s="609"/>
      <c r="AE60" s="609"/>
      <c r="AF60" s="609"/>
      <c r="AG60" s="609"/>
      <c r="AH60" s="609"/>
      <c r="AI60" s="609"/>
      <c r="AJ60" s="609"/>
      <c r="AK60" s="620"/>
      <c r="AL60" s="1978">
        <f t="shared" si="3"/>
        <v>0</v>
      </c>
      <c r="AM60" s="1964">
        <f t="shared" si="1"/>
        <v>0</v>
      </c>
    </row>
    <row r="61" spans="1:39" s="490" customFormat="1" ht="24.9" customHeight="1">
      <c r="A61" s="743"/>
      <c r="B61" s="753"/>
      <c r="C61" s="752" t="s">
        <v>843</v>
      </c>
      <c r="D61" s="615" t="s">
        <v>666</v>
      </c>
      <c r="E61" s="1906"/>
      <c r="F61" s="2604"/>
      <c r="G61" s="609"/>
      <c r="H61" s="609"/>
      <c r="I61" s="609"/>
      <c r="J61" s="609"/>
      <c r="K61" s="609"/>
      <c r="L61" s="609"/>
      <c r="M61" s="609"/>
      <c r="N61" s="609"/>
      <c r="O61" s="609"/>
      <c r="P61" s="609"/>
      <c r="Q61" s="609"/>
      <c r="R61" s="609"/>
      <c r="S61" s="609"/>
      <c r="T61" s="609"/>
      <c r="U61" s="609"/>
      <c r="V61" s="609"/>
      <c r="W61" s="609"/>
      <c r="X61" s="609"/>
      <c r="Y61" s="609"/>
      <c r="Z61" s="609"/>
      <c r="AA61" s="609"/>
      <c r="AB61" s="609"/>
      <c r="AC61" s="609"/>
      <c r="AD61" s="609"/>
      <c r="AE61" s="609"/>
      <c r="AF61" s="609"/>
      <c r="AG61" s="609"/>
      <c r="AH61" s="609"/>
      <c r="AI61" s="609"/>
      <c r="AJ61" s="609"/>
      <c r="AK61" s="620"/>
      <c r="AL61" s="1978">
        <f t="shared" si="3"/>
        <v>0</v>
      </c>
      <c r="AM61" s="1964">
        <f t="shared" si="1"/>
        <v>0</v>
      </c>
    </row>
    <row r="62" spans="1:39" s="490" customFormat="1" ht="24.9" customHeight="1">
      <c r="A62" s="743"/>
      <c r="B62" s="753"/>
      <c r="C62" s="752" t="s">
        <v>841</v>
      </c>
      <c r="D62" s="615" t="s">
        <v>666</v>
      </c>
      <c r="E62" s="1906"/>
      <c r="F62" s="2604"/>
      <c r="G62" s="609"/>
      <c r="H62" s="609"/>
      <c r="I62" s="609"/>
      <c r="J62" s="609"/>
      <c r="K62" s="609"/>
      <c r="L62" s="609">
        <v>504</v>
      </c>
      <c r="M62" s="609"/>
      <c r="N62" s="609"/>
      <c r="O62" s="609"/>
      <c r="P62" s="609"/>
      <c r="Q62" s="609"/>
      <c r="R62" s="609"/>
      <c r="S62" s="609">
        <v>922</v>
      </c>
      <c r="T62" s="609"/>
      <c r="U62" s="609"/>
      <c r="V62" s="609"/>
      <c r="W62" s="609"/>
      <c r="X62" s="609"/>
      <c r="Y62" s="609"/>
      <c r="Z62" s="609"/>
      <c r="AA62" s="609">
        <v>525</v>
      </c>
      <c r="AB62" s="609"/>
      <c r="AC62" s="609"/>
      <c r="AD62" s="609"/>
      <c r="AE62" s="609"/>
      <c r="AF62" s="609"/>
      <c r="AG62" s="609">
        <v>512</v>
      </c>
      <c r="AH62" s="609"/>
      <c r="AI62" s="609"/>
      <c r="AJ62" s="609"/>
      <c r="AK62" s="620">
        <v>670</v>
      </c>
      <c r="AL62" s="1978">
        <f t="shared" si="3"/>
        <v>3133</v>
      </c>
      <c r="AM62" s="1964">
        <f t="shared" si="1"/>
        <v>0</v>
      </c>
    </row>
    <row r="63" spans="1:39" s="490" customFormat="1" ht="24.9" customHeight="1">
      <c r="A63" s="743"/>
      <c r="B63" s="1124" t="s">
        <v>809</v>
      </c>
      <c r="C63" s="1125" t="s">
        <v>811</v>
      </c>
      <c r="D63" s="746" t="s">
        <v>666</v>
      </c>
      <c r="E63" s="1906"/>
      <c r="F63" s="2605"/>
      <c r="G63" s="610">
        <v>1701</v>
      </c>
      <c r="H63" s="610"/>
      <c r="I63" s="610"/>
      <c r="J63" s="610"/>
      <c r="K63" s="610"/>
      <c r="L63" s="610">
        <v>1225</v>
      </c>
      <c r="M63" s="610">
        <v>1726</v>
      </c>
      <c r="N63" s="610">
        <v>1333</v>
      </c>
      <c r="O63" s="610"/>
      <c r="P63" s="610"/>
      <c r="Q63" s="610"/>
      <c r="R63" s="610"/>
      <c r="S63" s="610">
        <v>735</v>
      </c>
      <c r="T63" s="610">
        <v>2073</v>
      </c>
      <c r="U63" s="610">
        <v>1586</v>
      </c>
      <c r="V63" s="610">
        <v>499</v>
      </c>
      <c r="W63" s="610"/>
      <c r="X63" s="610"/>
      <c r="Y63" s="610"/>
      <c r="Z63" s="610"/>
      <c r="AA63" s="610">
        <v>928</v>
      </c>
      <c r="AB63" s="610">
        <v>2590</v>
      </c>
      <c r="AC63" s="610">
        <v>1237</v>
      </c>
      <c r="AD63" s="610"/>
      <c r="AE63" s="610"/>
      <c r="AF63" s="610"/>
      <c r="AG63" s="610">
        <v>657</v>
      </c>
      <c r="AH63" s="610">
        <v>1750</v>
      </c>
      <c r="AI63" s="610">
        <v>311</v>
      </c>
      <c r="AJ63" s="610"/>
      <c r="AK63" s="1244"/>
      <c r="AL63" s="1979">
        <f t="shared" si="3"/>
        <v>18351</v>
      </c>
      <c r="AM63" s="1964">
        <f t="shared" si="1"/>
        <v>0</v>
      </c>
    </row>
    <row r="64" spans="1:39" s="490" customFormat="1" ht="24.9" customHeight="1" thickBot="1">
      <c r="A64" s="1176"/>
      <c r="B64" s="1177" t="s">
        <v>1212</v>
      </c>
      <c r="C64" s="1178" t="s">
        <v>1198</v>
      </c>
      <c r="D64" s="754" t="s">
        <v>1199</v>
      </c>
      <c r="E64" s="1909"/>
      <c r="F64" s="1179"/>
      <c r="G64" s="636"/>
      <c r="H64" s="636"/>
      <c r="I64" s="636"/>
      <c r="J64" s="636"/>
      <c r="K64" s="636"/>
      <c r="L64" s="636"/>
      <c r="M64" s="636"/>
      <c r="N64" s="636"/>
      <c r="O64" s="636"/>
      <c r="P64" s="636"/>
      <c r="Q64" s="636"/>
      <c r="R64" s="636"/>
      <c r="S64" s="636"/>
      <c r="T64" s="636"/>
      <c r="U64" s="636"/>
      <c r="V64" s="636"/>
      <c r="W64" s="636"/>
      <c r="X64" s="636"/>
      <c r="Y64" s="636"/>
      <c r="Z64" s="636"/>
      <c r="AA64" s="636"/>
      <c r="AB64" s="636"/>
      <c r="AC64" s="636"/>
      <c r="AD64" s="636"/>
      <c r="AE64" s="636"/>
      <c r="AF64" s="636"/>
      <c r="AG64" s="636"/>
      <c r="AH64" s="636"/>
      <c r="AI64" s="636"/>
      <c r="AJ64" s="636"/>
      <c r="AK64" s="1954"/>
      <c r="AL64" s="1976">
        <f t="shared" si="3"/>
        <v>0</v>
      </c>
      <c r="AM64" s="1965">
        <f t="shared" si="1"/>
        <v>0</v>
      </c>
    </row>
    <row r="65" spans="1:52" s="1200" customFormat="1" ht="21.9" customHeight="1">
      <c r="A65" s="1245"/>
      <c r="B65" s="822"/>
      <c r="C65" s="2065" t="s">
        <v>2051</v>
      </c>
      <c r="D65" s="2066" t="s">
        <v>27</v>
      </c>
      <c r="E65" s="2067"/>
      <c r="F65" s="2042"/>
      <c r="G65" s="2068">
        <v>500</v>
      </c>
      <c r="H65" s="2068"/>
      <c r="I65" s="611"/>
      <c r="J65" s="611"/>
      <c r="K65" s="611"/>
      <c r="L65" s="611">
        <v>500</v>
      </c>
      <c r="M65" s="611"/>
      <c r="N65" s="611"/>
      <c r="O65" s="611"/>
      <c r="P65" s="611"/>
      <c r="Q65" s="611"/>
      <c r="R65" s="611"/>
      <c r="S65" s="611"/>
      <c r="T65" s="611">
        <v>500</v>
      </c>
      <c r="U65" s="611"/>
      <c r="V65" s="611"/>
      <c r="W65" s="611"/>
      <c r="X65" s="611"/>
      <c r="Y65" s="611"/>
      <c r="Z65" s="611"/>
      <c r="AA65" s="611">
        <v>500</v>
      </c>
      <c r="AB65" s="611"/>
      <c r="AC65" s="611"/>
      <c r="AD65" s="611"/>
      <c r="AE65" s="611"/>
      <c r="AF65" s="611"/>
      <c r="AG65" s="611"/>
      <c r="AH65" s="611">
        <v>500</v>
      </c>
      <c r="AI65" s="611"/>
      <c r="AJ65" s="611"/>
      <c r="AK65" s="613"/>
      <c r="AL65" s="1974">
        <f t="shared" si="0"/>
        <v>2500</v>
      </c>
      <c r="AM65" s="2069">
        <f t="shared" si="1"/>
        <v>0</v>
      </c>
    </row>
    <row r="66" spans="1:52" s="1200" customFormat="1" ht="21.9" customHeight="1">
      <c r="A66" s="913"/>
      <c r="B66" s="794">
        <v>12345679</v>
      </c>
      <c r="C66" s="1246" t="s">
        <v>2052</v>
      </c>
      <c r="D66" s="1247" t="s">
        <v>27</v>
      </c>
      <c r="E66" s="1906"/>
      <c r="F66" s="2042"/>
      <c r="G66" s="1249">
        <v>3000</v>
      </c>
      <c r="H66" s="1249"/>
      <c r="I66" s="609"/>
      <c r="J66" s="609"/>
      <c r="K66" s="609"/>
      <c r="L66" s="609"/>
      <c r="M66" s="609"/>
      <c r="N66" s="609"/>
      <c r="O66" s="609"/>
      <c r="P66" s="609"/>
      <c r="Q66" s="609"/>
      <c r="R66" s="609"/>
      <c r="S66" s="609"/>
      <c r="T66" s="609"/>
      <c r="U66" s="609"/>
      <c r="V66" s="609"/>
      <c r="W66" s="609"/>
      <c r="X66" s="609"/>
      <c r="Y66" s="609"/>
      <c r="Z66" s="609"/>
      <c r="AA66" s="609">
        <v>3000</v>
      </c>
      <c r="AB66" s="609"/>
      <c r="AC66" s="609"/>
      <c r="AD66" s="609"/>
      <c r="AE66" s="609"/>
      <c r="AF66" s="609"/>
      <c r="AG66" s="609"/>
      <c r="AH66" s="2062"/>
      <c r="AI66" s="2063"/>
      <c r="AJ66" s="1523"/>
      <c r="AK66" s="620"/>
      <c r="AL66" s="1978">
        <f t="shared" si="0"/>
        <v>6000</v>
      </c>
      <c r="AM66" s="1967">
        <f t="shared" ref="AM66:AM113" si="5">AL66*E66</f>
        <v>0</v>
      </c>
    </row>
    <row r="67" spans="1:52" s="1200" customFormat="1" ht="21.9" customHeight="1">
      <c r="A67" s="913"/>
      <c r="B67" s="794">
        <v>12345681</v>
      </c>
      <c r="C67" s="1246" t="s">
        <v>2053</v>
      </c>
      <c r="D67" s="1247" t="s">
        <v>27</v>
      </c>
      <c r="E67" s="1906"/>
      <c r="F67" s="2042"/>
      <c r="G67" s="1249"/>
      <c r="H67" s="1249"/>
      <c r="I67" s="609"/>
      <c r="J67" s="609"/>
      <c r="K67" s="609"/>
      <c r="L67" s="609"/>
      <c r="M67" s="609"/>
      <c r="N67" s="609"/>
      <c r="O67" s="609"/>
      <c r="P67" s="609"/>
      <c r="Q67" s="609"/>
      <c r="R67" s="609"/>
      <c r="S67" s="609"/>
      <c r="T67" s="609"/>
      <c r="U67" s="609"/>
      <c r="V67" s="609"/>
      <c r="W67" s="609"/>
      <c r="X67" s="609"/>
      <c r="Y67" s="609"/>
      <c r="Z67" s="609"/>
      <c r="AA67" s="609"/>
      <c r="AB67" s="609"/>
      <c r="AC67" s="609"/>
      <c r="AD67" s="609"/>
      <c r="AE67" s="609"/>
      <c r="AF67" s="609"/>
      <c r="AG67" s="609"/>
      <c r="AH67" s="609"/>
      <c r="AI67" s="609"/>
      <c r="AJ67" s="609"/>
      <c r="AK67" s="620"/>
      <c r="AL67" s="1978">
        <f t="shared" si="0"/>
        <v>0</v>
      </c>
      <c r="AM67" s="1967">
        <f t="shared" si="5"/>
        <v>0</v>
      </c>
    </row>
    <row r="68" spans="1:52" s="1201" customFormat="1" ht="21.9" customHeight="1">
      <c r="A68" s="1250"/>
      <c r="B68" s="794"/>
      <c r="C68" s="1246" t="s">
        <v>2055</v>
      </c>
      <c r="D68" s="1252" t="s">
        <v>27</v>
      </c>
      <c r="E68" s="1903"/>
      <c r="F68" s="2042"/>
      <c r="G68" s="1248">
        <v>500</v>
      </c>
      <c r="H68" s="1248"/>
      <c r="I68" s="609"/>
      <c r="J68" s="609"/>
      <c r="K68" s="609"/>
      <c r="L68" s="609">
        <v>500</v>
      </c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  <c r="Z68" s="609"/>
      <c r="AA68" s="609"/>
      <c r="AB68" s="609"/>
      <c r="AC68" s="609"/>
      <c r="AD68" s="609"/>
      <c r="AE68" s="609"/>
      <c r="AF68" s="609"/>
      <c r="AG68" s="609"/>
      <c r="AH68" s="609">
        <v>500</v>
      </c>
      <c r="AI68" s="609"/>
      <c r="AJ68" s="609"/>
      <c r="AK68" s="1955"/>
      <c r="AL68" s="1978">
        <f>SUM(G68:AK68)</f>
        <v>1500</v>
      </c>
      <c r="AM68" s="1963">
        <f t="shared" si="5"/>
        <v>0</v>
      </c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69" spans="1:52" s="1200" customFormat="1" ht="21.9" customHeight="1">
      <c r="A69" s="913"/>
      <c r="B69" s="794"/>
      <c r="C69" s="1246" t="s">
        <v>2056</v>
      </c>
      <c r="D69" s="1247" t="s">
        <v>27</v>
      </c>
      <c r="E69" s="1906"/>
      <c r="F69" s="2042"/>
      <c r="G69" s="1249"/>
      <c r="H69" s="1249"/>
      <c r="I69" s="609"/>
      <c r="J69" s="609"/>
      <c r="K69" s="609"/>
      <c r="L69" s="609">
        <v>500</v>
      </c>
      <c r="M69" s="609"/>
      <c r="N69" s="609"/>
      <c r="O69" s="609"/>
      <c r="P69" s="609"/>
      <c r="Q69" s="609"/>
      <c r="R69" s="609"/>
      <c r="S69" s="609"/>
      <c r="T69" s="609"/>
      <c r="U69" s="609"/>
      <c r="V69" s="609"/>
      <c r="W69" s="609"/>
      <c r="X69" s="609"/>
      <c r="Y69" s="609"/>
      <c r="Z69" s="609"/>
      <c r="AA69" s="609"/>
      <c r="AB69" s="609"/>
      <c r="AC69" s="609"/>
      <c r="AD69" s="609"/>
      <c r="AE69" s="609"/>
      <c r="AF69" s="609"/>
      <c r="AG69" s="609"/>
      <c r="AH69" s="609"/>
      <c r="AI69" s="609"/>
      <c r="AJ69" s="609"/>
      <c r="AK69" s="620"/>
      <c r="AL69" s="1978">
        <f t="shared" si="0"/>
        <v>500</v>
      </c>
      <c r="AM69" s="1967">
        <f t="shared" si="5"/>
        <v>0</v>
      </c>
    </row>
    <row r="70" spans="1:52" s="1200" customFormat="1" ht="21.9" customHeight="1">
      <c r="A70" s="913"/>
      <c r="B70" s="2593" t="s">
        <v>563</v>
      </c>
      <c r="C70" s="1246" t="s">
        <v>2057</v>
      </c>
      <c r="D70" s="1247" t="s">
        <v>27</v>
      </c>
      <c r="E70" s="1906"/>
      <c r="F70" s="2042"/>
      <c r="G70" s="1248">
        <v>3000</v>
      </c>
      <c r="H70" s="1248"/>
      <c r="I70" s="609"/>
      <c r="J70" s="609"/>
      <c r="K70" s="609"/>
      <c r="L70" s="609">
        <v>4000</v>
      </c>
      <c r="M70" s="609"/>
      <c r="N70" s="609"/>
      <c r="O70" s="609"/>
      <c r="P70" s="609"/>
      <c r="Q70" s="609"/>
      <c r="R70" s="609"/>
      <c r="S70" s="609"/>
      <c r="T70" s="609">
        <v>3000</v>
      </c>
      <c r="U70" s="609"/>
      <c r="V70" s="609"/>
      <c r="W70" s="609"/>
      <c r="X70" s="609"/>
      <c r="Y70" s="609"/>
      <c r="Z70" s="609"/>
      <c r="AA70" s="609">
        <v>3000</v>
      </c>
      <c r="AB70" s="609"/>
      <c r="AC70" s="609"/>
      <c r="AD70" s="609"/>
      <c r="AE70" s="609"/>
      <c r="AF70" s="609"/>
      <c r="AG70" s="609"/>
      <c r="AH70" s="609">
        <v>1000</v>
      </c>
      <c r="AI70" s="609"/>
      <c r="AJ70" s="609"/>
      <c r="AK70" s="620"/>
      <c r="AL70" s="1978">
        <f t="shared" si="0"/>
        <v>14000</v>
      </c>
      <c r="AM70" s="1967">
        <f t="shared" si="5"/>
        <v>0</v>
      </c>
    </row>
    <row r="71" spans="1:52" s="1200" customFormat="1" ht="21.9" customHeight="1">
      <c r="A71" s="913"/>
      <c r="B71" s="2593"/>
      <c r="C71" s="1246" t="s">
        <v>2058</v>
      </c>
      <c r="D71" s="1247" t="s">
        <v>27</v>
      </c>
      <c r="E71" s="1906"/>
      <c r="F71" s="2042"/>
      <c r="G71" s="609">
        <v>2000</v>
      </c>
      <c r="H71" s="609"/>
      <c r="I71" s="609"/>
      <c r="J71" s="609"/>
      <c r="K71" s="609"/>
      <c r="L71" s="609">
        <v>1000</v>
      </c>
      <c r="M71" s="609"/>
      <c r="N71" s="609"/>
      <c r="O71" s="609"/>
      <c r="P71" s="609"/>
      <c r="Q71" s="609"/>
      <c r="R71" s="609"/>
      <c r="S71" s="609"/>
      <c r="T71" s="609"/>
      <c r="U71" s="609"/>
      <c r="V71" s="609"/>
      <c r="W71" s="609"/>
      <c r="X71" s="609"/>
      <c r="Y71" s="609"/>
      <c r="Z71" s="609"/>
      <c r="AA71" s="609"/>
      <c r="AB71" s="609"/>
      <c r="AC71" s="609"/>
      <c r="AD71" s="609"/>
      <c r="AE71" s="609"/>
      <c r="AF71" s="609"/>
      <c r="AG71" s="609"/>
      <c r="AH71" s="609">
        <v>1000</v>
      </c>
      <c r="AI71" s="609"/>
      <c r="AJ71" s="609"/>
      <c r="AK71" s="620"/>
      <c r="AL71" s="1978">
        <f t="shared" si="0"/>
        <v>4000</v>
      </c>
      <c r="AM71" s="1967">
        <f t="shared" si="5"/>
        <v>0</v>
      </c>
    </row>
    <row r="72" spans="1:52" s="1200" customFormat="1" ht="21.9" customHeight="1">
      <c r="A72" s="913"/>
      <c r="B72" s="794"/>
      <c r="C72" s="1253" t="s">
        <v>2059</v>
      </c>
      <c r="D72" s="1247" t="s">
        <v>27</v>
      </c>
      <c r="E72" s="1906"/>
      <c r="F72" s="2042"/>
      <c r="G72" s="609"/>
      <c r="H72" s="609"/>
      <c r="I72" s="609"/>
      <c r="J72" s="609"/>
      <c r="K72" s="609"/>
      <c r="L72" s="609"/>
      <c r="M72" s="609"/>
      <c r="N72" s="609"/>
      <c r="O72" s="609"/>
      <c r="P72" s="609"/>
      <c r="Q72" s="609"/>
      <c r="R72" s="609"/>
      <c r="S72" s="609"/>
      <c r="T72" s="609"/>
      <c r="U72" s="609"/>
      <c r="V72" s="609"/>
      <c r="W72" s="609"/>
      <c r="X72" s="609"/>
      <c r="Y72" s="609"/>
      <c r="Z72" s="609"/>
      <c r="AA72" s="609"/>
      <c r="AB72" s="609"/>
      <c r="AC72" s="609"/>
      <c r="AD72" s="609"/>
      <c r="AE72" s="609"/>
      <c r="AF72" s="609"/>
      <c r="AG72" s="609"/>
      <c r="AH72" s="609"/>
      <c r="AI72" s="609"/>
      <c r="AJ72" s="609"/>
      <c r="AK72" s="620"/>
      <c r="AL72" s="1978">
        <f t="shared" si="0"/>
        <v>0</v>
      </c>
      <c r="AM72" s="1967">
        <f t="shared" si="5"/>
        <v>0</v>
      </c>
    </row>
    <row r="73" spans="1:52" s="1200" customFormat="1" ht="21.9" customHeight="1">
      <c r="A73" s="913"/>
      <c r="B73" s="794">
        <v>12345680</v>
      </c>
      <c r="C73" s="1253" t="s">
        <v>2060</v>
      </c>
      <c r="D73" s="1247" t="s">
        <v>27</v>
      </c>
      <c r="E73" s="1906"/>
      <c r="F73" s="2042"/>
      <c r="G73" s="609">
        <v>500</v>
      </c>
      <c r="H73" s="609"/>
      <c r="I73" s="609"/>
      <c r="J73" s="609"/>
      <c r="K73" s="609"/>
      <c r="L73" s="609"/>
      <c r="M73" s="609"/>
      <c r="N73" s="609"/>
      <c r="O73" s="609"/>
      <c r="P73" s="609"/>
      <c r="Q73" s="609"/>
      <c r="R73" s="609"/>
      <c r="S73" s="609"/>
      <c r="T73" s="609"/>
      <c r="U73" s="609"/>
      <c r="V73" s="609"/>
      <c r="W73" s="609"/>
      <c r="X73" s="609"/>
      <c r="Y73" s="609"/>
      <c r="Z73" s="609"/>
      <c r="AA73" s="609"/>
      <c r="AB73" s="609"/>
      <c r="AC73" s="609"/>
      <c r="AD73" s="609"/>
      <c r="AE73" s="609"/>
      <c r="AF73" s="609"/>
      <c r="AG73" s="609"/>
      <c r="AH73" s="609"/>
      <c r="AI73" s="609"/>
      <c r="AJ73" s="609"/>
      <c r="AK73" s="620"/>
      <c r="AL73" s="1978">
        <f t="shared" si="0"/>
        <v>500</v>
      </c>
      <c r="AM73" s="1967">
        <f t="shared" si="5"/>
        <v>0</v>
      </c>
    </row>
    <row r="74" spans="1:52" s="1200" customFormat="1" ht="21.9" customHeight="1">
      <c r="A74" s="913"/>
      <c r="B74" s="794"/>
      <c r="C74" s="1253" t="s">
        <v>2061</v>
      </c>
      <c r="D74" s="1247" t="s">
        <v>27</v>
      </c>
      <c r="E74" s="1906"/>
      <c r="F74" s="2042"/>
      <c r="G74" s="1248"/>
      <c r="H74" s="1248"/>
      <c r="I74" s="1524"/>
      <c r="J74" s="609"/>
      <c r="K74" s="609"/>
      <c r="L74" s="609"/>
      <c r="M74" s="609"/>
      <c r="N74" s="609"/>
      <c r="O74" s="609"/>
      <c r="P74" s="609"/>
      <c r="Q74" s="609"/>
      <c r="R74" s="609"/>
      <c r="S74" s="609"/>
      <c r="T74" s="609"/>
      <c r="U74" s="609"/>
      <c r="V74" s="609"/>
      <c r="W74" s="609"/>
      <c r="X74" s="609"/>
      <c r="Y74" s="609"/>
      <c r="Z74" s="609"/>
      <c r="AA74" s="609"/>
      <c r="AB74" s="609"/>
      <c r="AC74" s="609"/>
      <c r="AD74" s="609"/>
      <c r="AE74" s="609"/>
      <c r="AF74" s="609"/>
      <c r="AG74" s="609"/>
      <c r="AH74" s="609"/>
      <c r="AI74" s="609"/>
      <c r="AJ74" s="609"/>
      <c r="AK74" s="620"/>
      <c r="AL74" s="1978">
        <f t="shared" si="0"/>
        <v>0</v>
      </c>
      <c r="AM74" s="1967">
        <f t="shared" si="5"/>
        <v>0</v>
      </c>
    </row>
    <row r="75" spans="1:52" s="1200" customFormat="1" ht="21.9" customHeight="1">
      <c r="A75" s="913"/>
      <c r="B75" s="794" t="s">
        <v>893</v>
      </c>
      <c r="C75" s="1253" t="s">
        <v>2062</v>
      </c>
      <c r="D75" s="1247" t="s">
        <v>27</v>
      </c>
      <c r="E75" s="1906"/>
      <c r="F75" s="2042"/>
      <c r="G75" s="1248"/>
      <c r="H75" s="1248"/>
      <c r="I75" s="1248"/>
      <c r="J75" s="609"/>
      <c r="K75" s="609"/>
      <c r="L75" s="609"/>
      <c r="M75" s="609"/>
      <c r="N75" s="609"/>
      <c r="O75" s="609"/>
      <c r="P75" s="609"/>
      <c r="Q75" s="609"/>
      <c r="R75" s="609"/>
      <c r="S75" s="609"/>
      <c r="T75" s="609">
        <v>500</v>
      </c>
      <c r="U75" s="609"/>
      <c r="V75" s="609"/>
      <c r="W75" s="609"/>
      <c r="X75" s="609"/>
      <c r="Y75" s="609"/>
      <c r="Z75" s="609"/>
      <c r="AA75" s="609"/>
      <c r="AB75" s="609"/>
      <c r="AC75" s="609"/>
      <c r="AD75" s="609"/>
      <c r="AE75" s="609"/>
      <c r="AF75" s="609"/>
      <c r="AG75" s="609"/>
      <c r="AH75" s="609"/>
      <c r="AI75" s="609"/>
      <c r="AJ75" s="609"/>
      <c r="AK75" s="620"/>
      <c r="AL75" s="1978">
        <f t="shared" si="0"/>
        <v>500</v>
      </c>
      <c r="AM75" s="1967">
        <f t="shared" si="5"/>
        <v>0</v>
      </c>
    </row>
    <row r="76" spans="1:52" s="1200" customFormat="1" ht="21.9" customHeight="1">
      <c r="A76" s="913"/>
      <c r="B76" s="794" t="s">
        <v>893</v>
      </c>
      <c r="C76" s="1246" t="s">
        <v>2063</v>
      </c>
      <c r="D76" s="1247" t="s">
        <v>27</v>
      </c>
      <c r="E76" s="1906"/>
      <c r="F76" s="2042"/>
      <c r="G76" s="1248">
        <v>2000</v>
      </c>
      <c r="H76" s="1248"/>
      <c r="I76" s="1248"/>
      <c r="J76" s="609"/>
      <c r="K76" s="609"/>
      <c r="L76" s="609">
        <v>4000</v>
      </c>
      <c r="M76" s="609"/>
      <c r="N76" s="609"/>
      <c r="O76" s="609"/>
      <c r="P76" s="609"/>
      <c r="Q76" s="609"/>
      <c r="R76" s="609"/>
      <c r="S76" s="609"/>
      <c r="T76" s="609">
        <v>2000</v>
      </c>
      <c r="U76" s="609"/>
      <c r="V76" s="609"/>
      <c r="W76" s="609"/>
      <c r="X76" s="609"/>
      <c r="Y76" s="609"/>
      <c r="Z76" s="609"/>
      <c r="AA76" s="609">
        <v>2000</v>
      </c>
      <c r="AB76" s="609"/>
      <c r="AC76" s="609"/>
      <c r="AD76" s="609"/>
      <c r="AE76" s="609"/>
      <c r="AF76" s="609"/>
      <c r="AG76" s="609"/>
      <c r="AH76" s="609">
        <v>1000</v>
      </c>
      <c r="AI76" s="609"/>
      <c r="AJ76" s="609"/>
      <c r="AK76" s="620"/>
      <c r="AL76" s="1978">
        <f t="shared" si="0"/>
        <v>11000</v>
      </c>
      <c r="AM76" s="1967">
        <f t="shared" si="5"/>
        <v>0</v>
      </c>
    </row>
    <row r="77" spans="1:52" s="1200" customFormat="1" ht="21.9" customHeight="1">
      <c r="A77" s="913"/>
      <c r="B77" s="2593" t="s">
        <v>563</v>
      </c>
      <c r="C77" s="1246" t="s">
        <v>2064</v>
      </c>
      <c r="D77" s="1247" t="s">
        <v>27</v>
      </c>
      <c r="E77" s="1906"/>
      <c r="F77" s="2042"/>
      <c r="G77" s="1248"/>
      <c r="H77" s="1248"/>
      <c r="I77" s="1248"/>
      <c r="J77" s="609"/>
      <c r="K77" s="609"/>
      <c r="L77" s="609"/>
      <c r="M77" s="609"/>
      <c r="N77" s="609"/>
      <c r="O77" s="609"/>
      <c r="P77" s="609"/>
      <c r="Q77" s="609"/>
      <c r="R77" s="609"/>
      <c r="S77" s="609"/>
      <c r="T77" s="609"/>
      <c r="U77" s="609"/>
      <c r="V77" s="609"/>
      <c r="W77" s="609"/>
      <c r="X77" s="1523"/>
      <c r="Z77" s="609"/>
      <c r="AA77" s="609"/>
      <c r="AB77" s="609"/>
      <c r="AC77" s="609"/>
      <c r="AD77" s="609"/>
      <c r="AE77" s="609"/>
      <c r="AF77" s="609"/>
      <c r="AG77" s="609"/>
      <c r="AH77" s="609"/>
      <c r="AI77" s="609"/>
      <c r="AJ77" s="609"/>
      <c r="AK77" s="620"/>
      <c r="AL77" s="1978">
        <f t="shared" si="0"/>
        <v>0</v>
      </c>
      <c r="AM77" s="1967">
        <f t="shared" si="5"/>
        <v>0</v>
      </c>
    </row>
    <row r="78" spans="1:52" s="1200" customFormat="1" ht="21.9" customHeight="1">
      <c r="A78" s="913"/>
      <c r="B78" s="2593"/>
      <c r="C78" s="1246" t="s">
        <v>2065</v>
      </c>
      <c r="D78" s="1247" t="s">
        <v>27</v>
      </c>
      <c r="E78" s="1906"/>
      <c r="F78" s="2042"/>
      <c r="G78" s="1248"/>
      <c r="H78" s="1248"/>
      <c r="I78" s="609"/>
      <c r="J78" s="609"/>
      <c r="K78" s="609"/>
      <c r="L78" s="609"/>
      <c r="M78" s="609"/>
      <c r="N78" s="609"/>
      <c r="O78" s="609"/>
      <c r="P78" s="609"/>
      <c r="Q78" s="609"/>
      <c r="R78" s="609"/>
      <c r="S78" s="609"/>
      <c r="T78" s="609"/>
      <c r="U78" s="609"/>
      <c r="V78" s="609"/>
      <c r="W78" s="609"/>
      <c r="X78" s="609"/>
      <c r="Y78" s="609"/>
      <c r="Z78" s="609"/>
      <c r="AA78" s="609"/>
      <c r="AB78" s="609"/>
      <c r="AC78" s="609"/>
      <c r="AD78" s="609"/>
      <c r="AE78" s="609"/>
      <c r="AF78" s="609"/>
      <c r="AG78" s="609"/>
      <c r="AH78" s="609"/>
      <c r="AI78" s="609"/>
      <c r="AJ78" s="609"/>
      <c r="AK78" s="620"/>
      <c r="AL78" s="1978">
        <f t="shared" si="0"/>
        <v>0</v>
      </c>
      <c r="AM78" s="1967">
        <f t="shared" si="5"/>
        <v>0</v>
      </c>
    </row>
    <row r="79" spans="1:52" s="1200" customFormat="1" ht="21.9" customHeight="1">
      <c r="A79" s="913"/>
      <c r="B79" s="794" t="s">
        <v>594</v>
      </c>
      <c r="C79" s="1246" t="s">
        <v>2066</v>
      </c>
      <c r="D79" s="1247" t="s">
        <v>27</v>
      </c>
      <c r="E79" s="1903"/>
      <c r="F79" s="2042"/>
      <c r="G79" s="1248"/>
      <c r="H79" s="1248"/>
      <c r="I79" s="609"/>
      <c r="J79" s="609"/>
      <c r="K79" s="609"/>
      <c r="L79" s="609"/>
      <c r="M79" s="609"/>
      <c r="N79" s="609"/>
      <c r="O79" s="609"/>
      <c r="P79" s="609"/>
      <c r="Q79" s="609"/>
      <c r="R79" s="609"/>
      <c r="S79" s="609"/>
      <c r="T79" s="609"/>
      <c r="U79" s="609"/>
      <c r="V79" s="609"/>
      <c r="W79" s="609"/>
      <c r="X79" s="609"/>
      <c r="Y79" s="609"/>
      <c r="Z79" s="609"/>
      <c r="AA79" s="609"/>
      <c r="AB79" s="609"/>
      <c r="AC79" s="609"/>
      <c r="AD79" s="609"/>
      <c r="AE79" s="609"/>
      <c r="AF79" s="609"/>
      <c r="AG79" s="609"/>
      <c r="AH79" s="609"/>
      <c r="AI79" s="609"/>
      <c r="AJ79" s="609"/>
      <c r="AK79" s="620"/>
      <c r="AL79" s="1978">
        <f t="shared" si="0"/>
        <v>0</v>
      </c>
      <c r="AM79" s="1963">
        <f t="shared" si="5"/>
        <v>0</v>
      </c>
      <c r="AN79"/>
      <c r="AO79"/>
      <c r="AP79"/>
      <c r="AQ79"/>
      <c r="AR79"/>
      <c r="AS79"/>
      <c r="AT79"/>
      <c r="AU79"/>
      <c r="AV79"/>
      <c r="AW79"/>
      <c r="AX79"/>
      <c r="AY79"/>
      <c r="AZ79"/>
    </row>
    <row r="80" spans="1:52" s="1201" customFormat="1" ht="24.9" customHeight="1">
      <c r="A80" s="1250"/>
      <c r="B80" s="2041" t="s">
        <v>1089</v>
      </c>
      <c r="C80" s="1251" t="s">
        <v>2054</v>
      </c>
      <c r="D80" s="1252" t="s">
        <v>27</v>
      </c>
      <c r="E80" s="1906"/>
      <c r="F80" s="2042"/>
      <c r="G80" s="1249"/>
      <c r="H80" s="1249"/>
      <c r="I80" s="609"/>
      <c r="J80" s="609"/>
      <c r="K80" s="609"/>
      <c r="L80" s="609">
        <v>1000</v>
      </c>
      <c r="M80" s="609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  <c r="Z80" s="609"/>
      <c r="AA80" s="609"/>
      <c r="AB80" s="609"/>
      <c r="AC80" s="609"/>
      <c r="AD80" s="609"/>
      <c r="AE80" s="609"/>
      <c r="AF80" s="609"/>
      <c r="AG80" s="609"/>
      <c r="AH80" s="609">
        <v>575</v>
      </c>
      <c r="AI80" s="609"/>
      <c r="AJ80" s="1523"/>
      <c r="AK80" s="620"/>
      <c r="AL80" s="1978">
        <f>SUM(G80:AK80)</f>
        <v>1575</v>
      </c>
      <c r="AM80" s="1967">
        <f>AL80*E80</f>
        <v>0</v>
      </c>
    </row>
    <row r="81" spans="1:52" s="1200" customFormat="1" ht="24" customHeight="1" thickBot="1">
      <c r="A81" s="913"/>
      <c r="B81" s="2041" t="s">
        <v>1089</v>
      </c>
      <c r="C81" s="1251" t="s">
        <v>2067</v>
      </c>
      <c r="D81" s="1247" t="s">
        <v>27</v>
      </c>
      <c r="E81" s="1905"/>
      <c r="F81" s="2043"/>
      <c r="G81" s="1248"/>
      <c r="H81" s="1248"/>
      <c r="I81" s="609"/>
      <c r="J81" s="609"/>
      <c r="K81" s="609"/>
      <c r="L81" s="609">
        <v>2000</v>
      </c>
      <c r="M81" s="609"/>
      <c r="N81" s="609"/>
      <c r="O81" s="609"/>
      <c r="P81" s="609"/>
      <c r="Q81" s="609"/>
      <c r="R81" s="609"/>
      <c r="S81" s="609">
        <v>2000</v>
      </c>
      <c r="T81" s="609"/>
      <c r="U81" s="609"/>
      <c r="V81" s="609"/>
      <c r="W81" s="609"/>
      <c r="X81" s="609"/>
      <c r="Y81" s="609"/>
      <c r="Z81" s="609"/>
      <c r="AA81" s="609">
        <v>1000</v>
      </c>
      <c r="AB81" s="609"/>
      <c r="AC81" s="609"/>
      <c r="AD81" s="609"/>
      <c r="AE81" s="609"/>
      <c r="AF81" s="609"/>
      <c r="AG81" s="609"/>
      <c r="AH81" s="609">
        <v>1000</v>
      </c>
      <c r="AI81" s="609"/>
      <c r="AJ81" s="609"/>
      <c r="AK81" s="620"/>
      <c r="AL81" s="1978">
        <f>SUM(G81:AK81)</f>
        <v>6000</v>
      </c>
      <c r="AM81" s="1968">
        <f t="shared" si="5"/>
        <v>0</v>
      </c>
      <c r="AN81"/>
      <c r="AO81"/>
      <c r="AP81"/>
      <c r="AQ81"/>
      <c r="AR81"/>
      <c r="AS81"/>
      <c r="AT81"/>
      <c r="AU81"/>
      <c r="AV81"/>
      <c r="AW81"/>
      <c r="AX81"/>
      <c r="AY81"/>
      <c r="AZ81"/>
    </row>
    <row r="82" spans="1:52" s="244" customFormat="1" ht="24.9" customHeight="1" thickBot="1">
      <c r="A82" s="913"/>
      <c r="B82" s="785">
        <v>15424687</v>
      </c>
      <c r="C82" s="786" t="s">
        <v>312</v>
      </c>
      <c r="D82" s="1926" t="s">
        <v>27</v>
      </c>
      <c r="E82" s="1928"/>
      <c r="F82" s="739" t="s">
        <v>313</v>
      </c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32"/>
      <c r="AB82" s="632"/>
      <c r="AC82" s="632"/>
      <c r="AD82" s="633"/>
      <c r="AE82" s="632"/>
      <c r="AF82" s="632"/>
      <c r="AG82" s="632"/>
      <c r="AH82" s="632"/>
      <c r="AI82" s="632"/>
      <c r="AJ82" s="633"/>
      <c r="AK82" s="633"/>
      <c r="AL82" s="1980">
        <f t="shared" si="0"/>
        <v>0</v>
      </c>
      <c r="AM82" s="1962">
        <f t="shared" si="5"/>
        <v>0</v>
      </c>
      <c r="AN82"/>
      <c r="AO82"/>
      <c r="AP82"/>
      <c r="AQ82"/>
      <c r="AR82"/>
      <c r="AS82"/>
      <c r="AT82"/>
      <c r="AU82"/>
      <c r="AV82"/>
      <c r="AW82"/>
      <c r="AX82"/>
      <c r="AY82"/>
      <c r="AZ82"/>
    </row>
    <row r="83" spans="1:52" s="244" customFormat="1" ht="24.9" customHeight="1" thickBot="1">
      <c r="A83" s="913"/>
      <c r="B83" s="1387">
        <v>56565656</v>
      </c>
      <c r="C83" s="1621" t="s">
        <v>314</v>
      </c>
      <c r="D83" s="1380" t="s">
        <v>27</v>
      </c>
      <c r="E83" s="1927"/>
      <c r="F83" s="1622" t="s">
        <v>315</v>
      </c>
      <c r="G83" s="1388"/>
      <c r="H83" s="1389"/>
      <c r="I83" s="1388"/>
      <c r="J83" s="1388"/>
      <c r="K83" s="1388"/>
      <c r="L83" s="1388"/>
      <c r="M83" s="1388"/>
      <c r="N83" s="1388"/>
      <c r="O83" s="1388"/>
      <c r="P83" s="1388"/>
      <c r="Q83" s="1388"/>
      <c r="R83" s="1388"/>
      <c r="S83" s="1388"/>
      <c r="T83" s="1388"/>
      <c r="U83" s="1388"/>
      <c r="V83" s="1388"/>
      <c r="W83" s="1388"/>
      <c r="X83" s="1388"/>
      <c r="Y83" s="1388"/>
      <c r="Z83" s="1389"/>
      <c r="AA83" s="1389"/>
      <c r="AB83" s="1388"/>
      <c r="AC83" s="1389"/>
      <c r="AD83" s="1388"/>
      <c r="AE83" s="1388"/>
      <c r="AF83" s="1389"/>
      <c r="AG83" s="1389"/>
      <c r="AH83" s="1388"/>
      <c r="AI83" s="1389"/>
      <c r="AJ83" s="1389"/>
      <c r="AK83" s="1389"/>
      <c r="AL83" s="1977">
        <f t="shared" si="0"/>
        <v>0</v>
      </c>
      <c r="AM83" s="1969">
        <f t="shared" si="5"/>
        <v>0</v>
      </c>
      <c r="AN83"/>
      <c r="AO83"/>
      <c r="AP83"/>
      <c r="AQ83"/>
      <c r="AR83"/>
      <c r="AS83"/>
      <c r="AT83"/>
      <c r="AU83"/>
      <c r="AV83"/>
      <c r="AW83"/>
      <c r="AX83"/>
      <c r="AY83"/>
      <c r="AZ83"/>
    </row>
    <row r="84" spans="1:52" s="244" customFormat="1" ht="24.9" customHeight="1">
      <c r="A84" s="1250">
        <v>1</v>
      </c>
      <c r="B84" s="767" t="s">
        <v>2195</v>
      </c>
      <c r="C84" s="787" t="s">
        <v>1893</v>
      </c>
      <c r="D84" s="744">
        <v>2</v>
      </c>
      <c r="E84" s="1920">
        <v>3725</v>
      </c>
      <c r="F84" s="2614" t="s">
        <v>1900</v>
      </c>
      <c r="G84" s="618">
        <v>3600</v>
      </c>
      <c r="H84" s="618">
        <v>3600</v>
      </c>
      <c r="I84" s="618">
        <v>1800</v>
      </c>
      <c r="J84" s="618"/>
      <c r="K84" s="618"/>
      <c r="L84" s="618"/>
      <c r="M84" s="618">
        <v>2400</v>
      </c>
      <c r="N84" s="618"/>
      <c r="O84" s="618">
        <v>1800</v>
      </c>
      <c r="P84" s="618">
        <v>1200</v>
      </c>
      <c r="Q84" s="618"/>
      <c r="R84" s="618"/>
      <c r="S84" s="618"/>
      <c r="T84" s="618">
        <v>2700</v>
      </c>
      <c r="U84" s="618">
        <v>2180</v>
      </c>
      <c r="V84" s="618"/>
      <c r="W84" s="618">
        <v>1800</v>
      </c>
      <c r="X84" s="618"/>
      <c r="Y84" s="618"/>
      <c r="Z84" s="618"/>
      <c r="AA84" s="618">
        <v>5400</v>
      </c>
      <c r="AB84" s="618">
        <v>0</v>
      </c>
      <c r="AC84" s="618">
        <v>5400</v>
      </c>
      <c r="AD84" s="618">
        <v>0</v>
      </c>
      <c r="AE84" s="618"/>
      <c r="AF84" s="618"/>
      <c r="AG84" s="618"/>
      <c r="AH84" s="618"/>
      <c r="AI84" s="618"/>
      <c r="AJ84" s="618"/>
      <c r="AK84" s="619"/>
      <c r="AL84" s="1973">
        <f t="shared" si="0"/>
        <v>31880</v>
      </c>
      <c r="AM84" s="1970">
        <f>AL84*E84</f>
        <v>118753000</v>
      </c>
      <c r="AN84" s="2609">
        <f>SUM(AM84:AM91)</f>
        <v>303122920</v>
      </c>
      <c r="AO84"/>
      <c r="AP84"/>
      <c r="AQ84"/>
      <c r="AR84"/>
      <c r="AS84"/>
      <c r="AT84"/>
      <c r="AU84"/>
      <c r="AV84"/>
      <c r="AW84"/>
      <c r="AX84"/>
      <c r="AY84"/>
      <c r="AZ84"/>
    </row>
    <row r="85" spans="1:52" s="244" customFormat="1" ht="24.9" customHeight="1">
      <c r="A85" s="1250">
        <v>2</v>
      </c>
      <c r="B85" s="771" t="s">
        <v>2196</v>
      </c>
      <c r="C85" s="616" t="s">
        <v>1894</v>
      </c>
      <c r="D85" s="615">
        <v>3</v>
      </c>
      <c r="E85" s="1921">
        <v>4468</v>
      </c>
      <c r="F85" s="2615"/>
      <c r="G85" s="609">
        <v>1850</v>
      </c>
      <c r="H85" s="609">
        <v>1800</v>
      </c>
      <c r="I85" s="609">
        <v>1800</v>
      </c>
      <c r="J85" s="609"/>
      <c r="K85" s="609"/>
      <c r="L85" s="609"/>
      <c r="M85" s="609"/>
      <c r="N85" s="609">
        <v>2700</v>
      </c>
      <c r="O85" s="609">
        <v>1800</v>
      </c>
      <c r="P85" s="609">
        <v>1800</v>
      </c>
      <c r="Q85" s="609"/>
      <c r="R85" s="609"/>
      <c r="S85" s="609"/>
      <c r="T85" s="609"/>
      <c r="U85" s="609"/>
      <c r="V85" s="609">
        <v>3600</v>
      </c>
      <c r="W85" s="609">
        <v>1800</v>
      </c>
      <c r="X85" s="609"/>
      <c r="Y85" s="609"/>
      <c r="Z85" s="609"/>
      <c r="AA85" s="609">
        <v>0</v>
      </c>
      <c r="AB85" s="609">
        <v>5470</v>
      </c>
      <c r="AC85" s="609">
        <v>0</v>
      </c>
      <c r="AD85" s="609">
        <v>0</v>
      </c>
      <c r="AE85" s="609"/>
      <c r="AF85" s="609"/>
      <c r="AG85" s="609"/>
      <c r="AH85" s="609"/>
      <c r="AI85" s="609"/>
      <c r="AJ85" s="609"/>
      <c r="AK85" s="620"/>
      <c r="AL85" s="1978">
        <f t="shared" si="0"/>
        <v>22620</v>
      </c>
      <c r="AM85" s="1971">
        <f t="shared" si="5"/>
        <v>101066160</v>
      </c>
      <c r="AN85" s="2610"/>
      <c r="AO85"/>
      <c r="AP85"/>
      <c r="AQ85"/>
      <c r="AR85"/>
      <c r="AS85"/>
      <c r="AT85"/>
      <c r="AU85"/>
      <c r="AV85"/>
      <c r="AW85"/>
      <c r="AX85"/>
      <c r="AY85"/>
      <c r="AZ85"/>
    </row>
    <row r="86" spans="1:52" s="244" customFormat="1" ht="24.9" customHeight="1">
      <c r="A86" s="1250">
        <v>3</v>
      </c>
      <c r="B86" s="771" t="s">
        <v>2197</v>
      </c>
      <c r="C86" s="616" t="s">
        <v>1895</v>
      </c>
      <c r="D86" s="615">
        <v>3</v>
      </c>
      <c r="E86" s="1921">
        <v>2178</v>
      </c>
      <c r="F86" s="2615"/>
      <c r="G86" s="609">
        <v>1900</v>
      </c>
      <c r="H86" s="609">
        <v>1600</v>
      </c>
      <c r="I86" s="609">
        <v>2000</v>
      </c>
      <c r="J86" s="609"/>
      <c r="K86" s="609"/>
      <c r="L86" s="609"/>
      <c r="M86" s="609"/>
      <c r="N86" s="609">
        <v>3000</v>
      </c>
      <c r="O86" s="609"/>
      <c r="P86" s="609">
        <v>4000</v>
      </c>
      <c r="Q86" s="609"/>
      <c r="R86" s="609"/>
      <c r="S86" s="609"/>
      <c r="T86" s="609"/>
      <c r="U86" s="609"/>
      <c r="V86" s="609">
        <v>4000</v>
      </c>
      <c r="W86" s="609">
        <v>4000</v>
      </c>
      <c r="X86" s="609"/>
      <c r="Y86" s="609"/>
      <c r="Z86" s="609"/>
      <c r="AA86" s="609">
        <v>0</v>
      </c>
      <c r="AB86" s="609">
        <v>0</v>
      </c>
      <c r="AC86" s="609">
        <v>0</v>
      </c>
      <c r="AD86" s="609">
        <v>4000</v>
      </c>
      <c r="AE86" s="609"/>
      <c r="AF86" s="609"/>
      <c r="AG86" s="609"/>
      <c r="AH86" s="609"/>
      <c r="AI86" s="609"/>
      <c r="AJ86" s="609"/>
      <c r="AK86" s="620"/>
      <c r="AL86" s="1978">
        <f t="shared" si="0"/>
        <v>24500</v>
      </c>
      <c r="AM86" s="1971">
        <f t="shared" si="5"/>
        <v>53361000</v>
      </c>
      <c r="AN86" s="2610"/>
      <c r="AO86"/>
      <c r="AP86"/>
      <c r="AQ86"/>
      <c r="AR86"/>
      <c r="AS86"/>
      <c r="AT86"/>
      <c r="AU86"/>
      <c r="AV86"/>
      <c r="AW86"/>
      <c r="AX86"/>
      <c r="AY86"/>
      <c r="AZ86"/>
    </row>
    <row r="87" spans="1:52" s="244" customFormat="1" ht="24.9" customHeight="1">
      <c r="A87" s="1250">
        <v>4</v>
      </c>
      <c r="B87" s="771" t="s">
        <v>2198</v>
      </c>
      <c r="C87" s="616" t="s">
        <v>2164</v>
      </c>
      <c r="D87" s="615" t="s">
        <v>32</v>
      </c>
      <c r="E87" s="1922">
        <v>1516</v>
      </c>
      <c r="F87" s="2615"/>
      <c r="G87" s="609"/>
      <c r="H87" s="609"/>
      <c r="I87" s="609"/>
      <c r="J87" s="609"/>
      <c r="K87" s="609"/>
      <c r="L87" s="609"/>
      <c r="M87" s="609">
        <v>3850</v>
      </c>
      <c r="N87" s="609"/>
      <c r="O87" s="609"/>
      <c r="P87" s="609"/>
      <c r="Q87" s="609"/>
      <c r="R87" s="609"/>
      <c r="S87" s="609"/>
      <c r="T87" s="609">
        <v>6500</v>
      </c>
      <c r="U87" s="609"/>
      <c r="V87" s="609"/>
      <c r="W87" s="609"/>
      <c r="X87" s="609"/>
      <c r="Y87" s="609"/>
      <c r="Z87" s="609"/>
      <c r="AA87" s="609"/>
      <c r="AB87" s="609"/>
      <c r="AC87" s="609"/>
      <c r="AD87" s="609"/>
      <c r="AE87" s="609"/>
      <c r="AF87" s="609"/>
      <c r="AG87" s="609"/>
      <c r="AH87" s="609"/>
      <c r="AI87" s="609">
        <v>3340</v>
      </c>
      <c r="AJ87" s="609"/>
      <c r="AK87" s="620"/>
      <c r="AL87" s="1978">
        <f t="shared" si="0"/>
        <v>13690</v>
      </c>
      <c r="AM87" s="1971">
        <f t="shared" si="5"/>
        <v>20754040</v>
      </c>
      <c r="AN87" s="2610"/>
      <c r="AO87"/>
      <c r="AP87"/>
      <c r="AQ87"/>
      <c r="AR87"/>
      <c r="AS87"/>
      <c r="AT87"/>
      <c r="AU87"/>
      <c r="AV87"/>
      <c r="AW87"/>
      <c r="AX87"/>
      <c r="AY87"/>
      <c r="AZ87"/>
    </row>
    <row r="88" spans="1:52" s="244" customFormat="1" ht="24.9" customHeight="1">
      <c r="A88" s="1250">
        <v>5</v>
      </c>
      <c r="B88" s="771" t="s">
        <v>2199</v>
      </c>
      <c r="C88" s="616" t="s">
        <v>2163</v>
      </c>
      <c r="D88" s="615" t="s">
        <v>32</v>
      </c>
      <c r="E88" s="1922">
        <v>1064</v>
      </c>
      <c r="F88" s="2615"/>
      <c r="G88" s="609"/>
      <c r="H88" s="609"/>
      <c r="I88" s="609">
        <v>1970</v>
      </c>
      <c r="J88" s="609"/>
      <c r="K88" s="609"/>
      <c r="L88" s="609"/>
      <c r="M88" s="609"/>
      <c r="N88" s="609"/>
      <c r="O88" s="609">
        <f>1300+1310+1400</f>
        <v>4010</v>
      </c>
      <c r="P88" s="609"/>
      <c r="Q88" s="609"/>
      <c r="R88" s="609"/>
      <c r="S88" s="609"/>
      <c r="T88" s="609"/>
      <c r="U88" s="609"/>
      <c r="V88" s="609"/>
      <c r="W88" s="609"/>
      <c r="X88" s="609"/>
      <c r="Y88" s="609"/>
      <c r="Z88" s="609"/>
      <c r="AA88" s="609"/>
      <c r="AB88" s="609"/>
      <c r="AC88" s="609"/>
      <c r="AD88" s="609"/>
      <c r="AE88" s="609"/>
      <c r="AF88" s="609"/>
      <c r="AG88" s="609"/>
      <c r="AH88" s="609"/>
      <c r="AI88" s="609">
        <v>2000</v>
      </c>
      <c r="AJ88" s="609"/>
      <c r="AK88" s="620"/>
      <c r="AL88" s="1978">
        <f t="shared" si="0"/>
        <v>7980</v>
      </c>
      <c r="AM88" s="1971">
        <f t="shared" si="5"/>
        <v>8490720</v>
      </c>
      <c r="AN88" s="2610"/>
      <c r="AO88"/>
      <c r="AP88"/>
      <c r="AQ88"/>
      <c r="AR88"/>
      <c r="AS88"/>
      <c r="AT88"/>
      <c r="AU88"/>
      <c r="AV88"/>
      <c r="AW88"/>
      <c r="AX88"/>
      <c r="AY88"/>
      <c r="AZ88"/>
    </row>
    <row r="89" spans="1:52" s="244" customFormat="1" ht="24.9" customHeight="1">
      <c r="A89" s="1250">
        <v>6</v>
      </c>
      <c r="B89" s="753" t="s">
        <v>2266</v>
      </c>
      <c r="C89" s="749" t="s">
        <v>884</v>
      </c>
      <c r="D89" s="615" t="s">
        <v>32</v>
      </c>
      <c r="E89" s="1922">
        <v>349</v>
      </c>
      <c r="F89" s="2615"/>
      <c r="G89" s="609"/>
      <c r="H89" s="609"/>
      <c r="I89" s="609"/>
      <c r="J89" s="609"/>
      <c r="K89" s="609"/>
      <c r="L89" s="609"/>
      <c r="M89" s="609"/>
      <c r="N89" s="609"/>
      <c r="O89" s="609"/>
      <c r="P89" s="609"/>
      <c r="Q89" s="609"/>
      <c r="R89" s="609"/>
      <c r="S89" s="609"/>
      <c r="T89" s="609"/>
      <c r="U89" s="609"/>
      <c r="V89" s="609"/>
      <c r="W89" s="609"/>
      <c r="X89" s="609"/>
      <c r="Y89" s="609"/>
      <c r="Z89" s="609"/>
      <c r="AA89" s="609"/>
      <c r="AB89" s="609"/>
      <c r="AC89" s="609">
        <v>2000</v>
      </c>
      <c r="AD89" s="609"/>
      <c r="AE89" s="609"/>
      <c r="AF89" s="609"/>
      <c r="AG89" s="609"/>
      <c r="AH89" s="609"/>
      <c r="AI89" s="609"/>
      <c r="AJ89" s="609"/>
      <c r="AK89" s="620"/>
      <c r="AL89" s="1978">
        <f>SUM(G89:AK89)</f>
        <v>2000</v>
      </c>
      <c r="AM89" s="1971">
        <f t="shared" si="5"/>
        <v>698000</v>
      </c>
      <c r="AN89" s="2610"/>
    </row>
    <row r="90" spans="1:52" s="244" customFormat="1" ht="24.9" customHeight="1">
      <c r="A90" s="1250">
        <v>7</v>
      </c>
      <c r="B90" s="1124" t="s">
        <v>2200</v>
      </c>
      <c r="C90" s="1899" t="s">
        <v>1360</v>
      </c>
      <c r="D90" s="746" t="s">
        <v>32</v>
      </c>
      <c r="E90" s="1923">
        <v>1036</v>
      </c>
      <c r="F90" s="2615"/>
      <c r="G90" s="610"/>
      <c r="H90" s="610"/>
      <c r="I90" s="610"/>
      <c r="J90" s="610"/>
      <c r="K90" s="610"/>
      <c r="L90" s="610"/>
      <c r="M90" s="610"/>
      <c r="N90" s="610"/>
      <c r="O90" s="610"/>
      <c r="P90" s="610"/>
      <c r="Q90" s="610"/>
      <c r="R90" s="610"/>
      <c r="S90" s="610"/>
      <c r="T90" s="610"/>
      <c r="U90" s="610"/>
      <c r="V90" s="610"/>
      <c r="W90" s="610"/>
      <c r="X90" s="610"/>
      <c r="Y90" s="610"/>
      <c r="Z90" s="610"/>
      <c r="AA90" s="610"/>
      <c r="AB90" s="610"/>
      <c r="AC90" s="610"/>
      <c r="AD90" s="610"/>
      <c r="AE90" s="610"/>
      <c r="AF90" s="610"/>
      <c r="AG90" s="610"/>
      <c r="AH90" s="610"/>
      <c r="AI90" s="610"/>
      <c r="AJ90" s="610"/>
      <c r="AK90" s="1244"/>
      <c r="AL90" s="1979">
        <f>SUM(G90:AK90)</f>
        <v>0</v>
      </c>
      <c r="AM90" s="1972">
        <f t="shared" ref="AM90" si="6">AL90*E90</f>
        <v>0</v>
      </c>
      <c r="AN90" s="2610"/>
    </row>
    <row r="91" spans="1:52" s="244" customFormat="1" ht="24.9" customHeight="1" thickBot="1">
      <c r="A91" s="1250">
        <v>8</v>
      </c>
      <c r="B91" s="1124" t="s">
        <v>2201</v>
      </c>
      <c r="C91" s="1899" t="s">
        <v>2190</v>
      </c>
      <c r="D91" s="746" t="s">
        <v>32</v>
      </c>
      <c r="E91" s="1923">
        <v>869</v>
      </c>
      <c r="F91" s="2616"/>
      <c r="G91" s="610"/>
      <c r="H91" s="610"/>
      <c r="I91" s="610"/>
      <c r="J91" s="610"/>
      <c r="K91" s="610"/>
      <c r="L91" s="610"/>
      <c r="M91" s="610"/>
      <c r="N91" s="610"/>
      <c r="O91" s="610"/>
      <c r="P91" s="610"/>
      <c r="Q91" s="610"/>
      <c r="R91" s="610"/>
      <c r="S91" s="610"/>
      <c r="T91" s="610"/>
      <c r="U91" s="610"/>
      <c r="V91" s="610"/>
      <c r="W91" s="610"/>
      <c r="X91" s="610"/>
      <c r="Y91" s="610"/>
      <c r="Z91" s="610"/>
      <c r="AA91" s="610"/>
      <c r="AB91" s="610"/>
      <c r="AC91" s="610"/>
      <c r="AD91" s="610"/>
      <c r="AE91" s="610"/>
      <c r="AF91" s="610"/>
      <c r="AG91" s="610"/>
      <c r="AH91" s="610"/>
      <c r="AI91" s="610"/>
      <c r="AJ91" s="610"/>
      <c r="AK91" s="1244"/>
      <c r="AL91" s="1979"/>
      <c r="AM91" s="1972"/>
      <c r="AN91" s="2610"/>
    </row>
    <row r="92" spans="1:52" s="244" customFormat="1" ht="24.9" customHeight="1">
      <c r="A92" s="913">
        <v>1</v>
      </c>
      <c r="B92" s="2052" t="s">
        <v>1887</v>
      </c>
      <c r="C92" s="787" t="s">
        <v>1888</v>
      </c>
      <c r="D92" s="1900" t="s">
        <v>32</v>
      </c>
      <c r="E92" s="1920">
        <v>1125</v>
      </c>
      <c r="F92" s="1912" t="s">
        <v>2080</v>
      </c>
      <c r="G92" s="618">
        <v>2700</v>
      </c>
      <c r="H92" s="618">
        <v>3600</v>
      </c>
      <c r="I92" s="618"/>
      <c r="J92" s="618"/>
      <c r="K92" s="618"/>
      <c r="L92" s="618">
        <v>3570</v>
      </c>
      <c r="M92" s="618">
        <v>7200</v>
      </c>
      <c r="N92" s="618"/>
      <c r="O92" s="618"/>
      <c r="P92" s="618">
        <v>4500</v>
      </c>
      <c r="Q92" s="618"/>
      <c r="R92" s="618"/>
      <c r="S92" s="618">
        <v>7195</v>
      </c>
      <c r="T92" s="618"/>
      <c r="U92" s="618"/>
      <c r="V92" s="618"/>
      <c r="W92" s="618"/>
      <c r="X92" s="618"/>
      <c r="Y92" s="618"/>
      <c r="Z92" s="618"/>
      <c r="AA92" s="618"/>
      <c r="AB92" s="618">
        <v>7200</v>
      </c>
      <c r="AC92" s="618">
        <v>6300</v>
      </c>
      <c r="AD92" s="618"/>
      <c r="AE92" s="618"/>
      <c r="AF92" s="618"/>
      <c r="AG92" s="618">
        <v>4425</v>
      </c>
      <c r="AH92" s="618"/>
      <c r="AI92" s="618">
        <v>8850</v>
      </c>
      <c r="AJ92" s="618"/>
      <c r="AK92" s="619"/>
      <c r="AL92" s="1981">
        <f t="shared" ref="AL92:AL114" si="7">SUM(G92:AK92)</f>
        <v>55540</v>
      </c>
      <c r="AM92" s="1962">
        <f t="shared" si="5"/>
        <v>62482500</v>
      </c>
      <c r="AN92" s="2596">
        <f>SUM(AM92:AM114)</f>
        <v>284765053</v>
      </c>
      <c r="AO92"/>
      <c r="AP92"/>
      <c r="AQ92"/>
      <c r="AR92"/>
      <c r="AS92"/>
      <c r="AT92"/>
      <c r="AU92"/>
      <c r="AV92"/>
      <c r="AW92"/>
      <c r="AX92"/>
      <c r="AY92"/>
      <c r="AZ92"/>
    </row>
    <row r="93" spans="1:52" s="244" customFormat="1" ht="24.9" customHeight="1">
      <c r="A93" s="913">
        <v>2</v>
      </c>
      <c r="B93" s="2051" t="s">
        <v>1889</v>
      </c>
      <c r="C93" s="616" t="s">
        <v>1890</v>
      </c>
      <c r="D93" s="1904" t="s">
        <v>32</v>
      </c>
      <c r="E93" s="1921">
        <v>423</v>
      </c>
      <c r="F93" s="1911"/>
      <c r="G93" s="609">
        <v>8672</v>
      </c>
      <c r="H93" s="609"/>
      <c r="I93" s="609"/>
      <c r="J93" s="609"/>
      <c r="K93" s="609"/>
      <c r="L93" s="609"/>
      <c r="M93" s="609">
        <v>21149</v>
      </c>
      <c r="N93" s="609"/>
      <c r="O93" s="609">
        <v>10045</v>
      </c>
      <c r="P93" s="609">
        <v>14350</v>
      </c>
      <c r="Q93" s="609">
        <v>7175</v>
      </c>
      <c r="R93" s="609"/>
      <c r="S93" s="609">
        <v>10045</v>
      </c>
      <c r="T93" s="609"/>
      <c r="U93" s="609"/>
      <c r="V93" s="609"/>
      <c r="W93" s="609">
        <v>11480</v>
      </c>
      <c r="X93" s="609"/>
      <c r="Y93" s="609"/>
      <c r="Z93" s="609"/>
      <c r="AA93" s="609">
        <v>33252</v>
      </c>
      <c r="AB93" s="609">
        <v>10024</v>
      </c>
      <c r="AC93" s="609">
        <v>8610</v>
      </c>
      <c r="AD93" s="609">
        <v>18120</v>
      </c>
      <c r="AE93" s="609"/>
      <c r="AF93" s="609"/>
      <c r="AG93" s="609"/>
      <c r="AH93" s="609"/>
      <c r="AI93" s="609">
        <v>17832</v>
      </c>
      <c r="AJ93" s="609"/>
      <c r="AK93" s="620"/>
      <c r="AL93" s="1982">
        <f t="shared" si="7"/>
        <v>170754</v>
      </c>
      <c r="AM93" s="1963">
        <f t="shared" si="5"/>
        <v>72228942</v>
      </c>
      <c r="AN93" s="2597"/>
      <c r="AO93"/>
      <c r="AP93"/>
      <c r="AQ93"/>
      <c r="AR93"/>
      <c r="AS93"/>
      <c r="AT93"/>
      <c r="AU93"/>
      <c r="AV93"/>
      <c r="AW93"/>
      <c r="AX93"/>
      <c r="AY93"/>
      <c r="AZ93"/>
    </row>
    <row r="94" spans="1:52" s="244" customFormat="1" ht="24.9" customHeight="1">
      <c r="A94" s="913">
        <v>3</v>
      </c>
      <c r="B94" s="2051" t="s">
        <v>1885</v>
      </c>
      <c r="C94" s="616" t="s">
        <v>1886</v>
      </c>
      <c r="D94" s="1904" t="s">
        <v>32</v>
      </c>
      <c r="E94" s="1921">
        <v>2779</v>
      </c>
      <c r="F94" s="1911"/>
      <c r="G94" s="609"/>
      <c r="H94" s="609"/>
      <c r="I94" s="609"/>
      <c r="J94" s="609"/>
      <c r="K94" s="609"/>
      <c r="L94" s="609"/>
      <c r="M94" s="609"/>
      <c r="N94" s="609"/>
      <c r="O94" s="609">
        <v>3200</v>
      </c>
      <c r="P94" s="609"/>
      <c r="Q94" s="609"/>
      <c r="R94" s="609"/>
      <c r="S94" s="609"/>
      <c r="T94" s="609"/>
      <c r="U94" s="609"/>
      <c r="V94" s="609"/>
      <c r="W94" s="609"/>
      <c r="X94" s="609"/>
      <c r="Y94" s="609"/>
      <c r="Z94" s="609">
        <v>3200</v>
      </c>
      <c r="AA94" s="609"/>
      <c r="AB94" s="609"/>
      <c r="AC94" s="609"/>
      <c r="AD94" s="609"/>
      <c r="AE94" s="609"/>
      <c r="AF94" s="609"/>
      <c r="AG94" s="609"/>
      <c r="AH94" s="609"/>
      <c r="AI94" s="609"/>
      <c r="AJ94" s="609">
        <v>1600</v>
      </c>
      <c r="AK94" s="620"/>
      <c r="AL94" s="1982">
        <f>SUM(G94:AK94)</f>
        <v>8000</v>
      </c>
      <c r="AM94" s="1963">
        <f t="shared" si="5"/>
        <v>22232000</v>
      </c>
      <c r="AN94" s="2597"/>
      <c r="AO94"/>
      <c r="AP94"/>
      <c r="AQ94"/>
      <c r="AR94"/>
      <c r="AS94"/>
      <c r="AT94"/>
      <c r="AU94"/>
      <c r="AV94"/>
      <c r="AW94"/>
      <c r="AX94"/>
      <c r="AY94"/>
      <c r="AZ94"/>
    </row>
    <row r="95" spans="1:52" s="244" customFormat="1" ht="24.9" customHeight="1" thickBot="1">
      <c r="A95" s="913">
        <v>4</v>
      </c>
      <c r="B95" s="2053" t="s">
        <v>2081</v>
      </c>
      <c r="C95" s="1503" t="s">
        <v>2082</v>
      </c>
      <c r="D95" s="1902" t="s">
        <v>32</v>
      </c>
      <c r="E95" s="1924">
        <v>2866</v>
      </c>
      <c r="F95" s="1913"/>
      <c r="G95" s="610"/>
      <c r="H95" s="610"/>
      <c r="I95" s="610"/>
      <c r="J95" s="610"/>
      <c r="K95" s="610"/>
      <c r="L95" s="610"/>
      <c r="M95" s="610"/>
      <c r="N95" s="610"/>
      <c r="O95" s="610"/>
      <c r="P95" s="610"/>
      <c r="Q95" s="610"/>
      <c r="R95" s="610"/>
      <c r="S95" s="610"/>
      <c r="T95" s="610"/>
      <c r="U95" s="610"/>
      <c r="V95" s="610"/>
      <c r="W95" s="610"/>
      <c r="X95" s="610"/>
      <c r="Y95" s="610"/>
      <c r="Z95" s="610"/>
      <c r="AA95" s="610"/>
      <c r="AB95" s="610"/>
      <c r="AC95" s="610"/>
      <c r="AD95" s="610"/>
      <c r="AE95" s="610"/>
      <c r="AF95" s="610"/>
      <c r="AG95" s="610"/>
      <c r="AH95" s="610"/>
      <c r="AI95" s="610"/>
      <c r="AJ95" s="610"/>
      <c r="AK95" s="1244"/>
      <c r="AL95" s="1983">
        <f>SUM(G95:AK95)</f>
        <v>0</v>
      </c>
      <c r="AM95" s="1969">
        <f t="shared" si="5"/>
        <v>0</v>
      </c>
      <c r="AN95" s="2597"/>
      <c r="AO95"/>
      <c r="AP95"/>
      <c r="AQ95"/>
      <c r="AR95"/>
      <c r="AS95"/>
      <c r="AT95"/>
      <c r="AU95"/>
      <c r="AV95"/>
      <c r="AW95"/>
      <c r="AX95"/>
      <c r="AY95"/>
      <c r="AZ95"/>
    </row>
    <row r="96" spans="1:52" s="244" customFormat="1" ht="24.9" customHeight="1">
      <c r="A96" s="913">
        <v>5</v>
      </c>
      <c r="B96" s="2052" t="s">
        <v>1881</v>
      </c>
      <c r="C96" s="787" t="s">
        <v>1882</v>
      </c>
      <c r="D96" s="1900" t="s">
        <v>32</v>
      </c>
      <c r="E96" s="1920">
        <v>2047</v>
      </c>
      <c r="F96" s="1912" t="s">
        <v>2080</v>
      </c>
      <c r="G96" s="618"/>
      <c r="H96" s="618"/>
      <c r="I96" s="618"/>
      <c r="J96" s="618"/>
      <c r="K96" s="618"/>
      <c r="L96" s="618"/>
      <c r="M96" s="618">
        <v>1620</v>
      </c>
      <c r="N96" s="618"/>
      <c r="O96" s="618"/>
      <c r="P96" s="618"/>
      <c r="Q96" s="618"/>
      <c r="R96" s="618"/>
      <c r="S96" s="618">
        <v>2400</v>
      </c>
      <c r="T96" s="618"/>
      <c r="U96" s="618"/>
      <c r="V96" s="618"/>
      <c r="W96" s="618"/>
      <c r="X96" s="618"/>
      <c r="Y96" s="618"/>
      <c r="Z96" s="618"/>
      <c r="AA96" s="618"/>
      <c r="AB96" s="618">
        <v>3060</v>
      </c>
      <c r="AC96" s="618"/>
      <c r="AD96" s="618"/>
      <c r="AE96" s="618"/>
      <c r="AF96" s="618"/>
      <c r="AG96" s="618">
        <v>2420</v>
      </c>
      <c r="AH96" s="618"/>
      <c r="AI96" s="618"/>
      <c r="AJ96" s="618"/>
      <c r="AK96" s="619"/>
      <c r="AL96" s="1981">
        <f>SUM(G96:AK96)</f>
        <v>9500</v>
      </c>
      <c r="AM96" s="1962">
        <f t="shared" si="5"/>
        <v>19446500</v>
      </c>
      <c r="AN96" s="2597"/>
      <c r="AO96"/>
      <c r="AP96"/>
      <c r="AQ96"/>
      <c r="AR96"/>
      <c r="AS96"/>
      <c r="AT96"/>
      <c r="AU96"/>
      <c r="AV96"/>
      <c r="AW96"/>
      <c r="AX96"/>
      <c r="AY96"/>
      <c r="AZ96"/>
    </row>
    <row r="97" spans="1:52" s="244" customFormat="1" ht="24.9" customHeight="1">
      <c r="A97" s="913">
        <v>6</v>
      </c>
      <c r="B97" s="2051" t="s">
        <v>1883</v>
      </c>
      <c r="C97" s="616" t="s">
        <v>1884</v>
      </c>
      <c r="D97" s="1904" t="s">
        <v>32</v>
      </c>
      <c r="E97" s="1921">
        <v>2108</v>
      </c>
      <c r="F97" s="1911"/>
      <c r="G97" s="609"/>
      <c r="H97" s="609"/>
      <c r="I97" s="609"/>
      <c r="J97" s="609"/>
      <c r="K97" s="609"/>
      <c r="L97" s="609"/>
      <c r="M97" s="609"/>
      <c r="N97" s="609"/>
      <c r="O97" s="609"/>
      <c r="P97" s="609">
        <v>2410</v>
      </c>
      <c r="Q97" s="609"/>
      <c r="R97" s="609"/>
      <c r="S97" s="609"/>
      <c r="T97" s="609"/>
      <c r="U97" s="609"/>
      <c r="V97" s="609"/>
      <c r="W97" s="609"/>
      <c r="X97" s="609"/>
      <c r="Y97" s="609"/>
      <c r="Z97" s="609"/>
      <c r="AA97" s="609"/>
      <c r="AB97" s="609"/>
      <c r="AC97" s="609"/>
      <c r="AD97" s="609">
        <v>2405</v>
      </c>
      <c r="AE97" s="609"/>
      <c r="AF97" s="609"/>
      <c r="AG97" s="609"/>
      <c r="AH97" s="609"/>
      <c r="AI97" s="609"/>
      <c r="AJ97" s="609"/>
      <c r="AK97" s="1955">
        <v>732</v>
      </c>
      <c r="AL97" s="1982">
        <f>SUM(G97:AK97)</f>
        <v>5547</v>
      </c>
      <c r="AM97" s="1963">
        <f t="shared" si="5"/>
        <v>11693076</v>
      </c>
      <c r="AN97" s="2597"/>
      <c r="AO97"/>
      <c r="AP97"/>
      <c r="AQ97"/>
      <c r="AR97"/>
      <c r="AS97"/>
      <c r="AT97"/>
      <c r="AU97"/>
      <c r="AV97"/>
      <c r="AW97"/>
      <c r="AX97"/>
      <c r="AY97"/>
      <c r="AZ97"/>
    </row>
    <row r="98" spans="1:52" s="244" customFormat="1" ht="24.9" customHeight="1">
      <c r="A98" s="913">
        <v>7</v>
      </c>
      <c r="B98" s="2051" t="s">
        <v>2191</v>
      </c>
      <c r="C98" s="616" t="s">
        <v>2192</v>
      </c>
      <c r="D98" s="1904" t="s">
        <v>32</v>
      </c>
      <c r="E98" s="1921">
        <v>1498</v>
      </c>
      <c r="F98" s="1911"/>
      <c r="G98" s="609"/>
      <c r="H98" s="609"/>
      <c r="I98" s="609"/>
      <c r="J98" s="609"/>
      <c r="K98" s="609"/>
      <c r="L98" s="609"/>
      <c r="M98" s="609"/>
      <c r="N98" s="609"/>
      <c r="O98" s="609"/>
      <c r="P98" s="609"/>
      <c r="Q98" s="609"/>
      <c r="R98" s="609"/>
      <c r="S98" s="609">
        <v>805</v>
      </c>
      <c r="T98" s="609"/>
      <c r="U98" s="609"/>
      <c r="V98" s="609"/>
      <c r="W98" s="609"/>
      <c r="X98" s="609"/>
      <c r="Y98" s="609"/>
      <c r="Z98" s="609"/>
      <c r="AA98" s="609"/>
      <c r="AB98" s="609"/>
      <c r="AC98" s="609"/>
      <c r="AD98" s="609"/>
      <c r="AE98" s="609"/>
      <c r="AF98" s="609"/>
      <c r="AG98" s="609"/>
      <c r="AH98" s="609"/>
      <c r="AI98" s="609"/>
      <c r="AJ98" s="609"/>
      <c r="AK98" s="620"/>
      <c r="AL98" s="1982">
        <f t="shared" ref="AL98:AL99" si="8">SUM(G98:AK98)</f>
        <v>805</v>
      </c>
      <c r="AM98" s="1963"/>
      <c r="AN98" s="2597"/>
      <c r="AO98"/>
      <c r="AP98"/>
      <c r="AQ98"/>
      <c r="AR98"/>
      <c r="AS98"/>
      <c r="AT98"/>
      <c r="AU98"/>
      <c r="AV98"/>
      <c r="AW98"/>
      <c r="AX98"/>
      <c r="AY98"/>
      <c r="AZ98"/>
    </row>
    <row r="99" spans="1:52" s="244" customFormat="1" ht="24.9" customHeight="1">
      <c r="A99" s="913">
        <v>8</v>
      </c>
      <c r="B99" s="2051" t="s">
        <v>2193</v>
      </c>
      <c r="C99" s="616" t="s">
        <v>2194</v>
      </c>
      <c r="D99" s="1904" t="s">
        <v>32</v>
      </c>
      <c r="E99" s="1921">
        <v>1843</v>
      </c>
      <c r="F99" s="1911"/>
      <c r="G99" s="609"/>
      <c r="H99" s="609"/>
      <c r="I99" s="609"/>
      <c r="J99" s="609"/>
      <c r="K99" s="609"/>
      <c r="L99" s="609"/>
      <c r="M99" s="609"/>
      <c r="N99" s="609"/>
      <c r="O99" s="609"/>
      <c r="P99" s="609"/>
      <c r="Q99" s="609"/>
      <c r="R99" s="609"/>
      <c r="S99" s="609"/>
      <c r="T99" s="609"/>
      <c r="U99" s="609"/>
      <c r="V99" s="609"/>
      <c r="W99" s="609"/>
      <c r="X99" s="609"/>
      <c r="Y99" s="609"/>
      <c r="Z99" s="609"/>
      <c r="AA99" s="609"/>
      <c r="AB99" s="609"/>
      <c r="AC99" s="609"/>
      <c r="AD99" s="609"/>
      <c r="AE99" s="609"/>
      <c r="AF99" s="609"/>
      <c r="AG99" s="609"/>
      <c r="AH99" s="609"/>
      <c r="AI99" s="609"/>
      <c r="AJ99" s="609"/>
      <c r="AK99" s="620"/>
      <c r="AL99" s="1982">
        <f t="shared" si="8"/>
        <v>0</v>
      </c>
      <c r="AM99" s="1963"/>
      <c r="AN99" s="2597"/>
      <c r="AO99"/>
      <c r="AP99"/>
      <c r="AQ99"/>
      <c r="AR99"/>
      <c r="AS99"/>
      <c r="AT99"/>
      <c r="AU99"/>
      <c r="AV99"/>
      <c r="AW99"/>
      <c r="AX99"/>
      <c r="AY99"/>
      <c r="AZ99"/>
    </row>
    <row r="100" spans="1:52" s="244" customFormat="1" ht="24.9" customHeight="1">
      <c r="A100" s="913">
        <v>9</v>
      </c>
      <c r="B100" s="2051" t="s">
        <v>2083</v>
      </c>
      <c r="C100" s="616" t="s">
        <v>2026</v>
      </c>
      <c r="D100" s="1904" t="s">
        <v>32</v>
      </c>
      <c r="E100" s="1921"/>
      <c r="F100" s="1911"/>
      <c r="G100" s="609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  <c r="Z100" s="609"/>
      <c r="AA100" s="609"/>
      <c r="AB100" s="609"/>
      <c r="AC100" s="609"/>
      <c r="AD100" s="609"/>
      <c r="AE100" s="609"/>
      <c r="AF100" s="609"/>
      <c r="AG100" s="609"/>
      <c r="AH100" s="609"/>
      <c r="AI100" s="609"/>
      <c r="AJ100" s="609"/>
      <c r="AK100" s="620"/>
      <c r="AL100" s="1982">
        <f>SUM(G100:AK100)</f>
        <v>0</v>
      </c>
      <c r="AM100" s="1963">
        <f t="shared" si="5"/>
        <v>0</v>
      </c>
      <c r="AN100" s="2597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 spans="1:52" s="244" customFormat="1" ht="24.9" customHeight="1" thickBot="1">
      <c r="A101" s="913">
        <v>10</v>
      </c>
      <c r="B101" s="2053" t="s">
        <v>1891</v>
      </c>
      <c r="C101" s="1503" t="s">
        <v>1892</v>
      </c>
      <c r="D101" s="1902" t="s">
        <v>32</v>
      </c>
      <c r="E101" s="1924">
        <v>3729</v>
      </c>
      <c r="F101" s="1913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10"/>
      <c r="AB101" s="610"/>
      <c r="AC101" s="610"/>
      <c r="AD101" s="610"/>
      <c r="AE101" s="610"/>
      <c r="AF101" s="610"/>
      <c r="AG101" s="610"/>
      <c r="AH101" s="610"/>
      <c r="AI101" s="610"/>
      <c r="AJ101" s="610"/>
      <c r="AK101" s="1244"/>
      <c r="AL101" s="1983">
        <f t="shared" si="7"/>
        <v>0</v>
      </c>
      <c r="AM101" s="1969">
        <f t="shared" si="5"/>
        <v>0</v>
      </c>
      <c r="AN101" s="2597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 spans="1:52" s="244" customFormat="1" ht="24.9" customHeight="1">
      <c r="A102" s="913">
        <v>11</v>
      </c>
      <c r="B102" s="2052" t="s">
        <v>2202</v>
      </c>
      <c r="C102" s="787" t="s">
        <v>2076</v>
      </c>
      <c r="D102" s="1900" t="s">
        <v>32</v>
      </c>
      <c r="E102" s="1920">
        <v>1536</v>
      </c>
      <c r="F102" s="1912" t="s">
        <v>2080</v>
      </c>
      <c r="G102" s="618"/>
      <c r="H102" s="618"/>
      <c r="I102" s="618"/>
      <c r="J102" s="618"/>
      <c r="K102" s="618"/>
      <c r="L102" s="618"/>
      <c r="M102" s="618"/>
      <c r="N102" s="618"/>
      <c r="O102" s="618"/>
      <c r="P102" s="618"/>
      <c r="Q102" s="618"/>
      <c r="R102" s="618"/>
      <c r="S102" s="618"/>
      <c r="T102" s="618"/>
      <c r="U102" s="618"/>
      <c r="V102" s="618"/>
      <c r="W102" s="618"/>
      <c r="X102" s="618"/>
      <c r="Y102" s="618"/>
      <c r="Z102" s="618"/>
      <c r="AA102" s="618"/>
      <c r="AB102" s="618"/>
      <c r="AC102" s="618"/>
      <c r="AD102" s="618"/>
      <c r="AE102" s="618"/>
      <c r="AF102" s="618"/>
      <c r="AG102" s="618"/>
      <c r="AH102" s="618"/>
      <c r="AI102" s="618"/>
      <c r="AJ102" s="618"/>
      <c r="AK102" s="619"/>
      <c r="AL102" s="1981">
        <f t="shared" si="7"/>
        <v>0</v>
      </c>
      <c r="AM102" s="1962">
        <f t="shared" si="5"/>
        <v>0</v>
      </c>
      <c r="AN102" s="2597"/>
      <c r="AO102"/>
      <c r="AP102"/>
      <c r="AQ102"/>
      <c r="AR102"/>
      <c r="AS102"/>
      <c r="AT102"/>
      <c r="AU102"/>
      <c r="AV102"/>
      <c r="AW102"/>
      <c r="AX102"/>
      <c r="AY102"/>
      <c r="AZ102"/>
    </row>
    <row r="103" spans="1:52" s="244" customFormat="1" ht="24.9" customHeight="1">
      <c r="A103" s="913">
        <v>12</v>
      </c>
      <c r="B103" s="2051" t="s">
        <v>2203</v>
      </c>
      <c r="C103" s="616" t="s">
        <v>2077</v>
      </c>
      <c r="D103" s="1904" t="s">
        <v>32</v>
      </c>
      <c r="E103" s="1921">
        <v>909</v>
      </c>
      <c r="F103" s="1914"/>
      <c r="G103" s="609"/>
      <c r="H103" s="609"/>
      <c r="I103" s="609"/>
      <c r="J103" s="609"/>
      <c r="K103" s="609"/>
      <c r="L103" s="609"/>
      <c r="M103" s="609"/>
      <c r="N103" s="609"/>
      <c r="O103" s="609"/>
      <c r="P103" s="609"/>
      <c r="Q103" s="609"/>
      <c r="R103" s="609"/>
      <c r="S103" s="609"/>
      <c r="T103" s="609"/>
      <c r="U103" s="609"/>
      <c r="V103" s="609"/>
      <c r="W103" s="609"/>
      <c r="X103" s="609"/>
      <c r="Y103" s="609"/>
      <c r="Z103" s="609"/>
      <c r="AA103" s="609"/>
      <c r="AB103" s="609"/>
      <c r="AC103" s="609"/>
      <c r="AD103" s="609"/>
      <c r="AE103" s="609"/>
      <c r="AF103" s="609"/>
      <c r="AG103" s="609"/>
      <c r="AH103" s="609"/>
      <c r="AI103" s="609"/>
      <c r="AJ103" s="609"/>
      <c r="AK103" s="620"/>
      <c r="AL103" s="1982">
        <f t="shared" si="7"/>
        <v>0</v>
      </c>
      <c r="AM103" s="1963">
        <f t="shared" si="5"/>
        <v>0</v>
      </c>
      <c r="AN103" s="2597"/>
      <c r="AO103"/>
      <c r="AP103"/>
      <c r="AQ103"/>
      <c r="AR103"/>
      <c r="AS103"/>
      <c r="AT103"/>
      <c r="AU103"/>
      <c r="AV103"/>
      <c r="AW103"/>
      <c r="AX103"/>
      <c r="AY103"/>
      <c r="AZ103"/>
    </row>
    <row r="104" spans="1:52" s="244" customFormat="1" ht="24.9" customHeight="1">
      <c r="A104" s="913">
        <v>13</v>
      </c>
      <c r="B104" s="2051" t="s">
        <v>2204</v>
      </c>
      <c r="C104" s="616" t="s">
        <v>2078</v>
      </c>
      <c r="D104" s="1904" t="s">
        <v>32</v>
      </c>
      <c r="E104" s="1922">
        <v>272</v>
      </c>
      <c r="F104" s="1914"/>
      <c r="G104" s="609"/>
      <c r="H104" s="609"/>
      <c r="I104" s="609"/>
      <c r="J104" s="609"/>
      <c r="K104" s="609"/>
      <c r="L104" s="609"/>
      <c r="M104" s="609"/>
      <c r="N104" s="609"/>
      <c r="O104" s="609"/>
      <c r="P104" s="609"/>
      <c r="Q104" s="609"/>
      <c r="R104" s="609"/>
      <c r="S104" s="609"/>
      <c r="T104" s="609"/>
      <c r="U104" s="609"/>
      <c r="V104" s="609"/>
      <c r="W104" s="609"/>
      <c r="X104" s="609"/>
      <c r="Y104" s="609"/>
      <c r="Z104" s="609"/>
      <c r="AA104" s="609"/>
      <c r="AB104" s="609"/>
      <c r="AC104" s="609"/>
      <c r="AD104" s="609"/>
      <c r="AE104" s="609"/>
      <c r="AF104" s="609"/>
      <c r="AG104" s="609"/>
      <c r="AH104" s="609"/>
      <c r="AI104" s="609"/>
      <c r="AJ104" s="609"/>
      <c r="AK104" s="620"/>
      <c r="AL104" s="1982">
        <f t="shared" si="7"/>
        <v>0</v>
      </c>
      <c r="AM104" s="1963">
        <f t="shared" si="5"/>
        <v>0</v>
      </c>
      <c r="AN104" s="2597"/>
      <c r="AO104"/>
      <c r="AP104"/>
      <c r="AQ104"/>
      <c r="AR104"/>
      <c r="AS104"/>
      <c r="AT104"/>
      <c r="AU104"/>
      <c r="AV104"/>
      <c r="AW104"/>
      <c r="AX104"/>
      <c r="AY104"/>
      <c r="AZ104"/>
    </row>
    <row r="105" spans="1:52" s="244" customFormat="1" ht="24.9" customHeight="1" thickBot="1">
      <c r="A105" s="913">
        <v>14</v>
      </c>
      <c r="B105" s="2053" t="s">
        <v>2205</v>
      </c>
      <c r="C105" s="1503" t="s">
        <v>2079</v>
      </c>
      <c r="D105" s="1902" t="s">
        <v>32</v>
      </c>
      <c r="E105" s="1923">
        <v>387</v>
      </c>
      <c r="F105" s="1915"/>
      <c r="G105" s="610"/>
      <c r="H105" s="610"/>
      <c r="I105" s="610"/>
      <c r="J105" s="610"/>
      <c r="K105" s="610"/>
      <c r="L105" s="610"/>
      <c r="M105" s="610"/>
      <c r="N105" s="610"/>
      <c r="O105" s="610"/>
      <c r="P105" s="610"/>
      <c r="Q105" s="610"/>
      <c r="R105" s="610"/>
      <c r="S105" s="610"/>
      <c r="T105" s="610"/>
      <c r="U105" s="610"/>
      <c r="V105" s="610"/>
      <c r="W105" s="610"/>
      <c r="X105" s="610"/>
      <c r="Y105" s="610"/>
      <c r="Z105" s="610"/>
      <c r="AA105" s="610"/>
      <c r="AB105" s="610"/>
      <c r="AC105" s="610"/>
      <c r="AD105" s="610"/>
      <c r="AE105" s="610"/>
      <c r="AF105" s="610"/>
      <c r="AG105" s="610"/>
      <c r="AH105" s="610"/>
      <c r="AI105" s="610"/>
      <c r="AJ105" s="610"/>
      <c r="AK105" s="1244"/>
      <c r="AL105" s="1983">
        <f t="shared" si="7"/>
        <v>0</v>
      </c>
      <c r="AM105" s="1969">
        <f t="shared" si="5"/>
        <v>0</v>
      </c>
      <c r="AN105" s="2597"/>
      <c r="AO105"/>
      <c r="AP105"/>
      <c r="AQ105"/>
      <c r="AR105"/>
      <c r="AS105"/>
      <c r="AT105"/>
      <c r="AU105"/>
      <c r="AV105"/>
      <c r="AW105"/>
      <c r="AX105"/>
      <c r="AY105"/>
      <c r="AZ105"/>
    </row>
    <row r="106" spans="1:52" s="244" customFormat="1" ht="24.9" customHeight="1">
      <c r="A106" s="913">
        <v>15</v>
      </c>
      <c r="B106" s="2052" t="s">
        <v>2206</v>
      </c>
      <c r="C106" s="787" t="s">
        <v>1981</v>
      </c>
      <c r="D106" s="1900" t="s">
        <v>32</v>
      </c>
      <c r="E106" s="1925">
        <v>1425</v>
      </c>
      <c r="F106" s="2594" t="s">
        <v>2084</v>
      </c>
      <c r="G106" s="618"/>
      <c r="H106" s="618">
        <v>960</v>
      </c>
      <c r="I106" s="618">
        <v>940</v>
      </c>
      <c r="J106" s="618"/>
      <c r="K106" s="618"/>
      <c r="L106" s="618">
        <v>860</v>
      </c>
      <c r="M106" s="618">
        <v>940</v>
      </c>
      <c r="N106" s="618"/>
      <c r="O106" s="618">
        <v>1000</v>
      </c>
      <c r="P106" s="618">
        <v>1140</v>
      </c>
      <c r="Q106" s="618"/>
      <c r="R106" s="618"/>
      <c r="S106" s="618">
        <v>980</v>
      </c>
      <c r="T106" s="618">
        <v>1140</v>
      </c>
      <c r="U106" s="618">
        <v>900</v>
      </c>
      <c r="V106" s="618">
        <v>740</v>
      </c>
      <c r="W106" s="618">
        <v>740</v>
      </c>
      <c r="X106" s="618"/>
      <c r="Y106" s="618"/>
      <c r="Z106" s="618"/>
      <c r="AA106" s="618">
        <v>960</v>
      </c>
      <c r="AB106" s="618">
        <v>920</v>
      </c>
      <c r="AC106" s="618">
        <v>1000</v>
      </c>
      <c r="AD106" s="618">
        <v>1000</v>
      </c>
      <c r="AE106" s="618">
        <v>860</v>
      </c>
      <c r="AF106" s="618"/>
      <c r="AG106" s="618">
        <v>920</v>
      </c>
      <c r="AH106" s="618">
        <v>900</v>
      </c>
      <c r="AI106" s="618">
        <v>940</v>
      </c>
      <c r="AJ106" s="619">
        <v>1740</v>
      </c>
      <c r="AK106" s="2189">
        <v>1965</v>
      </c>
      <c r="AL106" s="1981">
        <f t="shared" si="7"/>
        <v>21545</v>
      </c>
      <c r="AM106" s="1962">
        <f>AL106*E106</f>
        <v>30701625</v>
      </c>
      <c r="AN106" s="2597"/>
    </row>
    <row r="107" spans="1:52" s="244" customFormat="1" ht="24.9" customHeight="1">
      <c r="A107" s="913">
        <v>16</v>
      </c>
      <c r="B107" s="2051" t="s">
        <v>2207</v>
      </c>
      <c r="C107" s="616" t="s">
        <v>1982</v>
      </c>
      <c r="D107" s="1904" t="s">
        <v>32</v>
      </c>
      <c r="E107" s="1922">
        <v>1425</v>
      </c>
      <c r="F107" s="2595"/>
      <c r="G107" s="609"/>
      <c r="H107" s="609">
        <v>1100</v>
      </c>
      <c r="I107" s="609">
        <v>1000</v>
      </c>
      <c r="J107" s="609"/>
      <c r="K107" s="609"/>
      <c r="L107" s="609">
        <v>1000</v>
      </c>
      <c r="M107" s="609">
        <v>1000</v>
      </c>
      <c r="N107" s="609"/>
      <c r="O107" s="609">
        <v>1000</v>
      </c>
      <c r="P107" s="609">
        <v>1000</v>
      </c>
      <c r="Q107" s="609"/>
      <c r="R107" s="609"/>
      <c r="S107" s="609">
        <v>1180</v>
      </c>
      <c r="T107" s="609">
        <v>1000</v>
      </c>
      <c r="U107" s="609">
        <v>1040</v>
      </c>
      <c r="V107" s="609">
        <v>1060</v>
      </c>
      <c r="W107" s="609">
        <v>1060</v>
      </c>
      <c r="X107" s="609"/>
      <c r="Y107" s="609"/>
      <c r="Z107" s="609"/>
      <c r="AA107" s="609">
        <v>1000</v>
      </c>
      <c r="AB107" s="609"/>
      <c r="AC107" s="609">
        <v>1060</v>
      </c>
      <c r="AD107" s="609">
        <v>1000</v>
      </c>
      <c r="AE107" s="609">
        <v>1100</v>
      </c>
      <c r="AF107" s="609"/>
      <c r="AG107" s="609">
        <v>1000</v>
      </c>
      <c r="AH107" s="609">
        <v>1000</v>
      </c>
      <c r="AI107" s="609"/>
      <c r="AJ107" s="620">
        <v>2040</v>
      </c>
      <c r="AK107" s="1955">
        <v>1618</v>
      </c>
      <c r="AL107" s="1982">
        <f t="shared" si="7"/>
        <v>21258</v>
      </c>
      <c r="AM107" s="1963">
        <f t="shared" si="5"/>
        <v>30292650</v>
      </c>
      <c r="AN107" s="2597"/>
    </row>
    <row r="108" spans="1:52" s="244" customFormat="1" ht="24.9" customHeight="1">
      <c r="A108" s="913">
        <v>17</v>
      </c>
      <c r="B108" s="2051" t="s">
        <v>2208</v>
      </c>
      <c r="C108" s="616" t="s">
        <v>1983</v>
      </c>
      <c r="D108" s="1904" t="s">
        <v>32</v>
      </c>
      <c r="E108" s="1921">
        <v>1908</v>
      </c>
      <c r="F108" s="2595"/>
      <c r="G108" s="609"/>
      <c r="H108" s="609"/>
      <c r="I108" s="609"/>
      <c r="J108" s="609"/>
      <c r="K108" s="609"/>
      <c r="L108" s="609"/>
      <c r="M108" s="609"/>
      <c r="N108" s="609"/>
      <c r="O108" s="609"/>
      <c r="P108" s="609"/>
      <c r="Q108" s="609"/>
      <c r="R108" s="609"/>
      <c r="S108" s="609">
        <v>1120</v>
      </c>
      <c r="T108" s="609"/>
      <c r="U108" s="609"/>
      <c r="V108" s="609"/>
      <c r="W108" s="609"/>
      <c r="X108" s="609"/>
      <c r="Y108" s="609"/>
      <c r="Z108" s="609"/>
      <c r="AA108" s="609"/>
      <c r="AB108" s="609"/>
      <c r="AC108" s="609"/>
      <c r="AD108" s="609"/>
      <c r="AE108" s="609"/>
      <c r="AF108" s="609"/>
      <c r="AG108" s="1523"/>
      <c r="AH108" s="609"/>
      <c r="AI108" s="609">
        <v>1120</v>
      </c>
      <c r="AJ108" s="620"/>
      <c r="AK108" s="1955"/>
      <c r="AL108" s="1982">
        <f t="shared" si="7"/>
        <v>2240</v>
      </c>
      <c r="AM108" s="1963">
        <f t="shared" si="5"/>
        <v>4273920</v>
      </c>
      <c r="AN108" s="2597"/>
    </row>
    <row r="109" spans="1:52" s="244" customFormat="1" ht="24.9" customHeight="1" thickBot="1">
      <c r="A109" s="913">
        <v>18</v>
      </c>
      <c r="B109" s="2053" t="s">
        <v>2209</v>
      </c>
      <c r="C109" s="1503" t="s">
        <v>1984</v>
      </c>
      <c r="D109" s="1902" t="s">
        <v>32</v>
      </c>
      <c r="E109" s="1924">
        <v>1908</v>
      </c>
      <c r="F109" s="2595"/>
      <c r="G109" s="610"/>
      <c r="H109" s="610"/>
      <c r="I109" s="610"/>
      <c r="J109" s="610"/>
      <c r="K109" s="610"/>
      <c r="L109" s="610"/>
      <c r="M109" s="610"/>
      <c r="N109" s="610"/>
      <c r="O109" s="610"/>
      <c r="P109" s="610"/>
      <c r="Q109" s="610"/>
      <c r="R109" s="610"/>
      <c r="S109" s="610">
        <v>1180</v>
      </c>
      <c r="T109" s="610"/>
      <c r="U109" s="610"/>
      <c r="V109" s="610"/>
      <c r="W109" s="610"/>
      <c r="X109" s="610"/>
      <c r="Y109" s="610"/>
      <c r="Z109" s="610"/>
      <c r="AA109" s="610"/>
      <c r="AB109" s="610"/>
      <c r="AC109" s="610"/>
      <c r="AD109" s="610"/>
      <c r="AE109" s="610"/>
      <c r="AF109" s="610"/>
      <c r="AG109" s="1502"/>
      <c r="AH109" s="610"/>
      <c r="AI109" s="610">
        <v>1180</v>
      </c>
      <c r="AJ109" s="1244"/>
      <c r="AK109" s="2190"/>
      <c r="AL109" s="1983">
        <f t="shared" si="7"/>
        <v>2360</v>
      </c>
      <c r="AM109" s="1969">
        <f t="shared" si="5"/>
        <v>4502880</v>
      </c>
      <c r="AN109" s="2597"/>
    </row>
    <row r="110" spans="1:52" s="244" customFormat="1" ht="24.9" customHeight="1">
      <c r="A110" s="913">
        <v>19</v>
      </c>
      <c r="B110" s="2052" t="s">
        <v>2210</v>
      </c>
      <c r="C110" s="787" t="s">
        <v>2241</v>
      </c>
      <c r="D110" s="1900" t="s">
        <v>32</v>
      </c>
      <c r="E110" s="1920">
        <v>1719</v>
      </c>
      <c r="F110" s="2595"/>
      <c r="G110" s="618"/>
      <c r="H110" s="618"/>
      <c r="I110" s="618"/>
      <c r="J110" s="618"/>
      <c r="K110" s="618"/>
      <c r="L110" s="618"/>
      <c r="M110" s="618"/>
      <c r="N110" s="618"/>
      <c r="O110" s="618"/>
      <c r="P110" s="618"/>
      <c r="Q110" s="618"/>
      <c r="R110" s="618"/>
      <c r="S110" s="618">
        <v>1080</v>
      </c>
      <c r="T110" s="618"/>
      <c r="U110" s="618"/>
      <c r="V110" s="618"/>
      <c r="W110" s="618"/>
      <c r="X110" s="618"/>
      <c r="Y110" s="618"/>
      <c r="Z110" s="618"/>
      <c r="AA110" s="618"/>
      <c r="AB110" s="618"/>
      <c r="AC110" s="618">
        <v>1160</v>
      </c>
      <c r="AD110" s="618"/>
      <c r="AE110" s="618"/>
      <c r="AF110" s="618"/>
      <c r="AG110" s="618"/>
      <c r="AH110" s="618"/>
      <c r="AI110" s="618"/>
      <c r="AJ110" s="619">
        <v>1140</v>
      </c>
      <c r="AK110" s="2189">
        <v>60</v>
      </c>
      <c r="AL110" s="1981">
        <f t="shared" si="7"/>
        <v>3440</v>
      </c>
      <c r="AM110" s="2194">
        <f t="shared" si="5"/>
        <v>5913360</v>
      </c>
      <c r="AN110" s="2597"/>
      <c r="AO110"/>
      <c r="AP110"/>
      <c r="AQ110"/>
      <c r="AR110"/>
      <c r="AS110"/>
      <c r="AT110"/>
      <c r="AU110"/>
      <c r="AV110"/>
      <c r="AW110"/>
      <c r="AX110"/>
      <c r="AY110"/>
      <c r="AZ110"/>
    </row>
    <row r="111" spans="1:52" s="244" customFormat="1" ht="24.9" customHeight="1">
      <c r="A111" s="913">
        <v>20</v>
      </c>
      <c r="B111" s="2051" t="s">
        <v>2211</v>
      </c>
      <c r="C111" s="616" t="s">
        <v>2242</v>
      </c>
      <c r="D111" s="1904" t="s">
        <v>32</v>
      </c>
      <c r="E111" s="1921">
        <v>1719</v>
      </c>
      <c r="F111" s="2595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>
        <v>1120</v>
      </c>
      <c r="Q111" s="609"/>
      <c r="R111" s="609"/>
      <c r="S111" s="609"/>
      <c r="T111" s="609"/>
      <c r="U111" s="609"/>
      <c r="V111" s="609"/>
      <c r="W111" s="609"/>
      <c r="X111" s="609"/>
      <c r="Y111" s="609"/>
      <c r="Z111" s="609"/>
      <c r="AA111" s="609"/>
      <c r="AB111" s="609">
        <v>1180</v>
      </c>
      <c r="AC111" s="609"/>
      <c r="AD111" s="609"/>
      <c r="AE111" s="609"/>
      <c r="AF111" s="609"/>
      <c r="AG111" s="609"/>
      <c r="AH111" s="609"/>
      <c r="AI111" s="609"/>
      <c r="AJ111" s="609">
        <v>1180</v>
      </c>
      <c r="AK111" s="1955">
        <v>60</v>
      </c>
      <c r="AL111" s="1982">
        <f t="shared" si="7"/>
        <v>3540</v>
      </c>
      <c r="AM111" s="2195">
        <f t="shared" si="5"/>
        <v>6085260</v>
      </c>
      <c r="AN111" s="2597"/>
      <c r="AO111"/>
      <c r="AP111"/>
      <c r="AQ111"/>
      <c r="AR111"/>
      <c r="AS111"/>
      <c r="AT111"/>
      <c r="AU111"/>
      <c r="AV111"/>
      <c r="AW111"/>
      <c r="AX111"/>
      <c r="AY111"/>
      <c r="AZ111"/>
    </row>
    <row r="112" spans="1:52" s="244" customFormat="1" ht="24.9" customHeight="1">
      <c r="A112" s="913">
        <v>21</v>
      </c>
      <c r="B112" s="2051" t="s">
        <v>2212</v>
      </c>
      <c r="C112" s="616" t="s">
        <v>2243</v>
      </c>
      <c r="D112" s="1904" t="s">
        <v>32</v>
      </c>
      <c r="E112" s="1921">
        <v>1988</v>
      </c>
      <c r="F112" s="2595"/>
      <c r="G112" s="609"/>
      <c r="H112" s="609">
        <v>1060</v>
      </c>
      <c r="I112" s="609"/>
      <c r="J112" s="609"/>
      <c r="K112" s="609"/>
      <c r="L112" s="609"/>
      <c r="M112" s="609"/>
      <c r="N112" s="609"/>
      <c r="O112" s="609"/>
      <c r="P112" s="609"/>
      <c r="Q112" s="609"/>
      <c r="R112" s="609"/>
      <c r="S112" s="609"/>
      <c r="T112" s="609"/>
      <c r="U112" s="609"/>
      <c r="V112" s="609"/>
      <c r="W112" s="609"/>
      <c r="X112" s="609"/>
      <c r="Y112" s="609"/>
      <c r="Z112" s="609"/>
      <c r="AA112" s="609"/>
      <c r="AB112" s="609"/>
      <c r="AC112" s="609"/>
      <c r="AD112" s="609">
        <v>860</v>
      </c>
      <c r="AE112" s="609"/>
      <c r="AF112" s="609"/>
      <c r="AG112" s="609"/>
      <c r="AH112" s="609"/>
      <c r="AI112" s="609">
        <v>900</v>
      </c>
      <c r="AJ112" s="609"/>
      <c r="AK112" s="1955">
        <v>60</v>
      </c>
      <c r="AL112" s="1982">
        <f t="shared" si="7"/>
        <v>2880</v>
      </c>
      <c r="AM112" s="2195">
        <f t="shared" si="5"/>
        <v>5725440</v>
      </c>
      <c r="AN112" s="2597"/>
      <c r="AO112"/>
      <c r="AP112"/>
      <c r="AQ112"/>
      <c r="AR112"/>
      <c r="AS112"/>
      <c r="AT112"/>
      <c r="AU112"/>
      <c r="AV112"/>
      <c r="AW112"/>
      <c r="AX112"/>
      <c r="AY112"/>
      <c r="AZ112"/>
    </row>
    <row r="113" spans="1:52" s="244" customFormat="1" ht="24.9" customHeight="1">
      <c r="A113" s="913">
        <v>22</v>
      </c>
      <c r="B113" s="2053" t="s">
        <v>2213</v>
      </c>
      <c r="C113" s="1503" t="s">
        <v>2244</v>
      </c>
      <c r="D113" s="1902" t="s">
        <v>32</v>
      </c>
      <c r="E113" s="1924">
        <v>1988</v>
      </c>
      <c r="F113" s="2595"/>
      <c r="G113" s="610"/>
      <c r="H113" s="610"/>
      <c r="I113" s="610"/>
      <c r="J113" s="610"/>
      <c r="K113" s="610"/>
      <c r="L113" s="610"/>
      <c r="M113" s="610"/>
      <c r="N113" s="610"/>
      <c r="O113" s="610">
        <v>900</v>
      </c>
      <c r="P113" s="610"/>
      <c r="Q113" s="610"/>
      <c r="R113" s="610"/>
      <c r="S113" s="610"/>
      <c r="T113" s="610"/>
      <c r="U113" s="610"/>
      <c r="V113" s="610"/>
      <c r="W113" s="610"/>
      <c r="X113" s="610"/>
      <c r="Y113" s="610"/>
      <c r="Z113" s="610"/>
      <c r="AA113" s="610">
        <v>900</v>
      </c>
      <c r="AB113" s="610"/>
      <c r="AC113" s="610"/>
      <c r="AD113" s="610"/>
      <c r="AE113" s="610">
        <v>900</v>
      </c>
      <c r="AF113" s="610"/>
      <c r="AG113" s="610"/>
      <c r="AH113" s="610">
        <v>840</v>
      </c>
      <c r="AI113" s="610"/>
      <c r="AJ113" s="610"/>
      <c r="AK113" s="2190">
        <v>60</v>
      </c>
      <c r="AL113" s="1983">
        <f t="shared" si="7"/>
        <v>3600</v>
      </c>
      <c r="AM113" s="2196">
        <f t="shared" si="5"/>
        <v>7156800</v>
      </c>
      <c r="AN113" s="2597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 spans="1:52" ht="24.9" customHeight="1" thickBot="1">
      <c r="A114" s="1254">
        <v>23</v>
      </c>
      <c r="B114" s="2198" t="s">
        <v>2267</v>
      </c>
      <c r="C114" s="2199" t="s">
        <v>2268</v>
      </c>
      <c r="D114" s="2199" t="s">
        <v>32</v>
      </c>
      <c r="E114" s="2200">
        <v>1212</v>
      </c>
      <c r="F114" s="2199" t="s">
        <v>863</v>
      </c>
      <c r="G114" s="2201"/>
      <c r="H114" s="2201"/>
      <c r="I114" s="2201"/>
      <c r="J114" s="2201"/>
      <c r="K114" s="2201"/>
      <c r="L114" s="2201"/>
      <c r="M114" s="2201"/>
      <c r="N114" s="2201"/>
      <c r="O114" s="2201"/>
      <c r="P114" s="2201"/>
      <c r="Q114" s="2201"/>
      <c r="R114" s="2201"/>
      <c r="S114" s="2201"/>
      <c r="T114" s="2201"/>
      <c r="U114" s="2201"/>
      <c r="V114" s="2201"/>
      <c r="W114" s="2201"/>
      <c r="X114" s="2201"/>
      <c r="Y114" s="2201"/>
      <c r="Z114" s="2202"/>
      <c r="AA114" s="2202"/>
      <c r="AB114" s="2202"/>
      <c r="AC114" s="2202"/>
      <c r="AD114" s="2202"/>
      <c r="AE114" s="2202"/>
      <c r="AF114" s="2202"/>
      <c r="AG114" s="2202"/>
      <c r="AH114" s="2202"/>
      <c r="AI114" s="2202"/>
      <c r="AJ114" s="2204">
        <v>1675</v>
      </c>
      <c r="AK114" s="2203"/>
      <c r="AL114" s="2193">
        <f t="shared" si="7"/>
        <v>1675</v>
      </c>
      <c r="AM114" s="2197">
        <f>AL114*E114</f>
        <v>2030100</v>
      </c>
      <c r="AN114" s="2597"/>
    </row>
    <row r="115" spans="1:52">
      <c r="AK115" s="494" t="s">
        <v>2270</v>
      </c>
    </row>
  </sheetData>
  <autoFilter ref="A2:AL113" xr:uid="{00000000-0009-0000-0000-000008000000}"/>
  <customSheetViews>
    <customSheetView guid="{4B6F0EB4-660D-4B5D-BC48-6CB7C10D7F9B}" showGridLines="0" topLeftCell="B1">
      <pane xSplit="4" ySplit="2" topLeftCell="F3" activePane="bottomRight" state="frozen"/>
      <selection pane="bottomRight" activeCell="G12" sqref="G12"/>
      <pageMargins left="0.27" right="0.16" top="0.37" bottom="0.33" header="0.3" footer="0.23"/>
      <pageSetup paperSize="9" scale="75" orientation="landscape" r:id="rId1"/>
      <headerFooter alignWithMargins="0"/>
    </customSheetView>
    <customSheetView guid="{2118503C-FA17-40AD-A92D-3BEB91EE1F01}" showGridLines="0" topLeftCell="B1">
      <pane xSplit="4" ySplit="2" topLeftCell="F24" activePane="bottomRight" state="frozen"/>
      <selection pane="bottomRight" activeCell="R35" sqref="R35"/>
      <pageMargins left="0.27" right="0.16" top="0.37" bottom="0.33" header="0.3" footer="0.23"/>
      <pageSetup paperSize="9" scale="75" orientation="landscape" r:id="rId2"/>
      <headerFooter alignWithMargins="0"/>
    </customSheetView>
    <customSheetView guid="{844B66BD-C499-418A-A656-40E7940347EA}" showGridLines="0" topLeftCell="B1">
      <pane xSplit="4" ySplit="2" topLeftCell="F42" activePane="bottomRight" state="frozen"/>
      <selection pane="bottomRight" activeCell="U52" sqref="U52"/>
      <pageMargins left="0.27" right="0.16" top="0.37" bottom="0.33" header="0.3" footer="0.23"/>
      <pageSetup paperSize="9" scale="75" orientation="landscape" r:id="rId3"/>
      <headerFooter alignWithMargins="0"/>
    </customSheetView>
    <customSheetView guid="{7523CC8F-897F-48BF-94A5-CFFF399736A5}" showGridLines="0" topLeftCell="B1">
      <pane xSplit="4" ySplit="2" topLeftCell="F27" activePane="bottomRight" state="frozen"/>
      <selection pane="bottomRight" activeCell="U33" sqref="U33"/>
      <pageMargins left="0.27" right="0.16" top="0.37" bottom="0.33" header="0.3" footer="0.23"/>
      <pageSetup paperSize="9" scale="75" orientation="landscape" r:id="rId4"/>
      <headerFooter alignWithMargins="0"/>
    </customSheetView>
    <customSheetView guid="{89B07EC3-7982-4908-AB99-54EB5928E5C4}" showGridLines="0" topLeftCell="B1">
      <pane xSplit="4" ySplit="2" topLeftCell="F40" activePane="bottomRight" state="frozen"/>
      <selection pane="bottomRight" activeCell="N56" sqref="N56"/>
      <pageMargins left="0.27" right="0.16" top="0.37" bottom="0.33" header="0.3" footer="0.23"/>
      <pageSetup paperSize="9" scale="75" orientation="landscape" r:id="rId5"/>
      <headerFooter alignWithMargins="0"/>
    </customSheetView>
  </customSheetViews>
  <mergeCells count="17">
    <mergeCell ref="A3:A14"/>
    <mergeCell ref="F3:F8"/>
    <mergeCell ref="F9:F13"/>
    <mergeCell ref="F14:F15"/>
    <mergeCell ref="F17:F29"/>
    <mergeCell ref="B70:B71"/>
    <mergeCell ref="B77:B78"/>
    <mergeCell ref="F106:F113"/>
    <mergeCell ref="AN92:AN114"/>
    <mergeCell ref="B1:F1"/>
    <mergeCell ref="B49:B50"/>
    <mergeCell ref="F49:F50"/>
    <mergeCell ref="F51:F63"/>
    <mergeCell ref="F46:F48"/>
    <mergeCell ref="AN84:AN91"/>
    <mergeCell ref="F30:F45"/>
    <mergeCell ref="F84:F91"/>
  </mergeCells>
  <phoneticPr fontId="7" type="noConversion"/>
  <pageMargins left="0.27" right="0.16" top="0.37" bottom="0.33" header="0.3" footer="0.23"/>
  <pageSetup paperSize="9" scale="75" orientation="landscape" r:id="rId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1:AT249"/>
  <sheetViews>
    <sheetView topLeftCell="B1" workbookViewId="0">
      <pane xSplit="5" ySplit="2" topLeftCell="AA114" activePane="bottomRight" state="frozen"/>
      <selection activeCell="B1" sqref="B1"/>
      <selection pane="topRight" activeCell="G1" sqref="G1"/>
      <selection pane="bottomLeft" activeCell="B3" sqref="B3"/>
      <selection pane="bottomRight" activeCell="AG129" sqref="AG129"/>
    </sheetView>
  </sheetViews>
  <sheetFormatPr defaultColWidth="9" defaultRowHeight="14.4"/>
  <cols>
    <col min="1" max="1" width="4.8984375" style="235" customWidth="1"/>
    <col min="2" max="2" width="8.59765625" style="285" customWidth="1"/>
    <col min="3" max="3" width="12" style="235" customWidth="1"/>
    <col min="4" max="4" width="36" style="235" customWidth="1"/>
    <col min="5" max="5" width="6.3984375" style="235" customWidth="1"/>
    <col min="6" max="6" width="13" style="1222" customWidth="1"/>
    <col min="7" max="7" width="11.19921875" style="701" customWidth="1"/>
    <col min="8" max="8" width="12.3984375" style="701" bestFit="1" customWidth="1"/>
    <col min="9" max="33" width="8.8984375" style="701" customWidth="1"/>
    <col min="34" max="34" width="10.09765625" style="701" customWidth="1"/>
    <col min="35" max="37" width="8.8984375" style="701" customWidth="1"/>
    <col min="38" max="38" width="11.69921875" style="1203" customWidth="1"/>
    <col min="39" max="39" width="12.3984375" style="235" customWidth="1"/>
    <col min="40" max="40" width="11.09765625" style="235" customWidth="1"/>
    <col min="41" max="41" width="8.5" style="235" customWidth="1"/>
    <col min="42" max="42" width="12.69921875" style="235" customWidth="1"/>
    <col min="43" max="43" width="13.09765625" style="235" customWidth="1"/>
    <col min="44" max="44" width="14.8984375" style="235" customWidth="1"/>
    <col min="45" max="45" width="15.3984375" style="235" customWidth="1"/>
    <col min="46" max="16384" width="9" style="235"/>
  </cols>
  <sheetData>
    <row r="1" spans="2:42" ht="42" customHeight="1" thickBot="1">
      <c r="B1" s="2623" t="s">
        <v>2176</v>
      </c>
      <c r="C1" s="2623"/>
      <c r="D1" s="2623"/>
      <c r="E1" s="2623"/>
      <c r="F1" s="2623"/>
      <c r="G1" s="2623"/>
      <c r="H1" s="2623"/>
      <c r="I1" s="2623"/>
      <c r="J1" s="2623"/>
    </row>
    <row r="2" spans="2:42" s="238" customFormat="1" ht="12.6" thickBot="1">
      <c r="B2" s="236" t="s">
        <v>31</v>
      </c>
      <c r="C2" s="237" t="s">
        <v>23</v>
      </c>
      <c r="D2" s="281" t="s">
        <v>24</v>
      </c>
      <c r="E2" s="237" t="s">
        <v>25</v>
      </c>
      <c r="F2" s="700" t="s">
        <v>26</v>
      </c>
      <c r="G2" s="764">
        <v>1</v>
      </c>
      <c r="H2" s="700">
        <v>2</v>
      </c>
      <c r="I2" s="700">
        <v>3</v>
      </c>
      <c r="J2" s="700">
        <v>4</v>
      </c>
      <c r="K2" s="700">
        <v>5</v>
      </c>
      <c r="L2" s="700">
        <v>6</v>
      </c>
      <c r="M2" s="700">
        <v>7</v>
      </c>
      <c r="N2" s="700">
        <v>8</v>
      </c>
      <c r="O2" s="700">
        <v>9</v>
      </c>
      <c r="P2" s="700">
        <v>10</v>
      </c>
      <c r="Q2" s="700">
        <v>11</v>
      </c>
      <c r="R2" s="700">
        <v>12</v>
      </c>
      <c r="S2" s="700">
        <v>13</v>
      </c>
      <c r="T2" s="700">
        <v>14</v>
      </c>
      <c r="U2" s="700">
        <v>15</v>
      </c>
      <c r="V2" s="700">
        <v>16</v>
      </c>
      <c r="W2" s="700">
        <v>17</v>
      </c>
      <c r="X2" s="700">
        <v>18</v>
      </c>
      <c r="Y2" s="700">
        <v>19</v>
      </c>
      <c r="Z2" s="700">
        <v>20</v>
      </c>
      <c r="AA2" s="700">
        <v>21</v>
      </c>
      <c r="AB2" s="700">
        <v>22</v>
      </c>
      <c r="AC2" s="700">
        <v>23</v>
      </c>
      <c r="AD2" s="700">
        <v>24</v>
      </c>
      <c r="AE2" s="700">
        <v>25</v>
      </c>
      <c r="AF2" s="700">
        <v>26</v>
      </c>
      <c r="AG2" s="700">
        <v>27</v>
      </c>
      <c r="AH2" s="700">
        <v>28</v>
      </c>
      <c r="AI2" s="700">
        <v>29</v>
      </c>
      <c r="AJ2" s="700">
        <v>30</v>
      </c>
      <c r="AK2" s="766">
        <v>31</v>
      </c>
      <c r="AL2" s="1204" t="s">
        <v>7</v>
      </c>
    </row>
    <row r="3" spans="2:42" ht="24.9" customHeight="1">
      <c r="B3" s="2624" t="s">
        <v>424</v>
      </c>
      <c r="C3" s="239">
        <v>31000462</v>
      </c>
      <c r="D3" s="240" t="s">
        <v>48</v>
      </c>
      <c r="E3" s="239" t="s">
        <v>47</v>
      </c>
      <c r="F3" s="1207" t="s">
        <v>425</v>
      </c>
      <c r="G3" s="649"/>
      <c r="H3" s="650"/>
      <c r="I3" s="650"/>
      <c r="J3" s="650"/>
      <c r="K3" s="650"/>
      <c r="L3" s="650"/>
      <c r="M3" s="650"/>
      <c r="N3" s="650"/>
      <c r="O3" s="650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0"/>
      <c r="AJ3" s="650"/>
      <c r="AK3" s="1422"/>
      <c r="AL3" s="1296">
        <f>SUM(G3:AK3)</f>
        <v>0</v>
      </c>
      <c r="AM3"/>
      <c r="AN3"/>
      <c r="AO3"/>
    </row>
    <row r="4" spans="2:42" ht="24.9" customHeight="1" thickBot="1">
      <c r="B4" s="2625"/>
      <c r="C4" s="246">
        <v>30110463</v>
      </c>
      <c r="D4" s="247" t="s">
        <v>49</v>
      </c>
      <c r="E4" s="246" t="s">
        <v>47</v>
      </c>
      <c r="F4" s="1208" t="s">
        <v>425</v>
      </c>
      <c r="G4" s="651"/>
      <c r="H4" s="652"/>
      <c r="I4" s="652"/>
      <c r="J4" s="652"/>
      <c r="K4" s="652"/>
      <c r="L4" s="652"/>
      <c r="M4" s="652"/>
      <c r="N4" s="652"/>
      <c r="O4" s="652"/>
      <c r="P4" s="652"/>
      <c r="Q4" s="652"/>
      <c r="R4" s="652"/>
      <c r="S4" s="652"/>
      <c r="T4" s="652"/>
      <c r="U4" s="652"/>
      <c r="V4" s="652"/>
      <c r="W4" s="652"/>
      <c r="X4" s="652"/>
      <c r="Y4" s="652"/>
      <c r="Z4" s="652"/>
      <c r="AA4" s="652"/>
      <c r="AB4" s="652"/>
      <c r="AC4" s="652"/>
      <c r="AD4" s="652"/>
      <c r="AE4" s="652"/>
      <c r="AF4" s="652"/>
      <c r="AG4" s="652"/>
      <c r="AH4" s="652"/>
      <c r="AI4" s="652"/>
      <c r="AJ4" s="652"/>
      <c r="AK4" s="1423"/>
      <c r="AL4" s="1297">
        <f t="shared" ref="AL4:AL64" si="0">SUM(G4:AK4)</f>
        <v>0</v>
      </c>
      <c r="AM4"/>
      <c r="AN4"/>
      <c r="AO4"/>
    </row>
    <row r="5" spans="2:42" ht="24.9" customHeight="1">
      <c r="B5" s="2639" t="s">
        <v>1926</v>
      </c>
      <c r="C5" s="533">
        <v>31010181</v>
      </c>
      <c r="D5" s="255" t="s">
        <v>317</v>
      </c>
      <c r="E5" s="290" t="s">
        <v>32</v>
      </c>
      <c r="F5" s="1209" t="s">
        <v>425</v>
      </c>
      <c r="G5" s="1424"/>
      <c r="H5" s="648">
        <v>3000</v>
      </c>
      <c r="I5" s="647"/>
      <c r="J5" s="647"/>
      <c r="K5" s="648"/>
      <c r="L5" s="648"/>
      <c r="M5" s="648"/>
      <c r="N5" s="648"/>
      <c r="O5" s="648">
        <v>3000</v>
      </c>
      <c r="P5" s="647"/>
      <c r="Q5" s="648"/>
      <c r="R5" s="648"/>
      <c r="S5" s="648"/>
      <c r="T5" s="648"/>
      <c r="U5" s="647"/>
      <c r="V5" s="647" t="s">
        <v>1044</v>
      </c>
      <c r="W5" s="648"/>
      <c r="X5" s="648"/>
      <c r="Y5" s="647"/>
      <c r="Z5" s="648"/>
      <c r="AA5" s="648"/>
      <c r="AB5" s="647"/>
      <c r="AC5" s="648" t="s">
        <v>1044</v>
      </c>
      <c r="AD5" s="648"/>
      <c r="AE5" s="647"/>
      <c r="AF5" s="648"/>
      <c r="AG5" s="648"/>
      <c r="AH5" s="647"/>
      <c r="AI5" s="648"/>
      <c r="AJ5" s="648">
        <v>5000</v>
      </c>
      <c r="AK5" s="654"/>
      <c r="AL5" s="1298">
        <f t="shared" si="0"/>
        <v>11000</v>
      </c>
      <c r="AM5" s="1328"/>
      <c r="AN5" s="1329"/>
      <c r="AO5" s="1329"/>
    </row>
    <row r="6" spans="2:42" ht="24.9" customHeight="1">
      <c r="B6" s="2640"/>
      <c r="C6" s="264">
        <v>31010182</v>
      </c>
      <c r="D6" s="242" t="s">
        <v>318</v>
      </c>
      <c r="E6" s="243" t="s">
        <v>32</v>
      </c>
      <c r="F6" s="1210" t="s">
        <v>425</v>
      </c>
      <c r="G6" s="640"/>
      <c r="H6" s="648">
        <v>3000</v>
      </c>
      <c r="I6" s="612"/>
      <c r="J6" s="647"/>
      <c r="K6" s="648"/>
      <c r="L6" s="612"/>
      <c r="M6" s="648"/>
      <c r="N6" s="648"/>
      <c r="O6" s="648">
        <v>3000</v>
      </c>
      <c r="P6" s="612"/>
      <c r="Q6" s="648"/>
      <c r="R6" s="648"/>
      <c r="S6" s="648"/>
      <c r="T6" s="648"/>
      <c r="U6" s="647"/>
      <c r="V6" s="647" t="s">
        <v>1044</v>
      </c>
      <c r="W6" s="612"/>
      <c r="X6" s="612"/>
      <c r="Y6" s="647"/>
      <c r="Z6" s="648"/>
      <c r="AA6" s="648"/>
      <c r="AB6" s="612"/>
      <c r="AC6" s="648" t="s">
        <v>1044</v>
      </c>
      <c r="AD6" s="612"/>
      <c r="AE6" s="647"/>
      <c r="AF6" s="648"/>
      <c r="AG6" s="648"/>
      <c r="AH6" s="612"/>
      <c r="AI6" s="648"/>
      <c r="AJ6" s="648">
        <v>5000</v>
      </c>
      <c r="AK6" s="643"/>
      <c r="AL6" s="1299">
        <f t="shared" si="0"/>
        <v>11000</v>
      </c>
      <c r="AM6" s="1330"/>
      <c r="AN6" s="1329"/>
      <c r="AO6" s="1329"/>
    </row>
    <row r="7" spans="2:42" ht="24.9" customHeight="1">
      <c r="B7" s="2640"/>
      <c r="C7" s="264">
        <v>31010183</v>
      </c>
      <c r="D7" s="242" t="s">
        <v>33</v>
      </c>
      <c r="E7" s="243" t="s">
        <v>32</v>
      </c>
      <c r="F7" s="1210" t="s">
        <v>425</v>
      </c>
      <c r="G7" s="640"/>
      <c r="H7" s="648">
        <v>20000</v>
      </c>
      <c r="I7" s="612"/>
      <c r="J7" s="647"/>
      <c r="K7" s="648"/>
      <c r="L7" s="612"/>
      <c r="M7" s="648"/>
      <c r="N7" s="648"/>
      <c r="O7" s="648">
        <v>30000</v>
      </c>
      <c r="P7" s="612"/>
      <c r="Q7" s="648"/>
      <c r="R7" s="648"/>
      <c r="S7" s="648"/>
      <c r="T7" s="648"/>
      <c r="U7" s="647"/>
      <c r="V7" s="647" t="s">
        <v>1044</v>
      </c>
      <c r="W7" s="612"/>
      <c r="X7" s="612"/>
      <c r="Y7" s="647"/>
      <c r="Z7" s="648"/>
      <c r="AA7" s="648"/>
      <c r="AB7" s="612"/>
      <c r="AC7" s="648" t="s">
        <v>1044</v>
      </c>
      <c r="AD7" s="612"/>
      <c r="AE7" s="647"/>
      <c r="AF7" s="648"/>
      <c r="AG7" s="648"/>
      <c r="AH7" s="612"/>
      <c r="AI7" s="648"/>
      <c r="AJ7" s="648">
        <v>40000</v>
      </c>
      <c r="AK7" s="643"/>
      <c r="AL7" s="1299">
        <f t="shared" si="0"/>
        <v>90000</v>
      </c>
      <c r="AM7" s="1331"/>
      <c r="AN7" s="1329"/>
      <c r="AO7" s="1329"/>
    </row>
    <row r="8" spans="2:42" ht="24.9" customHeight="1">
      <c r="B8" s="2640"/>
      <c r="C8" s="264">
        <v>31010184</v>
      </c>
      <c r="D8" s="242" t="s">
        <v>34</v>
      </c>
      <c r="E8" s="243" t="s">
        <v>32</v>
      </c>
      <c r="F8" s="1210" t="s">
        <v>425</v>
      </c>
      <c r="G8" s="640"/>
      <c r="H8" s="648">
        <v>20000</v>
      </c>
      <c r="I8" s="612"/>
      <c r="J8" s="647"/>
      <c r="K8" s="648"/>
      <c r="L8" s="612"/>
      <c r="M8" s="648"/>
      <c r="N8" s="648"/>
      <c r="O8" s="648">
        <v>30000</v>
      </c>
      <c r="P8" s="612"/>
      <c r="Q8" s="648"/>
      <c r="R8" s="648"/>
      <c r="S8" s="648"/>
      <c r="T8" s="648"/>
      <c r="U8" s="647"/>
      <c r="V8" s="647" t="s">
        <v>1044</v>
      </c>
      <c r="W8" s="612"/>
      <c r="X8" s="612"/>
      <c r="Y8" s="647"/>
      <c r="Z8" s="648"/>
      <c r="AA8" s="648"/>
      <c r="AB8" s="612"/>
      <c r="AC8" s="648" t="s">
        <v>1044</v>
      </c>
      <c r="AD8" s="612"/>
      <c r="AE8" s="647"/>
      <c r="AF8" s="648"/>
      <c r="AG8" s="648"/>
      <c r="AH8" s="612"/>
      <c r="AI8" s="648"/>
      <c r="AJ8" s="648">
        <v>40000</v>
      </c>
      <c r="AK8" s="643"/>
      <c r="AL8" s="1299">
        <f t="shared" si="0"/>
        <v>90000</v>
      </c>
      <c r="AM8" s="1332"/>
      <c r="AN8" s="1329"/>
      <c r="AO8" s="1329"/>
    </row>
    <row r="9" spans="2:42" ht="24.9" customHeight="1">
      <c r="B9" s="2640"/>
      <c r="C9" s="264">
        <v>31010185</v>
      </c>
      <c r="D9" s="242" t="s">
        <v>319</v>
      </c>
      <c r="E9" s="243" t="s">
        <v>47</v>
      </c>
      <c r="F9" s="1210" t="s">
        <v>425</v>
      </c>
      <c r="G9" s="640"/>
      <c r="H9" s="648">
        <v>1000</v>
      </c>
      <c r="I9" s="612"/>
      <c r="J9" s="647"/>
      <c r="K9" s="648"/>
      <c r="L9" s="612"/>
      <c r="M9" s="648"/>
      <c r="N9" s="648"/>
      <c r="O9" s="648" t="s">
        <v>1044</v>
      </c>
      <c r="P9" s="612"/>
      <c r="Q9" s="648"/>
      <c r="R9" s="648"/>
      <c r="S9" s="648"/>
      <c r="T9" s="648"/>
      <c r="U9" s="647"/>
      <c r="V9" s="647" t="s">
        <v>1044</v>
      </c>
      <c r="W9" s="612"/>
      <c r="X9" s="612"/>
      <c r="Y9" s="647"/>
      <c r="Z9" s="648"/>
      <c r="AA9" s="648"/>
      <c r="AB9" s="612"/>
      <c r="AC9" s="648" t="s">
        <v>1044</v>
      </c>
      <c r="AD9" s="612"/>
      <c r="AE9" s="647"/>
      <c r="AF9" s="648"/>
      <c r="AG9" s="648"/>
      <c r="AH9" s="612"/>
      <c r="AI9" s="648"/>
      <c r="AJ9" s="648" t="s">
        <v>1044</v>
      </c>
      <c r="AK9" s="643"/>
      <c r="AL9" s="1299">
        <f t="shared" si="0"/>
        <v>1000</v>
      </c>
      <c r="AM9" s="1332"/>
      <c r="AN9" s="1329"/>
      <c r="AO9" s="1329"/>
    </row>
    <row r="10" spans="2:42" ht="24.9" customHeight="1">
      <c r="B10" s="2640"/>
      <c r="C10" s="264">
        <v>31010186</v>
      </c>
      <c r="D10" s="242" t="s">
        <v>320</v>
      </c>
      <c r="E10" s="243" t="s">
        <v>47</v>
      </c>
      <c r="F10" s="1210" t="s">
        <v>425</v>
      </c>
      <c r="G10" s="640"/>
      <c r="H10" s="648">
        <v>1000</v>
      </c>
      <c r="I10" s="612"/>
      <c r="J10" s="647"/>
      <c r="K10" s="648"/>
      <c r="L10" s="612"/>
      <c r="M10" s="648"/>
      <c r="N10" s="648"/>
      <c r="O10" s="648" t="s">
        <v>1044</v>
      </c>
      <c r="P10" s="612"/>
      <c r="Q10" s="648"/>
      <c r="R10" s="648"/>
      <c r="S10" s="648"/>
      <c r="T10" s="648"/>
      <c r="U10" s="647"/>
      <c r="V10" s="647" t="s">
        <v>1044</v>
      </c>
      <c r="W10" s="612"/>
      <c r="X10" s="612"/>
      <c r="Y10" s="647"/>
      <c r="Z10" s="648"/>
      <c r="AA10" s="648"/>
      <c r="AB10" s="612"/>
      <c r="AC10" s="648" t="s">
        <v>1044</v>
      </c>
      <c r="AD10" s="612"/>
      <c r="AE10" s="647"/>
      <c r="AF10" s="648"/>
      <c r="AG10" s="648"/>
      <c r="AH10" s="612"/>
      <c r="AI10" s="648"/>
      <c r="AJ10" s="648" t="s">
        <v>1044</v>
      </c>
      <c r="AK10" s="643"/>
      <c r="AL10" s="1299">
        <f t="shared" si="0"/>
        <v>1000</v>
      </c>
      <c r="AM10" s="1332"/>
      <c r="AN10" s="1329"/>
      <c r="AO10" s="1329"/>
    </row>
    <row r="11" spans="2:42" ht="24.9" customHeight="1">
      <c r="B11" s="2640"/>
      <c r="C11" s="264">
        <v>31010187</v>
      </c>
      <c r="D11" s="242" t="s">
        <v>321</v>
      </c>
      <c r="E11" s="243" t="s">
        <v>47</v>
      </c>
      <c r="F11" s="1210" t="s">
        <v>425</v>
      </c>
      <c r="G11" s="640"/>
      <c r="H11" s="648">
        <v>1000</v>
      </c>
      <c r="I11" s="612"/>
      <c r="J11" s="647"/>
      <c r="K11" s="648"/>
      <c r="L11" s="612"/>
      <c r="M11" s="648"/>
      <c r="N11" s="648"/>
      <c r="O11" s="648" t="s">
        <v>1044</v>
      </c>
      <c r="P11" s="612"/>
      <c r="Q11" s="648"/>
      <c r="R11" s="648"/>
      <c r="S11" s="648"/>
      <c r="T11" s="648"/>
      <c r="U11" s="647"/>
      <c r="V11" s="647" t="s">
        <v>1044</v>
      </c>
      <c r="W11" s="612"/>
      <c r="X11" s="612"/>
      <c r="Y11" s="647"/>
      <c r="Z11" s="648"/>
      <c r="AA11" s="648"/>
      <c r="AB11" s="612"/>
      <c r="AC11" s="648" t="s">
        <v>1044</v>
      </c>
      <c r="AD11" s="612"/>
      <c r="AE11" s="647"/>
      <c r="AF11" s="648"/>
      <c r="AG11" s="648"/>
      <c r="AH11" s="612"/>
      <c r="AI11" s="648"/>
      <c r="AJ11" s="648" t="s">
        <v>1044</v>
      </c>
      <c r="AK11" s="643"/>
      <c r="AL11" s="1299">
        <f t="shared" si="0"/>
        <v>1000</v>
      </c>
      <c r="AM11" s="913"/>
      <c r="AN11" s="1329"/>
      <c r="AO11" s="1329"/>
    </row>
    <row r="12" spans="2:42" ht="24.9" customHeight="1">
      <c r="B12" s="2640"/>
      <c r="C12" s="264">
        <v>31010188</v>
      </c>
      <c r="D12" s="242" t="s">
        <v>322</v>
      </c>
      <c r="E12" s="243" t="s">
        <v>47</v>
      </c>
      <c r="F12" s="1210" t="s">
        <v>425</v>
      </c>
      <c r="G12" s="640"/>
      <c r="H12" s="648">
        <v>1000</v>
      </c>
      <c r="I12" s="612"/>
      <c r="J12" s="647"/>
      <c r="K12" s="648"/>
      <c r="L12" s="612"/>
      <c r="M12" s="648"/>
      <c r="N12" s="648"/>
      <c r="O12" s="648" t="s">
        <v>1044</v>
      </c>
      <c r="P12" s="612"/>
      <c r="Q12" s="648"/>
      <c r="R12" s="648"/>
      <c r="S12" s="648"/>
      <c r="T12" s="648"/>
      <c r="U12" s="647"/>
      <c r="V12" s="647" t="s">
        <v>1044</v>
      </c>
      <c r="W12" s="612"/>
      <c r="X12" s="612"/>
      <c r="Y12" s="647"/>
      <c r="Z12" s="648"/>
      <c r="AA12" s="648"/>
      <c r="AB12" s="612"/>
      <c r="AC12" s="648" t="s">
        <v>1044</v>
      </c>
      <c r="AD12" s="612"/>
      <c r="AE12" s="647"/>
      <c r="AF12" s="648"/>
      <c r="AG12" s="648"/>
      <c r="AH12" s="612"/>
      <c r="AI12" s="648"/>
      <c r="AJ12" s="648" t="s">
        <v>1044</v>
      </c>
      <c r="AK12" s="643"/>
      <c r="AL12" s="1299">
        <f t="shared" si="0"/>
        <v>1000</v>
      </c>
      <c r="AM12" s="1332"/>
      <c r="AN12" s="1329"/>
      <c r="AO12" s="1329"/>
    </row>
    <row r="13" spans="2:42" ht="24.9" customHeight="1">
      <c r="B13" s="2640"/>
      <c r="C13" s="1255">
        <v>31010047</v>
      </c>
      <c r="D13" s="242" t="s">
        <v>339</v>
      </c>
      <c r="E13" s="243" t="s">
        <v>32</v>
      </c>
      <c r="F13" s="1210" t="s">
        <v>46</v>
      </c>
      <c r="G13" s="640"/>
      <c r="H13" s="648">
        <v>150000</v>
      </c>
      <c r="I13" s="612"/>
      <c r="J13" s="647"/>
      <c r="K13" s="648"/>
      <c r="L13" s="612"/>
      <c r="M13" s="648"/>
      <c r="N13" s="648"/>
      <c r="O13" s="648">
        <v>150000</v>
      </c>
      <c r="P13" s="612"/>
      <c r="Q13" s="648"/>
      <c r="R13" s="648"/>
      <c r="S13" s="648"/>
      <c r="T13" s="648"/>
      <c r="U13" s="647"/>
      <c r="V13" s="647">
        <v>150000</v>
      </c>
      <c r="W13" s="612"/>
      <c r="X13" s="612"/>
      <c r="Y13" s="647"/>
      <c r="Z13" s="648"/>
      <c r="AA13" s="648"/>
      <c r="AB13" s="612"/>
      <c r="AC13" s="648">
        <v>200000</v>
      </c>
      <c r="AD13" s="612"/>
      <c r="AE13" s="647"/>
      <c r="AF13" s="648"/>
      <c r="AG13" s="648"/>
      <c r="AH13" s="612"/>
      <c r="AI13" s="648"/>
      <c r="AJ13" s="648">
        <v>300000</v>
      </c>
      <c r="AK13" s="643"/>
      <c r="AL13" s="1299">
        <f t="shared" si="0"/>
        <v>950000</v>
      </c>
      <c r="AM13" s="913"/>
      <c r="AN13" s="1329"/>
      <c r="AO13" s="1329"/>
    </row>
    <row r="14" spans="2:42" ht="24.9" customHeight="1">
      <c r="B14" s="2640"/>
      <c r="C14" s="245">
        <v>31010350</v>
      </c>
      <c r="D14" s="242" t="s">
        <v>346</v>
      </c>
      <c r="E14" s="245" t="s">
        <v>47</v>
      </c>
      <c r="F14" s="1210" t="s">
        <v>425</v>
      </c>
      <c r="G14" s="637"/>
      <c r="H14" s="648" t="s">
        <v>1044</v>
      </c>
      <c r="I14" s="638"/>
      <c r="J14" s="647"/>
      <c r="K14" s="648"/>
      <c r="L14" s="638"/>
      <c r="M14" s="648"/>
      <c r="N14" s="648"/>
      <c r="O14" s="648" t="s">
        <v>1044</v>
      </c>
      <c r="P14" s="638"/>
      <c r="Q14" s="648"/>
      <c r="R14" s="648"/>
      <c r="S14" s="648"/>
      <c r="T14" s="648"/>
      <c r="U14" s="647"/>
      <c r="V14" s="647" t="s">
        <v>1044</v>
      </c>
      <c r="W14" s="638"/>
      <c r="X14" s="638"/>
      <c r="Y14" s="647"/>
      <c r="Z14" s="648"/>
      <c r="AA14" s="648"/>
      <c r="AB14" s="638"/>
      <c r="AC14" s="648" t="s">
        <v>1044</v>
      </c>
      <c r="AD14" s="638"/>
      <c r="AE14" s="647"/>
      <c r="AF14" s="648"/>
      <c r="AG14" s="648"/>
      <c r="AH14" s="638"/>
      <c r="AI14" s="648"/>
      <c r="AJ14" s="648" t="s">
        <v>1044</v>
      </c>
      <c r="AK14" s="639"/>
      <c r="AL14" s="1299">
        <f t="shared" si="0"/>
        <v>0</v>
      </c>
      <c r="AM14" s="1332"/>
      <c r="AN14" s="1329"/>
      <c r="AO14" s="1329"/>
    </row>
    <row r="15" spans="2:42" ht="24.9" customHeight="1">
      <c r="B15" s="2640"/>
      <c r="C15" s="245">
        <v>31020296</v>
      </c>
      <c r="D15" s="242" t="s">
        <v>347</v>
      </c>
      <c r="E15" s="245" t="s">
        <v>47</v>
      </c>
      <c r="F15" s="1210" t="s">
        <v>425</v>
      </c>
      <c r="G15" s="637"/>
      <c r="H15" s="648" t="s">
        <v>1044</v>
      </c>
      <c r="I15" s="638"/>
      <c r="J15" s="647"/>
      <c r="K15" s="648"/>
      <c r="L15" s="638"/>
      <c r="M15" s="648"/>
      <c r="N15" s="648"/>
      <c r="O15" s="648" t="s">
        <v>1044</v>
      </c>
      <c r="P15" s="638"/>
      <c r="Q15" s="648"/>
      <c r="R15" s="648"/>
      <c r="S15" s="648"/>
      <c r="T15" s="648"/>
      <c r="U15" s="647"/>
      <c r="V15" s="647" t="s">
        <v>1044</v>
      </c>
      <c r="W15" s="638"/>
      <c r="X15" s="638"/>
      <c r="Y15" s="647"/>
      <c r="Z15" s="648"/>
      <c r="AA15" s="648"/>
      <c r="AB15" s="638"/>
      <c r="AC15" s="648" t="s">
        <v>1044</v>
      </c>
      <c r="AD15" s="638"/>
      <c r="AE15" s="647"/>
      <c r="AF15" s="648"/>
      <c r="AG15" s="648"/>
      <c r="AH15" s="638"/>
      <c r="AI15" s="648"/>
      <c r="AJ15" s="648" t="s">
        <v>1044</v>
      </c>
      <c r="AK15" s="639"/>
      <c r="AL15" s="1299">
        <f t="shared" si="0"/>
        <v>0</v>
      </c>
      <c r="AM15" s="913"/>
      <c r="AN15" s="1329"/>
      <c r="AO15" s="1329"/>
    </row>
    <row r="16" spans="2:42" ht="24.9" customHeight="1">
      <c r="B16" s="2640"/>
      <c r="C16" s="245">
        <v>31020297</v>
      </c>
      <c r="D16" s="242" t="s">
        <v>348</v>
      </c>
      <c r="E16" s="245" t="s">
        <v>47</v>
      </c>
      <c r="F16" s="1210" t="s">
        <v>425</v>
      </c>
      <c r="G16" s="637"/>
      <c r="H16" s="648" t="s">
        <v>1044</v>
      </c>
      <c r="I16" s="638"/>
      <c r="J16" s="647"/>
      <c r="K16" s="648"/>
      <c r="L16" s="638"/>
      <c r="M16" s="648"/>
      <c r="N16" s="648"/>
      <c r="O16" s="648" t="s">
        <v>1044</v>
      </c>
      <c r="P16" s="638"/>
      <c r="Q16" s="648"/>
      <c r="R16" s="648"/>
      <c r="S16" s="648"/>
      <c r="T16" s="648"/>
      <c r="U16" s="647"/>
      <c r="V16" s="647" t="s">
        <v>1044</v>
      </c>
      <c r="W16" s="638"/>
      <c r="X16" s="638"/>
      <c r="Y16" s="647"/>
      <c r="Z16" s="648"/>
      <c r="AA16" s="648"/>
      <c r="AB16" s="638"/>
      <c r="AC16" s="648" t="s">
        <v>1044</v>
      </c>
      <c r="AD16" s="638"/>
      <c r="AE16" s="647"/>
      <c r="AF16" s="648"/>
      <c r="AG16" s="648"/>
      <c r="AH16" s="638"/>
      <c r="AI16" s="648"/>
      <c r="AJ16" s="648" t="s">
        <v>1044</v>
      </c>
      <c r="AK16" s="639"/>
      <c r="AL16" s="1299">
        <f t="shared" si="0"/>
        <v>0</v>
      </c>
      <c r="AM16" s="1332"/>
      <c r="AN16"/>
      <c r="AO16"/>
      <c r="AP16"/>
    </row>
    <row r="17" spans="2:42" ht="24.9" customHeight="1">
      <c r="B17" s="2640"/>
      <c r="C17" s="245">
        <v>31020298</v>
      </c>
      <c r="D17" s="242" t="s">
        <v>349</v>
      </c>
      <c r="E17" s="245" t="s">
        <v>47</v>
      </c>
      <c r="F17" s="1210" t="s">
        <v>425</v>
      </c>
      <c r="G17" s="637"/>
      <c r="H17" s="648" t="s">
        <v>1044</v>
      </c>
      <c r="I17" s="638"/>
      <c r="J17" s="647"/>
      <c r="K17" s="648"/>
      <c r="L17" s="638"/>
      <c r="M17" s="648"/>
      <c r="N17" s="648"/>
      <c r="O17" s="648" t="s">
        <v>1044</v>
      </c>
      <c r="P17" s="638"/>
      <c r="Q17" s="648"/>
      <c r="R17" s="648"/>
      <c r="S17" s="648"/>
      <c r="T17" s="648"/>
      <c r="U17" s="647"/>
      <c r="V17" s="647" t="s">
        <v>1044</v>
      </c>
      <c r="W17" s="638"/>
      <c r="X17" s="638"/>
      <c r="Y17" s="647"/>
      <c r="Z17" s="648"/>
      <c r="AA17" s="648"/>
      <c r="AB17" s="638"/>
      <c r="AC17" s="648" t="s">
        <v>1044</v>
      </c>
      <c r="AD17" s="638"/>
      <c r="AE17" s="647"/>
      <c r="AF17" s="648"/>
      <c r="AG17" s="648"/>
      <c r="AH17" s="638"/>
      <c r="AI17" s="648"/>
      <c r="AJ17" s="648" t="s">
        <v>1044</v>
      </c>
      <c r="AK17" s="639"/>
      <c r="AL17" s="1299">
        <f t="shared" si="0"/>
        <v>0</v>
      </c>
      <c r="AM17" s="1079"/>
      <c r="AN17"/>
      <c r="AO17"/>
      <c r="AP17"/>
    </row>
    <row r="18" spans="2:42" ht="24.9" customHeight="1">
      <c r="B18" s="2640"/>
      <c r="C18" s="245">
        <v>31020299</v>
      </c>
      <c r="D18" s="242" t="s">
        <v>350</v>
      </c>
      <c r="E18" s="245" t="s">
        <v>47</v>
      </c>
      <c r="F18" s="1210" t="s">
        <v>425</v>
      </c>
      <c r="G18" s="638"/>
      <c r="H18" s="648" t="s">
        <v>1044</v>
      </c>
      <c r="I18" s="638"/>
      <c r="J18" s="647"/>
      <c r="K18" s="648"/>
      <c r="L18" s="638"/>
      <c r="M18" s="648"/>
      <c r="N18" s="648"/>
      <c r="O18" s="648" t="s">
        <v>1044</v>
      </c>
      <c r="P18" s="638"/>
      <c r="Q18" s="648"/>
      <c r="R18" s="648"/>
      <c r="S18" s="648"/>
      <c r="T18" s="648"/>
      <c r="U18" s="647"/>
      <c r="V18" s="647" t="s">
        <v>1044</v>
      </c>
      <c r="W18" s="638"/>
      <c r="X18" s="638"/>
      <c r="Y18" s="647"/>
      <c r="Z18" s="648"/>
      <c r="AA18" s="648"/>
      <c r="AB18" s="638"/>
      <c r="AC18" s="648" t="s">
        <v>1044</v>
      </c>
      <c r="AD18" s="638"/>
      <c r="AE18" s="647"/>
      <c r="AF18" s="648"/>
      <c r="AG18" s="648"/>
      <c r="AH18" s="638"/>
      <c r="AI18" s="648"/>
      <c r="AJ18" s="648" t="s">
        <v>1044</v>
      </c>
      <c r="AK18" s="639"/>
      <c r="AL18" s="1299">
        <f t="shared" si="0"/>
        <v>0</v>
      </c>
    </row>
    <row r="19" spans="2:42" ht="24.9" customHeight="1">
      <c r="B19" s="2640"/>
      <c r="C19" s="245">
        <v>31020300</v>
      </c>
      <c r="D19" s="242" t="s">
        <v>351</v>
      </c>
      <c r="E19" s="245" t="s">
        <v>47</v>
      </c>
      <c r="F19" s="1210" t="s">
        <v>425</v>
      </c>
      <c r="G19" s="638"/>
      <c r="H19" s="648" t="s">
        <v>1044</v>
      </c>
      <c r="I19" s="638"/>
      <c r="J19" s="647"/>
      <c r="K19" s="648"/>
      <c r="L19" s="638"/>
      <c r="M19" s="648"/>
      <c r="N19" s="648"/>
      <c r="O19" s="648" t="s">
        <v>1044</v>
      </c>
      <c r="P19" s="638"/>
      <c r="Q19" s="648"/>
      <c r="R19" s="648"/>
      <c r="S19" s="648"/>
      <c r="T19" s="648"/>
      <c r="U19" s="647"/>
      <c r="V19" s="647" t="s">
        <v>1044</v>
      </c>
      <c r="W19" s="638"/>
      <c r="X19" s="638"/>
      <c r="Y19" s="647"/>
      <c r="Z19" s="648"/>
      <c r="AA19" s="648"/>
      <c r="AB19" s="638"/>
      <c r="AC19" s="648" t="s">
        <v>1044</v>
      </c>
      <c r="AD19" s="638"/>
      <c r="AE19" s="647"/>
      <c r="AF19" s="648"/>
      <c r="AG19" s="648"/>
      <c r="AH19" s="638"/>
      <c r="AI19" s="648"/>
      <c r="AJ19" s="648" t="s">
        <v>1044</v>
      </c>
      <c r="AK19" s="639"/>
      <c r="AL19" s="1299">
        <f t="shared" si="0"/>
        <v>0</v>
      </c>
    </row>
    <row r="20" spans="2:42" ht="24.9" customHeight="1">
      <c r="B20" s="2640"/>
      <c r="C20" s="245">
        <v>31020301</v>
      </c>
      <c r="D20" s="242" t="s">
        <v>352</v>
      </c>
      <c r="E20" s="245" t="s">
        <v>47</v>
      </c>
      <c r="F20" s="1210" t="s">
        <v>425</v>
      </c>
      <c r="G20" s="638"/>
      <c r="H20" s="648" t="s">
        <v>1044</v>
      </c>
      <c r="I20" s="638"/>
      <c r="J20" s="647"/>
      <c r="K20" s="648"/>
      <c r="L20" s="638"/>
      <c r="M20" s="648"/>
      <c r="N20" s="648"/>
      <c r="O20" s="648" t="s">
        <v>1044</v>
      </c>
      <c r="P20" s="638"/>
      <c r="Q20" s="648"/>
      <c r="R20" s="648"/>
      <c r="S20" s="648"/>
      <c r="T20" s="648"/>
      <c r="U20" s="647"/>
      <c r="V20" s="647" t="s">
        <v>1044</v>
      </c>
      <c r="W20" s="638"/>
      <c r="X20" s="638"/>
      <c r="Y20" s="647"/>
      <c r="Z20" s="648"/>
      <c r="AA20" s="648"/>
      <c r="AB20" s="638"/>
      <c r="AC20" s="648" t="s">
        <v>1044</v>
      </c>
      <c r="AD20" s="638"/>
      <c r="AE20" s="647"/>
      <c r="AF20" s="648"/>
      <c r="AG20" s="648"/>
      <c r="AH20" s="638"/>
      <c r="AI20" s="648"/>
      <c r="AJ20" s="648" t="s">
        <v>1044</v>
      </c>
      <c r="AK20" s="639"/>
      <c r="AL20" s="1299">
        <f t="shared" si="0"/>
        <v>0</v>
      </c>
    </row>
    <row r="21" spans="2:42" ht="24.9" customHeight="1">
      <c r="B21" s="2640"/>
      <c r="C21" s="245">
        <v>31010077</v>
      </c>
      <c r="D21" s="242" t="s">
        <v>357</v>
      </c>
      <c r="E21" s="245" t="s">
        <v>47</v>
      </c>
      <c r="F21" s="1210" t="s">
        <v>425</v>
      </c>
      <c r="G21" s="637"/>
      <c r="H21" s="648" t="s">
        <v>1044</v>
      </c>
      <c r="I21" s="638"/>
      <c r="J21" s="647"/>
      <c r="K21" s="648"/>
      <c r="L21" s="638"/>
      <c r="M21" s="648"/>
      <c r="N21" s="648"/>
      <c r="O21" s="648" t="s">
        <v>1044</v>
      </c>
      <c r="P21" s="638"/>
      <c r="Q21" s="648"/>
      <c r="R21" s="648"/>
      <c r="S21" s="648"/>
      <c r="T21" s="648"/>
      <c r="U21" s="647"/>
      <c r="V21" s="647" t="s">
        <v>1044</v>
      </c>
      <c r="W21" s="638"/>
      <c r="X21" s="638"/>
      <c r="Y21" s="647"/>
      <c r="Z21" s="648"/>
      <c r="AA21" s="648"/>
      <c r="AB21" s="638"/>
      <c r="AC21" s="648" t="s">
        <v>1044</v>
      </c>
      <c r="AD21" s="638"/>
      <c r="AE21" s="647"/>
      <c r="AF21" s="648"/>
      <c r="AG21" s="648"/>
      <c r="AH21" s="638"/>
      <c r="AI21" s="648"/>
      <c r="AJ21" s="648" t="s">
        <v>1044</v>
      </c>
      <c r="AK21" s="639"/>
      <c r="AL21" s="1299">
        <f t="shared" si="0"/>
        <v>0</v>
      </c>
    </row>
    <row r="22" spans="2:42" ht="24.9" customHeight="1">
      <c r="B22" s="2640"/>
      <c r="C22" s="264">
        <v>31010076</v>
      </c>
      <c r="D22" s="263" t="s">
        <v>740</v>
      </c>
      <c r="E22" s="264" t="s">
        <v>47</v>
      </c>
      <c r="F22" s="1210" t="s">
        <v>46</v>
      </c>
      <c r="G22" s="637"/>
      <c r="H22" s="648" t="s">
        <v>1044</v>
      </c>
      <c r="I22" s="638"/>
      <c r="J22" s="647"/>
      <c r="K22" s="648"/>
      <c r="L22" s="638"/>
      <c r="M22" s="648"/>
      <c r="N22" s="648"/>
      <c r="O22" s="648" t="s">
        <v>1044</v>
      </c>
      <c r="P22" s="638"/>
      <c r="Q22" s="648"/>
      <c r="R22" s="648"/>
      <c r="S22" s="648"/>
      <c r="T22" s="648"/>
      <c r="U22" s="647"/>
      <c r="V22" s="647" t="s">
        <v>1044</v>
      </c>
      <c r="W22" s="638"/>
      <c r="X22" s="638"/>
      <c r="Y22" s="647"/>
      <c r="Z22" s="648"/>
      <c r="AA22" s="648"/>
      <c r="AB22" s="638"/>
      <c r="AC22" s="648" t="s">
        <v>1044</v>
      </c>
      <c r="AD22" s="638"/>
      <c r="AE22" s="647"/>
      <c r="AF22" s="648"/>
      <c r="AG22" s="648"/>
      <c r="AH22" s="638"/>
      <c r="AI22" s="648"/>
      <c r="AJ22" s="648" t="s">
        <v>1044</v>
      </c>
      <c r="AK22" s="639"/>
      <c r="AL22" s="1299">
        <f t="shared" si="0"/>
        <v>0</v>
      </c>
    </row>
    <row r="23" spans="2:42" ht="24.9" customHeight="1">
      <c r="B23" s="2640"/>
      <c r="C23" s="245">
        <v>31010127</v>
      </c>
      <c r="D23" s="242" t="s">
        <v>426</v>
      </c>
      <c r="E23" s="245" t="s">
        <v>47</v>
      </c>
      <c r="F23" s="1210" t="s">
        <v>425</v>
      </c>
      <c r="G23" s="637"/>
      <c r="H23" s="648" t="s">
        <v>1044</v>
      </c>
      <c r="I23" s="638"/>
      <c r="J23" s="647"/>
      <c r="K23" s="648"/>
      <c r="L23" s="638"/>
      <c r="M23" s="648"/>
      <c r="N23" s="648"/>
      <c r="O23" s="648" t="s">
        <v>1044</v>
      </c>
      <c r="P23" s="638"/>
      <c r="Q23" s="648"/>
      <c r="R23" s="648"/>
      <c r="S23" s="648"/>
      <c r="T23" s="648"/>
      <c r="U23" s="647"/>
      <c r="V23" s="647" t="s">
        <v>1044</v>
      </c>
      <c r="W23" s="638"/>
      <c r="X23" s="638"/>
      <c r="Y23" s="647"/>
      <c r="Z23" s="648"/>
      <c r="AA23" s="648"/>
      <c r="AB23" s="638"/>
      <c r="AC23" s="648" t="s">
        <v>1044</v>
      </c>
      <c r="AD23" s="638"/>
      <c r="AE23" s="647"/>
      <c r="AF23" s="648"/>
      <c r="AG23" s="648"/>
      <c r="AH23" s="638"/>
      <c r="AI23" s="648"/>
      <c r="AJ23" s="648">
        <v>30000</v>
      </c>
      <c r="AK23" s="639"/>
      <c r="AL23" s="1299">
        <f t="shared" si="0"/>
        <v>30000</v>
      </c>
    </row>
    <row r="24" spans="2:42" ht="24.9" customHeight="1">
      <c r="B24" s="2640"/>
      <c r="C24" s="245">
        <v>31010358</v>
      </c>
      <c r="D24" s="242" t="s">
        <v>427</v>
      </c>
      <c r="E24" s="245" t="s">
        <v>47</v>
      </c>
      <c r="F24" s="1210" t="s">
        <v>425</v>
      </c>
      <c r="G24" s="638"/>
      <c r="H24" s="648" t="s">
        <v>1044</v>
      </c>
      <c r="I24" s="638"/>
      <c r="J24" s="647"/>
      <c r="K24" s="648"/>
      <c r="L24" s="638"/>
      <c r="M24" s="648"/>
      <c r="N24" s="648"/>
      <c r="O24" s="648" t="s">
        <v>1044</v>
      </c>
      <c r="P24" s="638"/>
      <c r="Q24" s="648"/>
      <c r="R24" s="648"/>
      <c r="S24" s="648"/>
      <c r="T24" s="648"/>
      <c r="U24" s="647"/>
      <c r="V24" s="647" t="s">
        <v>1044</v>
      </c>
      <c r="W24" s="638"/>
      <c r="X24" s="638"/>
      <c r="Y24" s="647"/>
      <c r="Z24" s="648"/>
      <c r="AA24" s="648"/>
      <c r="AB24" s="638"/>
      <c r="AC24" s="648" t="s">
        <v>1044</v>
      </c>
      <c r="AD24" s="638"/>
      <c r="AE24" s="647"/>
      <c r="AF24" s="648"/>
      <c r="AG24" s="648"/>
      <c r="AH24" s="638"/>
      <c r="AI24" s="648"/>
      <c r="AJ24" s="648" t="s">
        <v>1044</v>
      </c>
      <c r="AK24" s="639"/>
      <c r="AL24" s="1299">
        <f t="shared" si="0"/>
        <v>0</v>
      </c>
    </row>
    <row r="25" spans="2:42" ht="24.9" customHeight="1">
      <c r="B25" s="2640"/>
      <c r="C25" s="245">
        <v>31010359</v>
      </c>
      <c r="D25" s="242" t="s">
        <v>428</v>
      </c>
      <c r="E25" s="245" t="s">
        <v>47</v>
      </c>
      <c r="F25" s="1210" t="s">
        <v>425</v>
      </c>
      <c r="G25" s="637"/>
      <c r="H25" s="648" t="s">
        <v>1044</v>
      </c>
      <c r="I25" s="638"/>
      <c r="J25" s="647"/>
      <c r="K25" s="648"/>
      <c r="L25" s="638"/>
      <c r="M25" s="648"/>
      <c r="N25" s="648"/>
      <c r="O25" s="648" t="s">
        <v>1044</v>
      </c>
      <c r="P25" s="638"/>
      <c r="Q25" s="648"/>
      <c r="R25" s="648"/>
      <c r="S25" s="648"/>
      <c r="T25" s="648"/>
      <c r="U25" s="647"/>
      <c r="V25" s="647" t="s">
        <v>1044</v>
      </c>
      <c r="W25" s="638"/>
      <c r="X25" s="638"/>
      <c r="Y25" s="647"/>
      <c r="Z25" s="648"/>
      <c r="AA25" s="648"/>
      <c r="AB25" s="638"/>
      <c r="AC25" s="648" t="s">
        <v>1044</v>
      </c>
      <c r="AD25" s="638"/>
      <c r="AE25" s="647"/>
      <c r="AF25" s="648"/>
      <c r="AG25" s="648"/>
      <c r="AH25" s="638"/>
      <c r="AI25" s="648"/>
      <c r="AJ25" s="648" t="s">
        <v>1044</v>
      </c>
      <c r="AK25" s="639"/>
      <c r="AL25" s="1299">
        <f t="shared" si="0"/>
        <v>0</v>
      </c>
    </row>
    <row r="26" spans="2:42" ht="24.9" customHeight="1">
      <c r="B26" s="2640"/>
      <c r="C26" s="245">
        <v>31010272</v>
      </c>
      <c r="D26" s="242" t="s">
        <v>361</v>
      </c>
      <c r="E26" s="245" t="s">
        <v>47</v>
      </c>
      <c r="F26" s="1210" t="s">
        <v>425</v>
      </c>
      <c r="G26" s="637"/>
      <c r="H26" s="648" t="s">
        <v>1044</v>
      </c>
      <c r="I26" s="638"/>
      <c r="J26" s="647"/>
      <c r="K26" s="648"/>
      <c r="L26" s="638"/>
      <c r="M26" s="648"/>
      <c r="N26" s="648"/>
      <c r="O26" s="648" t="s">
        <v>1044</v>
      </c>
      <c r="P26" s="638"/>
      <c r="Q26" s="648"/>
      <c r="R26" s="648"/>
      <c r="S26" s="648"/>
      <c r="T26" s="648"/>
      <c r="U26" s="647"/>
      <c r="V26" s="647" t="s">
        <v>1044</v>
      </c>
      <c r="W26" s="638"/>
      <c r="X26" s="638"/>
      <c r="Y26" s="647"/>
      <c r="Z26" s="648"/>
      <c r="AA26" s="648"/>
      <c r="AB26" s="638"/>
      <c r="AC26" s="648" t="s">
        <v>1044</v>
      </c>
      <c r="AD26" s="638"/>
      <c r="AE26" s="647"/>
      <c r="AF26" s="648"/>
      <c r="AG26" s="648"/>
      <c r="AH26" s="638"/>
      <c r="AI26" s="648"/>
      <c r="AJ26" s="648" t="s">
        <v>1044</v>
      </c>
      <c r="AK26" s="639"/>
      <c r="AL26" s="1299">
        <f t="shared" si="0"/>
        <v>0</v>
      </c>
    </row>
    <row r="27" spans="2:42" ht="24.9" customHeight="1">
      <c r="B27" s="2640"/>
      <c r="C27" s="245">
        <v>31010081</v>
      </c>
      <c r="D27" s="242" t="s">
        <v>362</v>
      </c>
      <c r="E27" s="245" t="s">
        <v>47</v>
      </c>
      <c r="F27" s="1210" t="s">
        <v>425</v>
      </c>
      <c r="G27" s="637"/>
      <c r="H27" s="648" t="s">
        <v>1044</v>
      </c>
      <c r="I27" s="638"/>
      <c r="J27" s="647"/>
      <c r="K27" s="648"/>
      <c r="L27" s="638"/>
      <c r="M27" s="648"/>
      <c r="N27" s="648"/>
      <c r="O27" s="648" t="s">
        <v>1044</v>
      </c>
      <c r="P27" s="638"/>
      <c r="Q27" s="648"/>
      <c r="R27" s="648"/>
      <c r="S27" s="648"/>
      <c r="T27" s="648"/>
      <c r="U27" s="647"/>
      <c r="V27" s="647" t="s">
        <v>1044</v>
      </c>
      <c r="W27" s="638"/>
      <c r="X27" s="638"/>
      <c r="Y27" s="647"/>
      <c r="Z27" s="648"/>
      <c r="AA27" s="648"/>
      <c r="AB27" s="638"/>
      <c r="AC27" s="648" t="s">
        <v>1044</v>
      </c>
      <c r="AD27" s="638"/>
      <c r="AE27" s="647"/>
      <c r="AF27" s="648"/>
      <c r="AG27" s="648"/>
      <c r="AH27" s="638"/>
      <c r="AI27" s="648"/>
      <c r="AJ27" s="648" t="s">
        <v>1044</v>
      </c>
      <c r="AK27" s="639"/>
      <c r="AL27" s="1299">
        <f t="shared" si="0"/>
        <v>0</v>
      </c>
    </row>
    <row r="28" spans="2:42" ht="24.9" customHeight="1">
      <c r="B28" s="2640"/>
      <c r="C28" s="245">
        <v>31010037</v>
      </c>
      <c r="D28" s="242" t="s">
        <v>364</v>
      </c>
      <c r="E28" s="245" t="s">
        <v>47</v>
      </c>
      <c r="F28" s="1210" t="s">
        <v>425</v>
      </c>
      <c r="G28" s="640"/>
      <c r="H28" s="648" t="s">
        <v>1044</v>
      </c>
      <c r="I28" s="612"/>
      <c r="J28" s="647"/>
      <c r="K28" s="648"/>
      <c r="L28" s="612"/>
      <c r="M28" s="648"/>
      <c r="N28" s="648"/>
      <c r="O28" s="648" t="s">
        <v>1044</v>
      </c>
      <c r="P28" s="612"/>
      <c r="Q28" s="648"/>
      <c r="R28" s="648"/>
      <c r="S28" s="648"/>
      <c r="T28" s="648"/>
      <c r="U28" s="647"/>
      <c r="V28" s="647" t="s">
        <v>1044</v>
      </c>
      <c r="W28" s="612"/>
      <c r="X28" s="612"/>
      <c r="Y28" s="647"/>
      <c r="Z28" s="648"/>
      <c r="AA28" s="648"/>
      <c r="AB28" s="612"/>
      <c r="AC28" s="648">
        <v>50000</v>
      </c>
      <c r="AD28" s="612"/>
      <c r="AE28" s="647"/>
      <c r="AF28" s="648"/>
      <c r="AG28" s="648"/>
      <c r="AH28" s="612"/>
      <c r="AI28" s="648"/>
      <c r="AJ28" s="648" t="s">
        <v>1044</v>
      </c>
      <c r="AK28" s="641"/>
      <c r="AL28" s="1299">
        <f t="shared" si="0"/>
        <v>50000</v>
      </c>
    </row>
    <row r="29" spans="2:42" ht="24.9" customHeight="1">
      <c r="B29" s="2640"/>
      <c r="C29" s="251">
        <v>31010280</v>
      </c>
      <c r="D29" s="252" t="s">
        <v>365</v>
      </c>
      <c r="E29" s="245" t="s">
        <v>47</v>
      </c>
      <c r="F29" s="1211" t="s">
        <v>425</v>
      </c>
      <c r="G29" s="637"/>
      <c r="H29" s="648" t="s">
        <v>1044</v>
      </c>
      <c r="I29" s="638"/>
      <c r="J29" s="647"/>
      <c r="K29" s="648"/>
      <c r="L29" s="638"/>
      <c r="M29" s="648"/>
      <c r="N29" s="648"/>
      <c r="O29" s="648" t="s">
        <v>1044</v>
      </c>
      <c r="P29" s="638"/>
      <c r="Q29" s="648"/>
      <c r="R29" s="648"/>
      <c r="S29" s="648"/>
      <c r="T29" s="648"/>
      <c r="U29" s="647"/>
      <c r="V29" s="647" t="s">
        <v>1044</v>
      </c>
      <c r="W29" s="638"/>
      <c r="X29" s="638"/>
      <c r="Y29" s="647"/>
      <c r="Z29" s="648"/>
      <c r="AA29" s="648"/>
      <c r="AB29" s="638"/>
      <c r="AC29" s="648" t="s">
        <v>1044</v>
      </c>
      <c r="AD29" s="638"/>
      <c r="AE29" s="647"/>
      <c r="AF29" s="648"/>
      <c r="AG29" s="648"/>
      <c r="AH29" s="638"/>
      <c r="AI29" s="648"/>
      <c r="AJ29" s="648" t="s">
        <v>1044</v>
      </c>
      <c r="AK29" s="642"/>
      <c r="AL29" s="1299">
        <f t="shared" si="0"/>
        <v>0</v>
      </c>
    </row>
    <row r="30" spans="2:42" ht="24.9" customHeight="1">
      <c r="B30" s="2640"/>
      <c r="C30" s="251">
        <v>31010281</v>
      </c>
      <c r="D30" s="252" t="s">
        <v>367</v>
      </c>
      <c r="E30" s="245" t="s">
        <v>47</v>
      </c>
      <c r="F30" s="1211" t="s">
        <v>425</v>
      </c>
      <c r="G30" s="637"/>
      <c r="H30" s="648" t="s">
        <v>1044</v>
      </c>
      <c r="I30" s="638"/>
      <c r="J30" s="647"/>
      <c r="K30" s="648"/>
      <c r="L30" s="638"/>
      <c r="M30" s="648"/>
      <c r="N30" s="648"/>
      <c r="O30" s="648" t="s">
        <v>1044</v>
      </c>
      <c r="P30" s="638"/>
      <c r="Q30" s="648"/>
      <c r="R30" s="648"/>
      <c r="S30" s="648"/>
      <c r="T30" s="648"/>
      <c r="U30" s="647"/>
      <c r="V30" s="647" t="s">
        <v>1044</v>
      </c>
      <c r="W30" s="638"/>
      <c r="X30" s="638"/>
      <c r="Y30" s="647"/>
      <c r="Z30" s="648"/>
      <c r="AA30" s="648"/>
      <c r="AB30" s="638"/>
      <c r="AC30" s="648" t="s">
        <v>1044</v>
      </c>
      <c r="AD30" s="638"/>
      <c r="AE30" s="647"/>
      <c r="AF30" s="648"/>
      <c r="AG30" s="648"/>
      <c r="AH30" s="638"/>
      <c r="AI30" s="648"/>
      <c r="AJ30" s="648" t="s">
        <v>1044</v>
      </c>
      <c r="AK30" s="642"/>
      <c r="AL30" s="1299">
        <f t="shared" si="0"/>
        <v>0</v>
      </c>
    </row>
    <row r="31" spans="2:42" ht="24.9" customHeight="1">
      <c r="B31" s="2640"/>
      <c r="C31" s="251">
        <v>31010278</v>
      </c>
      <c r="D31" s="252" t="s">
        <v>368</v>
      </c>
      <c r="E31" s="245" t="s">
        <v>47</v>
      </c>
      <c r="F31" s="1211" t="s">
        <v>425</v>
      </c>
      <c r="G31" s="637"/>
      <c r="H31" s="648">
        <v>50000</v>
      </c>
      <c r="I31" s="638"/>
      <c r="J31" s="647"/>
      <c r="K31" s="648"/>
      <c r="L31" s="638"/>
      <c r="M31" s="648"/>
      <c r="N31" s="648"/>
      <c r="O31" s="648" t="s">
        <v>1044</v>
      </c>
      <c r="P31" s="638"/>
      <c r="Q31" s="648"/>
      <c r="R31" s="648"/>
      <c r="S31" s="648"/>
      <c r="T31" s="648"/>
      <c r="U31" s="647"/>
      <c r="V31" s="647">
        <v>100000</v>
      </c>
      <c r="W31" s="638"/>
      <c r="X31" s="638"/>
      <c r="Y31" s="647"/>
      <c r="Z31" s="648"/>
      <c r="AA31" s="648"/>
      <c r="AB31" s="638"/>
      <c r="AC31" s="648">
        <v>50000</v>
      </c>
      <c r="AD31" s="638"/>
      <c r="AE31" s="647"/>
      <c r="AF31" s="648"/>
      <c r="AG31" s="648"/>
      <c r="AH31" s="638"/>
      <c r="AI31" s="648"/>
      <c r="AJ31" s="648">
        <v>150000</v>
      </c>
      <c r="AK31" s="642"/>
      <c r="AL31" s="1299">
        <f t="shared" si="0"/>
        <v>350000</v>
      </c>
    </row>
    <row r="32" spans="2:42" ht="24.9" customHeight="1">
      <c r="B32" s="2640"/>
      <c r="C32" s="251">
        <v>31010279</v>
      </c>
      <c r="D32" s="252" t="s">
        <v>369</v>
      </c>
      <c r="E32" s="245" t="s">
        <v>47</v>
      </c>
      <c r="F32" s="1211" t="s">
        <v>425</v>
      </c>
      <c r="G32" s="637"/>
      <c r="H32" s="648">
        <v>100000</v>
      </c>
      <c r="I32" s="638"/>
      <c r="J32" s="647"/>
      <c r="K32" s="648"/>
      <c r="L32" s="638"/>
      <c r="M32" s="648"/>
      <c r="N32" s="648"/>
      <c r="O32" s="648">
        <v>50000</v>
      </c>
      <c r="P32" s="638"/>
      <c r="Q32" s="648"/>
      <c r="R32" s="648"/>
      <c r="S32" s="648"/>
      <c r="T32" s="648"/>
      <c r="U32" s="647"/>
      <c r="V32" s="647">
        <v>150000</v>
      </c>
      <c r="W32" s="638"/>
      <c r="X32" s="638"/>
      <c r="Y32" s="647"/>
      <c r="Z32" s="648"/>
      <c r="AA32" s="648"/>
      <c r="AB32" s="638"/>
      <c r="AC32" s="648">
        <v>100000</v>
      </c>
      <c r="AD32" s="638"/>
      <c r="AE32" s="647"/>
      <c r="AF32" s="648"/>
      <c r="AG32" s="648"/>
      <c r="AH32" s="638"/>
      <c r="AI32" s="648"/>
      <c r="AJ32" s="648">
        <v>200000</v>
      </c>
      <c r="AK32" s="642"/>
      <c r="AL32" s="1299">
        <f t="shared" si="0"/>
        <v>600000</v>
      </c>
    </row>
    <row r="33" spans="2:41" ht="24.9" customHeight="1">
      <c r="B33" s="2640"/>
      <c r="C33" s="251">
        <v>31010282</v>
      </c>
      <c r="D33" s="252" t="s">
        <v>370</v>
      </c>
      <c r="E33" s="245" t="s">
        <v>47</v>
      </c>
      <c r="F33" s="1211" t="s">
        <v>425</v>
      </c>
      <c r="G33" s="637"/>
      <c r="H33" s="648" t="s">
        <v>1044</v>
      </c>
      <c r="I33" s="638"/>
      <c r="J33" s="647"/>
      <c r="K33" s="648"/>
      <c r="L33" s="638"/>
      <c r="M33" s="648"/>
      <c r="N33" s="648"/>
      <c r="O33" s="648" t="s">
        <v>1044</v>
      </c>
      <c r="P33" s="638"/>
      <c r="Q33" s="648"/>
      <c r="R33" s="648"/>
      <c r="S33" s="648"/>
      <c r="T33" s="648"/>
      <c r="U33" s="647"/>
      <c r="V33" s="647" t="s">
        <v>1044</v>
      </c>
      <c r="W33" s="638"/>
      <c r="X33" s="638"/>
      <c r="Y33" s="647"/>
      <c r="Z33" s="648"/>
      <c r="AA33" s="648"/>
      <c r="AB33" s="638"/>
      <c r="AC33" s="648" t="s">
        <v>1044</v>
      </c>
      <c r="AD33" s="638"/>
      <c r="AE33" s="647"/>
      <c r="AF33" s="648"/>
      <c r="AG33" s="648"/>
      <c r="AH33" s="638"/>
      <c r="AI33" s="648"/>
      <c r="AJ33" s="648" t="s">
        <v>1044</v>
      </c>
      <c r="AK33" s="642"/>
      <c r="AL33" s="1299">
        <f t="shared" si="0"/>
        <v>0</v>
      </c>
    </row>
    <row r="34" spans="2:41" ht="24.9" customHeight="1">
      <c r="B34" s="2640"/>
      <c r="C34" s="251">
        <v>31010283</v>
      </c>
      <c r="D34" s="252" t="s">
        <v>371</v>
      </c>
      <c r="E34" s="245" t="s">
        <v>47</v>
      </c>
      <c r="F34" s="1211" t="s">
        <v>425</v>
      </c>
      <c r="G34" s="637"/>
      <c r="H34" s="648">
        <v>27000</v>
      </c>
      <c r="I34" s="638"/>
      <c r="J34" s="647"/>
      <c r="K34" s="648"/>
      <c r="L34" s="638"/>
      <c r="M34" s="648"/>
      <c r="N34" s="648"/>
      <c r="O34" s="648">
        <v>27000</v>
      </c>
      <c r="P34" s="638"/>
      <c r="Q34" s="648"/>
      <c r="R34" s="648"/>
      <c r="S34" s="648"/>
      <c r="T34" s="648"/>
      <c r="U34" s="647"/>
      <c r="V34" s="647" t="s">
        <v>1044</v>
      </c>
      <c r="W34" s="638"/>
      <c r="X34" s="638"/>
      <c r="Y34" s="647"/>
      <c r="Z34" s="648"/>
      <c r="AA34" s="648"/>
      <c r="AB34" s="638"/>
      <c r="AC34" s="648" t="s">
        <v>1044</v>
      </c>
      <c r="AD34" s="638"/>
      <c r="AE34" s="647"/>
      <c r="AF34" s="648"/>
      <c r="AG34" s="648"/>
      <c r="AH34" s="638"/>
      <c r="AI34" s="648"/>
      <c r="AJ34" s="648" t="s">
        <v>1044</v>
      </c>
      <c r="AK34" s="642"/>
      <c r="AL34" s="1299">
        <f t="shared" si="0"/>
        <v>54000</v>
      </c>
    </row>
    <row r="35" spans="2:41" ht="24.9" customHeight="1">
      <c r="B35" s="2640"/>
      <c r="C35" s="1572">
        <v>31011111</v>
      </c>
      <c r="D35" s="1237" t="s">
        <v>869</v>
      </c>
      <c r="E35" s="615" t="s">
        <v>47</v>
      </c>
      <c r="F35" s="1211" t="s">
        <v>425</v>
      </c>
      <c r="G35" s="637"/>
      <c r="H35" s="648" t="s">
        <v>1044</v>
      </c>
      <c r="I35" s="638"/>
      <c r="J35" s="647"/>
      <c r="K35" s="648"/>
      <c r="L35" s="638"/>
      <c r="M35" s="648"/>
      <c r="N35" s="648"/>
      <c r="O35" s="648" t="s">
        <v>1044</v>
      </c>
      <c r="P35" s="638"/>
      <c r="Q35" s="648"/>
      <c r="R35" s="648"/>
      <c r="S35" s="648"/>
      <c r="T35" s="648"/>
      <c r="U35" s="647"/>
      <c r="V35" s="647" t="s">
        <v>1044</v>
      </c>
      <c r="W35" s="638"/>
      <c r="X35" s="638"/>
      <c r="Y35" s="647"/>
      <c r="Z35" s="648"/>
      <c r="AA35" s="648"/>
      <c r="AB35" s="638"/>
      <c r="AC35" s="648" t="s">
        <v>1044</v>
      </c>
      <c r="AD35" s="638"/>
      <c r="AE35" s="647"/>
      <c r="AF35" s="648"/>
      <c r="AG35" s="648"/>
      <c r="AH35" s="638"/>
      <c r="AI35" s="648"/>
      <c r="AJ35" s="648" t="s">
        <v>1044</v>
      </c>
      <c r="AK35" s="642"/>
      <c r="AL35" s="1299">
        <f t="shared" si="0"/>
        <v>0</v>
      </c>
    </row>
    <row r="36" spans="2:41" ht="24.9" customHeight="1">
      <c r="B36" s="2640"/>
      <c r="C36" s="746">
        <v>31010380</v>
      </c>
      <c r="D36" s="780" t="s">
        <v>431</v>
      </c>
      <c r="E36" s="615" t="s">
        <v>47</v>
      </c>
      <c r="F36" s="1211" t="s">
        <v>425</v>
      </c>
      <c r="G36" s="637"/>
      <c r="H36" s="648">
        <v>50000</v>
      </c>
      <c r="I36" s="638"/>
      <c r="J36" s="647"/>
      <c r="K36" s="648"/>
      <c r="L36" s="638"/>
      <c r="M36" s="648"/>
      <c r="N36" s="648"/>
      <c r="O36" s="648" t="s">
        <v>1044</v>
      </c>
      <c r="P36" s="638"/>
      <c r="Q36" s="648"/>
      <c r="R36" s="648"/>
      <c r="S36" s="648"/>
      <c r="T36" s="648"/>
      <c r="U36" s="647"/>
      <c r="V36" s="647">
        <v>50000</v>
      </c>
      <c r="W36" s="638"/>
      <c r="X36" s="638"/>
      <c r="Y36" s="647"/>
      <c r="Z36" s="648"/>
      <c r="AA36" s="648"/>
      <c r="AB36" s="638"/>
      <c r="AC36" s="648" t="s">
        <v>1044</v>
      </c>
      <c r="AD36" s="638"/>
      <c r="AE36" s="647"/>
      <c r="AF36" s="648"/>
      <c r="AG36" s="648"/>
      <c r="AH36" s="638"/>
      <c r="AI36" s="648"/>
      <c r="AJ36" s="648" t="s">
        <v>1044</v>
      </c>
      <c r="AK36" s="642"/>
      <c r="AL36" s="1299">
        <f t="shared" si="0"/>
        <v>100000</v>
      </c>
    </row>
    <row r="37" spans="2:41" ht="24.9" customHeight="1">
      <c r="B37" s="2640"/>
      <c r="C37" s="1572">
        <v>31010384</v>
      </c>
      <c r="D37" s="780" t="s">
        <v>373</v>
      </c>
      <c r="E37" s="615" t="s">
        <v>47</v>
      </c>
      <c r="F37" s="1211" t="s">
        <v>425</v>
      </c>
      <c r="G37" s="637"/>
      <c r="H37" s="648">
        <v>120000</v>
      </c>
      <c r="I37" s="638"/>
      <c r="J37" s="647"/>
      <c r="K37" s="648"/>
      <c r="L37" s="638"/>
      <c r="M37" s="648"/>
      <c r="N37" s="648"/>
      <c r="O37" s="648">
        <v>160000</v>
      </c>
      <c r="P37" s="638"/>
      <c r="Q37" s="648"/>
      <c r="R37" s="648"/>
      <c r="S37" s="648"/>
      <c r="T37" s="648"/>
      <c r="U37" s="647"/>
      <c r="V37" s="647" t="s">
        <v>1044</v>
      </c>
      <c r="W37" s="638"/>
      <c r="X37" s="638"/>
      <c r="Y37" s="647"/>
      <c r="Z37" s="648"/>
      <c r="AA37" s="648"/>
      <c r="AB37" s="638"/>
      <c r="AC37" s="648">
        <v>200000</v>
      </c>
      <c r="AD37" s="638"/>
      <c r="AE37" s="647"/>
      <c r="AF37" s="648"/>
      <c r="AG37" s="648"/>
      <c r="AH37" s="638"/>
      <c r="AI37" s="648"/>
      <c r="AJ37" s="648">
        <v>300000</v>
      </c>
      <c r="AK37" s="642"/>
      <c r="AL37" s="1299">
        <f t="shared" si="0"/>
        <v>780000</v>
      </c>
    </row>
    <row r="38" spans="2:41" ht="24.9" customHeight="1">
      <c r="B38" s="2640"/>
      <c r="C38" s="1573">
        <v>3101038401</v>
      </c>
      <c r="D38" s="780" t="s">
        <v>1261</v>
      </c>
      <c r="E38" s="615" t="s">
        <v>47</v>
      </c>
      <c r="F38" s="1211" t="s">
        <v>425</v>
      </c>
      <c r="G38" s="637"/>
      <c r="H38" s="648">
        <v>160000</v>
      </c>
      <c r="I38" s="638"/>
      <c r="J38" s="647"/>
      <c r="K38" s="648"/>
      <c r="L38" s="638"/>
      <c r="M38" s="648"/>
      <c r="N38" s="648"/>
      <c r="O38" s="648">
        <v>40000</v>
      </c>
      <c r="P38" s="638"/>
      <c r="Q38" s="648"/>
      <c r="R38" s="648"/>
      <c r="S38" s="648"/>
      <c r="T38" s="648"/>
      <c r="U38" s="647"/>
      <c r="V38" s="647">
        <v>120000</v>
      </c>
      <c r="W38" s="638"/>
      <c r="X38" s="638"/>
      <c r="Y38" s="647"/>
      <c r="Z38" s="648"/>
      <c r="AA38" s="648"/>
      <c r="AB38" s="638"/>
      <c r="AC38" s="648">
        <v>120000</v>
      </c>
      <c r="AD38" s="638"/>
      <c r="AE38" s="647"/>
      <c r="AF38" s="648"/>
      <c r="AG38" s="648"/>
      <c r="AH38" s="638"/>
      <c r="AI38" s="648"/>
      <c r="AJ38" s="648">
        <v>120000</v>
      </c>
      <c r="AK38" s="642"/>
      <c r="AL38" s="1299">
        <f t="shared" si="0"/>
        <v>560000</v>
      </c>
    </row>
    <row r="39" spans="2:41" ht="24.9" customHeight="1">
      <c r="B39" s="2640"/>
      <c r="C39" s="1572">
        <v>31010982</v>
      </c>
      <c r="D39" s="1237" t="s">
        <v>694</v>
      </c>
      <c r="E39" s="615" t="s">
        <v>47</v>
      </c>
      <c r="F39" s="1211" t="s">
        <v>425</v>
      </c>
      <c r="G39" s="637"/>
      <c r="H39" s="648" t="s">
        <v>1044</v>
      </c>
      <c r="I39" s="638"/>
      <c r="J39" s="647"/>
      <c r="K39" s="648"/>
      <c r="L39" s="638"/>
      <c r="M39" s="648"/>
      <c r="N39" s="648"/>
      <c r="O39" s="648" t="s">
        <v>1044</v>
      </c>
      <c r="P39" s="638"/>
      <c r="Q39" s="648"/>
      <c r="R39" s="648"/>
      <c r="S39" s="648"/>
      <c r="T39" s="648"/>
      <c r="U39" s="647"/>
      <c r="V39" s="647" t="s">
        <v>1044</v>
      </c>
      <c r="W39" s="638"/>
      <c r="X39" s="638"/>
      <c r="Y39" s="647"/>
      <c r="Z39" s="648"/>
      <c r="AA39" s="648"/>
      <c r="AB39" s="638"/>
      <c r="AC39" s="648" t="s">
        <v>1044</v>
      </c>
      <c r="AD39" s="638"/>
      <c r="AE39" s="647"/>
      <c r="AF39" s="648"/>
      <c r="AG39" s="648"/>
      <c r="AH39" s="638"/>
      <c r="AI39" s="648"/>
      <c r="AJ39" s="648" t="s">
        <v>1044</v>
      </c>
      <c r="AK39" s="642"/>
      <c r="AL39" s="1299">
        <f t="shared" si="0"/>
        <v>0</v>
      </c>
    </row>
    <row r="40" spans="2:41" ht="24.9" customHeight="1">
      <c r="B40" s="2640"/>
      <c r="C40" s="746">
        <v>31010383</v>
      </c>
      <c r="D40" s="780" t="s">
        <v>699</v>
      </c>
      <c r="E40" s="615" t="s">
        <v>47</v>
      </c>
      <c r="F40" s="1211" t="s">
        <v>425</v>
      </c>
      <c r="G40" s="637"/>
      <c r="H40" s="648" t="s">
        <v>1044</v>
      </c>
      <c r="I40" s="638"/>
      <c r="J40" s="647"/>
      <c r="K40" s="648"/>
      <c r="L40" s="638"/>
      <c r="M40" s="648"/>
      <c r="N40" s="648"/>
      <c r="O40" s="648" t="s">
        <v>1044</v>
      </c>
      <c r="P40" s="638"/>
      <c r="Q40" s="648"/>
      <c r="R40" s="648"/>
      <c r="S40" s="648"/>
      <c r="T40" s="648"/>
      <c r="U40" s="647"/>
      <c r="V40" s="647" t="s">
        <v>1044</v>
      </c>
      <c r="W40" s="638"/>
      <c r="X40" s="638"/>
      <c r="Y40" s="647"/>
      <c r="Z40" s="648"/>
      <c r="AA40" s="648"/>
      <c r="AB40" s="638"/>
      <c r="AC40" s="648" t="s">
        <v>1044</v>
      </c>
      <c r="AD40" s="638"/>
      <c r="AE40" s="647"/>
      <c r="AF40" s="648"/>
      <c r="AG40" s="648"/>
      <c r="AH40" s="638"/>
      <c r="AI40" s="648"/>
      <c r="AJ40" s="648" t="s">
        <v>1044</v>
      </c>
      <c r="AK40" s="642"/>
      <c r="AL40" s="1299">
        <f t="shared" si="0"/>
        <v>0</v>
      </c>
    </row>
    <row r="41" spans="2:41" ht="24.9" customHeight="1">
      <c r="B41" s="2640"/>
      <c r="C41" s="746">
        <v>31010371</v>
      </c>
      <c r="D41" s="780" t="s">
        <v>376</v>
      </c>
      <c r="E41" s="615" t="s">
        <v>47</v>
      </c>
      <c r="F41" s="1211" t="s">
        <v>425</v>
      </c>
      <c r="G41" s="637"/>
      <c r="H41" s="648" t="s">
        <v>1044</v>
      </c>
      <c r="I41" s="638"/>
      <c r="J41" s="647"/>
      <c r="K41" s="648"/>
      <c r="L41" s="638"/>
      <c r="M41" s="648"/>
      <c r="N41" s="648"/>
      <c r="O41" s="648" t="s">
        <v>1044</v>
      </c>
      <c r="P41" s="638"/>
      <c r="Q41" s="648"/>
      <c r="R41" s="648"/>
      <c r="S41" s="648"/>
      <c r="T41" s="648"/>
      <c r="U41" s="647"/>
      <c r="V41" s="647" t="s">
        <v>1044</v>
      </c>
      <c r="W41" s="638"/>
      <c r="X41" s="638"/>
      <c r="Y41" s="647"/>
      <c r="Z41" s="648"/>
      <c r="AA41" s="648"/>
      <c r="AB41" s="638"/>
      <c r="AC41" s="648" t="s">
        <v>1044</v>
      </c>
      <c r="AD41" s="638"/>
      <c r="AE41" s="647"/>
      <c r="AF41" s="648"/>
      <c r="AG41" s="648"/>
      <c r="AH41" s="638"/>
      <c r="AI41" s="648"/>
      <c r="AJ41" s="648" t="s">
        <v>1044</v>
      </c>
      <c r="AK41" s="642"/>
      <c r="AL41" s="1299">
        <f t="shared" si="0"/>
        <v>0</v>
      </c>
    </row>
    <row r="42" spans="2:41" ht="24.9" customHeight="1">
      <c r="B42" s="2640"/>
      <c r="C42" s="746">
        <v>31010373</v>
      </c>
      <c r="D42" s="780" t="s">
        <v>377</v>
      </c>
      <c r="E42" s="615" t="s">
        <v>47</v>
      </c>
      <c r="F42" s="1211" t="s">
        <v>425</v>
      </c>
      <c r="G42" s="637"/>
      <c r="H42" s="648" t="s">
        <v>1044</v>
      </c>
      <c r="I42" s="638"/>
      <c r="J42" s="647"/>
      <c r="K42" s="648"/>
      <c r="L42" s="638"/>
      <c r="M42" s="648"/>
      <c r="N42" s="648"/>
      <c r="O42" s="648" t="s">
        <v>1044</v>
      </c>
      <c r="P42" s="638"/>
      <c r="Q42" s="648"/>
      <c r="R42" s="648"/>
      <c r="S42" s="648"/>
      <c r="T42" s="648"/>
      <c r="U42" s="647"/>
      <c r="V42" s="647" t="s">
        <v>1044</v>
      </c>
      <c r="W42" s="638"/>
      <c r="X42" s="638"/>
      <c r="Y42" s="647"/>
      <c r="Z42" s="648"/>
      <c r="AA42" s="648"/>
      <c r="AB42" s="638"/>
      <c r="AC42" s="648" t="s">
        <v>1044</v>
      </c>
      <c r="AD42" s="638"/>
      <c r="AE42" s="647"/>
      <c r="AF42" s="648"/>
      <c r="AG42" s="648"/>
      <c r="AH42" s="638"/>
      <c r="AI42" s="648"/>
      <c r="AJ42" s="648" t="s">
        <v>1044</v>
      </c>
      <c r="AK42" s="642"/>
      <c r="AL42" s="1299">
        <f t="shared" si="0"/>
        <v>0</v>
      </c>
    </row>
    <row r="43" spans="2:41" ht="24.9" customHeight="1">
      <c r="B43" s="2640"/>
      <c r="C43" s="746">
        <v>31010374</v>
      </c>
      <c r="D43" s="780" t="s">
        <v>432</v>
      </c>
      <c r="E43" s="615" t="s">
        <v>47</v>
      </c>
      <c r="F43" s="1211" t="s">
        <v>425</v>
      </c>
      <c r="G43" s="637"/>
      <c r="H43" s="648">
        <v>300000</v>
      </c>
      <c r="I43" s="638"/>
      <c r="J43" s="647"/>
      <c r="K43" s="648"/>
      <c r="L43" s="638"/>
      <c r="M43" s="648"/>
      <c r="N43" s="648"/>
      <c r="O43" s="648">
        <v>300000</v>
      </c>
      <c r="P43" s="638"/>
      <c r="Q43" s="648"/>
      <c r="R43" s="648"/>
      <c r="S43" s="648"/>
      <c r="T43" s="648"/>
      <c r="U43" s="647"/>
      <c r="V43" s="647">
        <v>250000</v>
      </c>
      <c r="W43" s="638"/>
      <c r="X43" s="638"/>
      <c r="Y43" s="647"/>
      <c r="Z43" s="648"/>
      <c r="AA43" s="648"/>
      <c r="AB43" s="638"/>
      <c r="AC43" s="648">
        <v>150000</v>
      </c>
      <c r="AD43" s="638"/>
      <c r="AE43" s="647"/>
      <c r="AF43" s="648"/>
      <c r="AG43" s="648"/>
      <c r="AH43" s="638"/>
      <c r="AI43" s="648"/>
      <c r="AJ43" s="648">
        <v>400000</v>
      </c>
      <c r="AK43" s="642"/>
      <c r="AL43" s="1299">
        <f t="shared" si="0"/>
        <v>1400000</v>
      </c>
      <c r="AM43"/>
      <c r="AN43"/>
      <c r="AO43"/>
    </row>
    <row r="44" spans="2:41" ht="24.9" customHeight="1">
      <c r="B44" s="2640"/>
      <c r="C44" s="746">
        <v>31010375</v>
      </c>
      <c r="D44" s="780" t="s">
        <v>378</v>
      </c>
      <c r="E44" s="615" t="s">
        <v>47</v>
      </c>
      <c r="F44" s="1211" t="s">
        <v>425</v>
      </c>
      <c r="G44" s="637"/>
      <c r="H44" s="648">
        <v>350000</v>
      </c>
      <c r="I44" s="638"/>
      <c r="J44" s="647"/>
      <c r="K44" s="648"/>
      <c r="L44" s="638"/>
      <c r="M44" s="648"/>
      <c r="N44" s="648"/>
      <c r="O44" s="648">
        <v>300000</v>
      </c>
      <c r="P44" s="638"/>
      <c r="Q44" s="648"/>
      <c r="R44" s="648"/>
      <c r="S44" s="648"/>
      <c r="T44" s="648"/>
      <c r="U44" s="647"/>
      <c r="V44" s="647">
        <v>300000</v>
      </c>
      <c r="W44" s="638"/>
      <c r="X44" s="638"/>
      <c r="Y44" s="647"/>
      <c r="Z44" s="648"/>
      <c r="AA44" s="648"/>
      <c r="AB44" s="638"/>
      <c r="AC44" s="648">
        <v>150000</v>
      </c>
      <c r="AD44" s="638"/>
      <c r="AE44" s="647"/>
      <c r="AF44" s="648"/>
      <c r="AG44" s="648"/>
      <c r="AH44" s="638"/>
      <c r="AI44" s="648"/>
      <c r="AJ44" s="648">
        <v>400000</v>
      </c>
      <c r="AK44" s="642"/>
      <c r="AL44" s="1299">
        <f t="shared" si="0"/>
        <v>1500000</v>
      </c>
      <c r="AM44"/>
      <c r="AN44"/>
      <c r="AO44"/>
    </row>
    <row r="45" spans="2:41" ht="24.9" customHeight="1">
      <c r="B45" s="2640"/>
      <c r="C45" s="746">
        <v>31010379</v>
      </c>
      <c r="D45" s="780" t="s">
        <v>519</v>
      </c>
      <c r="E45" s="615" t="s">
        <v>47</v>
      </c>
      <c r="F45" s="1211" t="s">
        <v>425</v>
      </c>
      <c r="G45" s="637"/>
      <c r="H45" s="648" t="s">
        <v>1044</v>
      </c>
      <c r="I45" s="638"/>
      <c r="J45" s="647"/>
      <c r="K45" s="648"/>
      <c r="L45" s="638"/>
      <c r="M45" s="648"/>
      <c r="N45" s="648"/>
      <c r="O45" s="648" t="s">
        <v>1044</v>
      </c>
      <c r="P45" s="638"/>
      <c r="Q45" s="648"/>
      <c r="R45" s="648"/>
      <c r="S45" s="648"/>
      <c r="T45" s="648"/>
      <c r="U45" s="647"/>
      <c r="V45" s="647" t="s">
        <v>1044</v>
      </c>
      <c r="W45" s="638"/>
      <c r="X45" s="638"/>
      <c r="Y45" s="647"/>
      <c r="Z45" s="648"/>
      <c r="AA45" s="648"/>
      <c r="AB45" s="638"/>
      <c r="AC45" s="648" t="s">
        <v>1044</v>
      </c>
      <c r="AD45" s="638"/>
      <c r="AE45" s="647"/>
      <c r="AF45" s="648"/>
      <c r="AG45" s="648"/>
      <c r="AH45" s="638"/>
      <c r="AI45" s="648"/>
      <c r="AJ45" s="648" t="s">
        <v>1044</v>
      </c>
      <c r="AK45" s="642"/>
      <c r="AL45" s="1299">
        <f t="shared" si="0"/>
        <v>0</v>
      </c>
      <c r="AM45"/>
      <c r="AN45"/>
      <c r="AO45"/>
    </row>
    <row r="46" spans="2:41" ht="24.9" customHeight="1">
      <c r="B46" s="2640"/>
      <c r="C46" s="746">
        <v>31010668</v>
      </c>
      <c r="D46" s="780" t="s">
        <v>1043</v>
      </c>
      <c r="E46" s="615" t="s">
        <v>47</v>
      </c>
      <c r="F46" s="1211" t="s">
        <v>425</v>
      </c>
      <c r="G46" s="637"/>
      <c r="H46" s="648" t="s">
        <v>1044</v>
      </c>
      <c r="I46" s="638"/>
      <c r="J46" s="647"/>
      <c r="K46" s="648"/>
      <c r="L46" s="638"/>
      <c r="M46" s="648"/>
      <c r="N46" s="648"/>
      <c r="O46" s="648" t="s">
        <v>1044</v>
      </c>
      <c r="P46" s="638"/>
      <c r="Q46" s="648"/>
      <c r="R46" s="648"/>
      <c r="S46" s="648"/>
      <c r="T46" s="648"/>
      <c r="U46" s="647"/>
      <c r="V46" s="647" t="s">
        <v>1044</v>
      </c>
      <c r="W46" s="638"/>
      <c r="X46" s="638"/>
      <c r="Y46" s="647"/>
      <c r="Z46" s="648"/>
      <c r="AA46" s="648"/>
      <c r="AB46" s="638"/>
      <c r="AC46" s="648" t="s">
        <v>1044</v>
      </c>
      <c r="AD46" s="638"/>
      <c r="AE46" s="647"/>
      <c r="AF46" s="648"/>
      <c r="AG46" s="648"/>
      <c r="AH46" s="638"/>
      <c r="AI46" s="648"/>
      <c r="AJ46" s="648">
        <v>50000</v>
      </c>
      <c r="AK46" s="642"/>
      <c r="AL46" s="1299">
        <f t="shared" si="0"/>
        <v>50000</v>
      </c>
      <c r="AM46"/>
      <c r="AN46"/>
      <c r="AO46"/>
    </row>
    <row r="47" spans="2:41" ht="24.9" customHeight="1">
      <c r="B47" s="2640"/>
      <c r="C47" s="746">
        <v>31060459</v>
      </c>
      <c r="D47" s="780" t="s">
        <v>565</v>
      </c>
      <c r="E47" s="615" t="s">
        <v>47</v>
      </c>
      <c r="F47" s="1211" t="s">
        <v>425</v>
      </c>
      <c r="G47" s="637"/>
      <c r="H47" s="648" t="s">
        <v>1044</v>
      </c>
      <c r="I47" s="638"/>
      <c r="J47" s="647"/>
      <c r="K47" s="648"/>
      <c r="L47" s="638"/>
      <c r="M47" s="648"/>
      <c r="N47" s="648"/>
      <c r="O47" s="648" t="s">
        <v>1044</v>
      </c>
      <c r="P47" s="638"/>
      <c r="Q47" s="648"/>
      <c r="R47" s="648"/>
      <c r="S47" s="648"/>
      <c r="T47" s="648"/>
      <c r="U47" s="647"/>
      <c r="V47" s="647">
        <v>100000</v>
      </c>
      <c r="W47" s="638"/>
      <c r="X47" s="638"/>
      <c r="Y47" s="647"/>
      <c r="Z47" s="648"/>
      <c r="AA47" s="648"/>
      <c r="AB47" s="638"/>
      <c r="AC47" s="648" t="s">
        <v>1044</v>
      </c>
      <c r="AD47" s="638"/>
      <c r="AE47" s="647"/>
      <c r="AF47" s="648"/>
      <c r="AG47" s="648"/>
      <c r="AH47" s="638"/>
      <c r="AI47" s="648"/>
      <c r="AJ47" s="648" t="s">
        <v>1044</v>
      </c>
      <c r="AK47" s="642"/>
      <c r="AL47" s="1299">
        <f t="shared" si="0"/>
        <v>100000</v>
      </c>
    </row>
    <row r="48" spans="2:41" ht="24.9" customHeight="1">
      <c r="B48" s="2640"/>
      <c r="C48" s="746">
        <v>31010669</v>
      </c>
      <c r="D48" s="780" t="s">
        <v>532</v>
      </c>
      <c r="E48" s="615" t="s">
        <v>47</v>
      </c>
      <c r="F48" s="1211" t="s">
        <v>425</v>
      </c>
      <c r="G48" s="637"/>
      <c r="H48" s="648" t="s">
        <v>1044</v>
      </c>
      <c r="I48" s="638"/>
      <c r="J48" s="647"/>
      <c r="K48" s="648"/>
      <c r="L48" s="638"/>
      <c r="M48" s="648"/>
      <c r="N48" s="648"/>
      <c r="O48" s="648" t="s">
        <v>1044</v>
      </c>
      <c r="P48" s="638"/>
      <c r="Q48" s="648"/>
      <c r="R48" s="648"/>
      <c r="S48" s="648"/>
      <c r="T48" s="648"/>
      <c r="U48" s="647"/>
      <c r="V48" s="647" t="s">
        <v>1044</v>
      </c>
      <c r="W48" s="638"/>
      <c r="X48" s="638"/>
      <c r="Y48" s="647"/>
      <c r="Z48" s="648"/>
      <c r="AA48" s="648"/>
      <c r="AB48" s="638"/>
      <c r="AC48" s="648" t="s">
        <v>1044</v>
      </c>
      <c r="AD48" s="638"/>
      <c r="AE48" s="647"/>
      <c r="AF48" s="648"/>
      <c r="AG48" s="648"/>
      <c r="AH48" s="638"/>
      <c r="AI48" s="648"/>
      <c r="AJ48" s="648" t="s">
        <v>1044</v>
      </c>
      <c r="AK48" s="642"/>
      <c r="AL48" s="1299">
        <f t="shared" si="0"/>
        <v>0</v>
      </c>
    </row>
    <row r="49" spans="2:38" ht="24.9" customHeight="1">
      <c r="B49" s="2640"/>
      <c r="C49" s="746">
        <v>31010440</v>
      </c>
      <c r="D49" s="780" t="s">
        <v>1842</v>
      </c>
      <c r="E49" s="615" t="s">
        <v>32</v>
      </c>
      <c r="F49" s="1211" t="s">
        <v>46</v>
      </c>
      <c r="G49" s="637"/>
      <c r="H49" s="648" t="s">
        <v>1044</v>
      </c>
      <c r="I49" s="638"/>
      <c r="J49" s="647"/>
      <c r="K49" s="648"/>
      <c r="L49" s="638"/>
      <c r="M49" s="648"/>
      <c r="N49" s="648"/>
      <c r="O49" s="648" t="s">
        <v>1044</v>
      </c>
      <c r="P49" s="638"/>
      <c r="Q49" s="648"/>
      <c r="R49" s="648"/>
      <c r="S49" s="648"/>
      <c r="T49" s="648"/>
      <c r="U49" s="647"/>
      <c r="V49" s="647" t="s">
        <v>1044</v>
      </c>
      <c r="W49" s="638"/>
      <c r="X49" s="638"/>
      <c r="Y49" s="647"/>
      <c r="Z49" s="648"/>
      <c r="AA49" s="648"/>
      <c r="AB49" s="638"/>
      <c r="AC49" s="648" t="s">
        <v>1044</v>
      </c>
      <c r="AD49" s="638"/>
      <c r="AE49" s="647"/>
      <c r="AF49" s="648"/>
      <c r="AG49" s="648"/>
      <c r="AH49" s="638"/>
      <c r="AI49" s="648"/>
      <c r="AJ49" s="648" t="s">
        <v>1044</v>
      </c>
      <c r="AK49" s="642"/>
      <c r="AL49" s="1299">
        <f t="shared" si="0"/>
        <v>0</v>
      </c>
    </row>
    <row r="50" spans="2:38" ht="24.9" customHeight="1">
      <c r="B50" s="2640"/>
      <c r="C50" s="746">
        <v>31010311</v>
      </c>
      <c r="D50" s="780" t="s">
        <v>529</v>
      </c>
      <c r="E50" s="615" t="s">
        <v>47</v>
      </c>
      <c r="F50" s="1211" t="s">
        <v>425</v>
      </c>
      <c r="G50" s="637"/>
      <c r="H50" s="648">
        <v>150000</v>
      </c>
      <c r="I50" s="638"/>
      <c r="J50" s="647"/>
      <c r="K50" s="648"/>
      <c r="L50" s="638"/>
      <c r="M50" s="648"/>
      <c r="N50" s="648"/>
      <c r="O50" s="648">
        <v>200000</v>
      </c>
      <c r="P50" s="638"/>
      <c r="Q50" s="648"/>
      <c r="R50" s="648"/>
      <c r="S50" s="648"/>
      <c r="T50" s="648"/>
      <c r="U50" s="647"/>
      <c r="V50" s="647">
        <v>100000</v>
      </c>
      <c r="W50" s="638"/>
      <c r="X50" s="638"/>
      <c r="Y50" s="647"/>
      <c r="Z50" s="648"/>
      <c r="AA50" s="648"/>
      <c r="AB50" s="638"/>
      <c r="AC50" s="648">
        <v>150000</v>
      </c>
      <c r="AD50" s="638"/>
      <c r="AE50" s="647"/>
      <c r="AF50" s="648"/>
      <c r="AG50" s="648"/>
      <c r="AH50" s="638"/>
      <c r="AI50" s="648"/>
      <c r="AJ50" s="648">
        <v>350000</v>
      </c>
      <c r="AK50" s="642"/>
      <c r="AL50" s="1299">
        <f t="shared" si="0"/>
        <v>950000</v>
      </c>
    </row>
    <row r="51" spans="2:38" ht="24.9" customHeight="1">
      <c r="B51" s="2640"/>
      <c r="C51" s="1572">
        <v>31010369</v>
      </c>
      <c r="D51" s="780" t="s">
        <v>520</v>
      </c>
      <c r="E51" s="615" t="s">
        <v>47</v>
      </c>
      <c r="F51" s="1211" t="s">
        <v>425</v>
      </c>
      <c r="G51" s="637"/>
      <c r="H51" s="648" t="s">
        <v>1044</v>
      </c>
      <c r="I51" s="638"/>
      <c r="J51" s="647"/>
      <c r="K51" s="648"/>
      <c r="L51" s="638"/>
      <c r="M51" s="648"/>
      <c r="N51" s="648"/>
      <c r="O51" s="648" t="s">
        <v>1044</v>
      </c>
      <c r="P51" s="638"/>
      <c r="Q51" s="648"/>
      <c r="R51" s="648"/>
      <c r="S51" s="648"/>
      <c r="T51" s="648"/>
      <c r="U51" s="647"/>
      <c r="V51" s="647" t="s">
        <v>1044</v>
      </c>
      <c r="W51" s="638"/>
      <c r="X51" s="638"/>
      <c r="Y51" s="647"/>
      <c r="Z51" s="648"/>
      <c r="AA51" s="648"/>
      <c r="AB51" s="638"/>
      <c r="AC51" s="648" t="s">
        <v>1044</v>
      </c>
      <c r="AD51" s="638"/>
      <c r="AE51" s="647"/>
      <c r="AF51" s="648"/>
      <c r="AG51" s="648"/>
      <c r="AH51" s="638"/>
      <c r="AI51" s="648"/>
      <c r="AJ51" s="648" t="s">
        <v>1044</v>
      </c>
      <c r="AK51" s="642"/>
      <c r="AL51" s="1299">
        <f t="shared" si="0"/>
        <v>0</v>
      </c>
    </row>
    <row r="52" spans="2:38" ht="24.9" customHeight="1">
      <c r="B52" s="2640"/>
      <c r="C52" s="746">
        <v>31010673</v>
      </c>
      <c r="D52" s="780" t="s">
        <v>521</v>
      </c>
      <c r="E52" s="615" t="s">
        <v>47</v>
      </c>
      <c r="F52" s="1211" t="s">
        <v>425</v>
      </c>
      <c r="G52" s="637"/>
      <c r="H52" s="648" t="s">
        <v>1044</v>
      </c>
      <c r="I52" s="638"/>
      <c r="J52" s="647"/>
      <c r="K52" s="648"/>
      <c r="L52" s="638"/>
      <c r="M52" s="648"/>
      <c r="N52" s="648"/>
      <c r="O52" s="648" t="s">
        <v>1044</v>
      </c>
      <c r="P52" s="638"/>
      <c r="Q52" s="648"/>
      <c r="R52" s="648"/>
      <c r="S52" s="648"/>
      <c r="T52" s="648"/>
      <c r="U52" s="647"/>
      <c r="V52" s="647" t="s">
        <v>1044</v>
      </c>
      <c r="W52" s="638"/>
      <c r="X52" s="638"/>
      <c r="Y52" s="647"/>
      <c r="Z52" s="648"/>
      <c r="AA52" s="648"/>
      <c r="AB52" s="638"/>
      <c r="AC52" s="648" t="s">
        <v>1044</v>
      </c>
      <c r="AD52" s="638"/>
      <c r="AE52" s="647"/>
      <c r="AF52" s="648"/>
      <c r="AG52" s="648"/>
      <c r="AH52" s="638"/>
      <c r="AI52" s="648"/>
      <c r="AJ52" s="648" t="s">
        <v>1044</v>
      </c>
      <c r="AK52" s="642"/>
      <c r="AL52" s="1299">
        <f t="shared" si="0"/>
        <v>0</v>
      </c>
    </row>
    <row r="53" spans="2:38" ht="24.9" customHeight="1">
      <c r="B53" s="2640"/>
      <c r="C53" s="746">
        <v>31010346</v>
      </c>
      <c r="D53" s="780" t="s">
        <v>522</v>
      </c>
      <c r="E53" s="615" t="s">
        <v>47</v>
      </c>
      <c r="F53" s="1211" t="s">
        <v>425</v>
      </c>
      <c r="G53" s="637"/>
      <c r="H53" s="648" t="s">
        <v>1044</v>
      </c>
      <c r="I53" s="638"/>
      <c r="J53" s="647"/>
      <c r="K53" s="648"/>
      <c r="L53" s="638"/>
      <c r="M53" s="648"/>
      <c r="N53" s="648"/>
      <c r="O53" s="648" t="s">
        <v>1044</v>
      </c>
      <c r="P53" s="638"/>
      <c r="Q53" s="648"/>
      <c r="R53" s="648"/>
      <c r="S53" s="648"/>
      <c r="T53" s="648"/>
      <c r="U53" s="647"/>
      <c r="V53" s="647" t="s">
        <v>1044</v>
      </c>
      <c r="W53" s="638"/>
      <c r="X53" s="638"/>
      <c r="Y53" s="647"/>
      <c r="Z53" s="648"/>
      <c r="AA53" s="648"/>
      <c r="AB53" s="638"/>
      <c r="AC53" s="648" t="s">
        <v>1044</v>
      </c>
      <c r="AD53" s="638"/>
      <c r="AE53" s="647"/>
      <c r="AF53" s="648"/>
      <c r="AG53" s="648"/>
      <c r="AH53" s="638"/>
      <c r="AI53" s="648"/>
      <c r="AJ53" s="648" t="s">
        <v>1044</v>
      </c>
      <c r="AK53" s="642"/>
      <c r="AL53" s="1299">
        <f t="shared" si="0"/>
        <v>0</v>
      </c>
    </row>
    <row r="54" spans="2:38" ht="24.9" customHeight="1">
      <c r="B54" s="2640"/>
      <c r="C54" s="746">
        <v>31010345</v>
      </c>
      <c r="D54" s="780" t="s">
        <v>523</v>
      </c>
      <c r="E54" s="615" t="s">
        <v>47</v>
      </c>
      <c r="F54" s="1211" t="s">
        <v>425</v>
      </c>
      <c r="G54" s="637"/>
      <c r="H54" s="648" t="s">
        <v>1044</v>
      </c>
      <c r="I54" s="638"/>
      <c r="J54" s="647"/>
      <c r="K54" s="648"/>
      <c r="L54" s="638"/>
      <c r="M54" s="648"/>
      <c r="N54" s="648"/>
      <c r="O54" s="648" t="s">
        <v>1044</v>
      </c>
      <c r="P54" s="638"/>
      <c r="Q54" s="648"/>
      <c r="R54" s="648"/>
      <c r="S54" s="648"/>
      <c r="T54" s="648"/>
      <c r="U54" s="647"/>
      <c r="V54" s="647" t="s">
        <v>1044</v>
      </c>
      <c r="W54" s="638"/>
      <c r="X54" s="638"/>
      <c r="Y54" s="647"/>
      <c r="Z54" s="648"/>
      <c r="AA54" s="648"/>
      <c r="AB54" s="638"/>
      <c r="AC54" s="648" t="s">
        <v>1044</v>
      </c>
      <c r="AD54" s="638"/>
      <c r="AE54" s="647"/>
      <c r="AF54" s="648"/>
      <c r="AG54" s="648"/>
      <c r="AH54" s="638"/>
      <c r="AI54" s="648"/>
      <c r="AJ54" s="648" t="s">
        <v>1044</v>
      </c>
      <c r="AK54" s="642"/>
      <c r="AL54" s="1299">
        <f t="shared" si="0"/>
        <v>0</v>
      </c>
    </row>
    <row r="55" spans="2:38" ht="24.9" customHeight="1">
      <c r="B55" s="2640"/>
      <c r="C55" s="746">
        <v>31011253</v>
      </c>
      <c r="D55" s="780" t="s">
        <v>1529</v>
      </c>
      <c r="E55" s="615" t="s">
        <v>47</v>
      </c>
      <c r="F55" s="1211" t="s">
        <v>425</v>
      </c>
      <c r="G55" s="637"/>
      <c r="H55" s="648" t="s">
        <v>1044</v>
      </c>
      <c r="I55" s="638"/>
      <c r="J55" s="647"/>
      <c r="K55" s="648"/>
      <c r="L55" s="638"/>
      <c r="M55" s="648"/>
      <c r="N55" s="648"/>
      <c r="O55" s="648" t="s">
        <v>1044</v>
      </c>
      <c r="P55" s="638"/>
      <c r="Q55" s="648"/>
      <c r="R55" s="648"/>
      <c r="S55" s="648"/>
      <c r="T55" s="648"/>
      <c r="U55" s="647"/>
      <c r="V55" s="647" t="s">
        <v>1044</v>
      </c>
      <c r="W55" s="638"/>
      <c r="X55" s="638"/>
      <c r="Y55" s="647"/>
      <c r="Z55" s="648"/>
      <c r="AA55" s="648"/>
      <c r="AB55" s="638"/>
      <c r="AC55" s="648" t="s">
        <v>1044</v>
      </c>
      <c r="AD55" s="638"/>
      <c r="AE55" s="647"/>
      <c r="AF55" s="648"/>
      <c r="AG55" s="648"/>
      <c r="AH55" s="638"/>
      <c r="AI55" s="648"/>
      <c r="AJ55" s="648">
        <v>100000</v>
      </c>
      <c r="AK55" s="642"/>
      <c r="AL55" s="1299">
        <f t="shared" si="0"/>
        <v>100000</v>
      </c>
    </row>
    <row r="56" spans="2:38" ht="24.9" customHeight="1">
      <c r="B56" s="2640"/>
      <c r="C56" s="746">
        <v>31011254</v>
      </c>
      <c r="D56" s="780" t="s">
        <v>1530</v>
      </c>
      <c r="E56" s="615" t="s">
        <v>47</v>
      </c>
      <c r="F56" s="1211" t="s">
        <v>425</v>
      </c>
      <c r="G56" s="637"/>
      <c r="H56" s="648" t="s">
        <v>1044</v>
      </c>
      <c r="I56" s="638"/>
      <c r="J56" s="647"/>
      <c r="K56" s="648"/>
      <c r="L56" s="638"/>
      <c r="M56" s="648"/>
      <c r="N56" s="648"/>
      <c r="O56" s="648" t="s">
        <v>1044</v>
      </c>
      <c r="P56" s="638"/>
      <c r="Q56" s="648"/>
      <c r="R56" s="648"/>
      <c r="S56" s="648"/>
      <c r="T56" s="648"/>
      <c r="U56" s="647"/>
      <c r="V56" s="647" t="s">
        <v>1044</v>
      </c>
      <c r="W56" s="638"/>
      <c r="X56" s="638"/>
      <c r="Y56" s="647"/>
      <c r="Z56" s="648"/>
      <c r="AA56" s="648"/>
      <c r="AB56" s="638"/>
      <c r="AC56" s="648" t="s">
        <v>1044</v>
      </c>
      <c r="AD56" s="638"/>
      <c r="AE56" s="647"/>
      <c r="AF56" s="648"/>
      <c r="AG56" s="648"/>
      <c r="AH56" s="638"/>
      <c r="AI56" s="648"/>
      <c r="AJ56" s="648">
        <v>100000</v>
      </c>
      <c r="AK56" s="642"/>
      <c r="AL56" s="1299">
        <f t="shared" si="0"/>
        <v>100000</v>
      </c>
    </row>
    <row r="57" spans="2:38" ht="24.9" customHeight="1">
      <c r="B57" s="2640"/>
      <c r="C57" s="615">
        <v>31010158</v>
      </c>
      <c r="D57" s="617" t="s">
        <v>35</v>
      </c>
      <c r="E57" s="770" t="s">
        <v>32</v>
      </c>
      <c r="F57" s="1210" t="s">
        <v>36</v>
      </c>
      <c r="G57" s="640"/>
      <c r="H57" s="648" t="s">
        <v>1044</v>
      </c>
      <c r="I57" s="612"/>
      <c r="J57" s="647"/>
      <c r="K57" s="648"/>
      <c r="L57" s="612"/>
      <c r="M57" s="648"/>
      <c r="N57" s="648"/>
      <c r="O57" s="648" t="s">
        <v>1044</v>
      </c>
      <c r="P57" s="612"/>
      <c r="Q57" s="648"/>
      <c r="R57" s="648"/>
      <c r="S57" s="648"/>
      <c r="T57" s="648"/>
      <c r="U57" s="647"/>
      <c r="V57" s="647" t="s">
        <v>1044</v>
      </c>
      <c r="W57" s="612"/>
      <c r="X57" s="612"/>
      <c r="Y57" s="647"/>
      <c r="Z57" s="648"/>
      <c r="AA57" s="648"/>
      <c r="AB57" s="612"/>
      <c r="AC57" s="648" t="s">
        <v>1044</v>
      </c>
      <c r="AD57" s="612"/>
      <c r="AE57" s="647"/>
      <c r="AF57" s="648"/>
      <c r="AG57" s="648"/>
      <c r="AH57" s="612"/>
      <c r="AI57" s="648"/>
      <c r="AJ57" s="648" t="s">
        <v>1044</v>
      </c>
      <c r="AK57" s="643"/>
      <c r="AL57" s="1299">
        <f t="shared" si="0"/>
        <v>0</v>
      </c>
    </row>
    <row r="58" spans="2:38" ht="24.9" customHeight="1">
      <c r="B58" s="2640"/>
      <c r="C58" s="615">
        <v>31010159</v>
      </c>
      <c r="D58" s="617" t="s">
        <v>37</v>
      </c>
      <c r="E58" s="770" t="s">
        <v>32</v>
      </c>
      <c r="F58" s="1210" t="s">
        <v>36</v>
      </c>
      <c r="G58" s="640"/>
      <c r="H58" s="648" t="s">
        <v>1044</v>
      </c>
      <c r="I58" s="612"/>
      <c r="J58" s="647"/>
      <c r="K58" s="648"/>
      <c r="L58" s="612"/>
      <c r="M58" s="648"/>
      <c r="N58" s="648"/>
      <c r="O58" s="648" t="s">
        <v>1044</v>
      </c>
      <c r="P58" s="612"/>
      <c r="Q58" s="648"/>
      <c r="R58" s="648"/>
      <c r="S58" s="648"/>
      <c r="T58" s="648"/>
      <c r="U58" s="647"/>
      <c r="V58" s="647" t="s">
        <v>1044</v>
      </c>
      <c r="W58" s="612"/>
      <c r="X58" s="612"/>
      <c r="Y58" s="647"/>
      <c r="Z58" s="648"/>
      <c r="AA58" s="648"/>
      <c r="AB58" s="612"/>
      <c r="AC58" s="648" t="s">
        <v>1044</v>
      </c>
      <c r="AD58" s="612"/>
      <c r="AE58" s="647"/>
      <c r="AF58" s="648"/>
      <c r="AG58" s="648"/>
      <c r="AH58" s="612"/>
      <c r="AI58" s="648"/>
      <c r="AJ58" s="648" t="s">
        <v>1044</v>
      </c>
      <c r="AK58" s="643"/>
      <c r="AL58" s="1299">
        <f t="shared" si="0"/>
        <v>0</v>
      </c>
    </row>
    <row r="59" spans="2:38" ht="24.9" customHeight="1">
      <c r="B59" s="2640"/>
      <c r="C59" s="615">
        <v>31010160</v>
      </c>
      <c r="D59" s="617" t="s">
        <v>38</v>
      </c>
      <c r="E59" s="770" t="s">
        <v>32</v>
      </c>
      <c r="F59" s="1210" t="s">
        <v>36</v>
      </c>
      <c r="G59" s="640"/>
      <c r="H59" s="648" t="s">
        <v>1044</v>
      </c>
      <c r="I59" s="612"/>
      <c r="J59" s="647"/>
      <c r="K59" s="648"/>
      <c r="L59" s="612"/>
      <c r="M59" s="648"/>
      <c r="N59" s="648"/>
      <c r="O59" s="648" t="s">
        <v>1044</v>
      </c>
      <c r="P59" s="612"/>
      <c r="Q59" s="648"/>
      <c r="R59" s="648"/>
      <c r="S59" s="648"/>
      <c r="T59" s="648"/>
      <c r="U59" s="647"/>
      <c r="V59" s="647" t="s">
        <v>1044</v>
      </c>
      <c r="W59" s="612"/>
      <c r="X59" s="612"/>
      <c r="Y59" s="647"/>
      <c r="Z59" s="648"/>
      <c r="AA59" s="648"/>
      <c r="AB59" s="612"/>
      <c r="AC59" s="648" t="s">
        <v>1044</v>
      </c>
      <c r="AD59" s="612"/>
      <c r="AE59" s="647"/>
      <c r="AF59" s="648"/>
      <c r="AG59" s="648"/>
      <c r="AH59" s="612"/>
      <c r="AI59" s="648"/>
      <c r="AJ59" s="648" t="s">
        <v>1044</v>
      </c>
      <c r="AK59" s="643"/>
      <c r="AL59" s="1299">
        <f t="shared" si="0"/>
        <v>0</v>
      </c>
    </row>
    <row r="60" spans="2:38" ht="24.9" customHeight="1">
      <c r="B60" s="2640"/>
      <c r="C60" s="615">
        <v>31010161</v>
      </c>
      <c r="D60" s="617" t="s">
        <v>39</v>
      </c>
      <c r="E60" s="770" t="s">
        <v>32</v>
      </c>
      <c r="F60" s="1210" t="s">
        <v>36</v>
      </c>
      <c r="G60" s="640"/>
      <c r="H60" s="648" t="s">
        <v>1044</v>
      </c>
      <c r="I60" s="612"/>
      <c r="J60" s="647"/>
      <c r="K60" s="648"/>
      <c r="L60" s="612"/>
      <c r="M60" s="648"/>
      <c r="N60" s="648"/>
      <c r="O60" s="648" t="s">
        <v>1044</v>
      </c>
      <c r="P60" s="612"/>
      <c r="Q60" s="648"/>
      <c r="R60" s="648"/>
      <c r="S60" s="648"/>
      <c r="T60" s="648"/>
      <c r="U60" s="647"/>
      <c r="V60" s="647" t="s">
        <v>1044</v>
      </c>
      <c r="W60" s="612"/>
      <c r="X60" s="612"/>
      <c r="Y60" s="647"/>
      <c r="Z60" s="648"/>
      <c r="AA60" s="648"/>
      <c r="AB60" s="612"/>
      <c r="AC60" s="648" t="s">
        <v>1044</v>
      </c>
      <c r="AD60" s="612"/>
      <c r="AE60" s="647"/>
      <c r="AF60" s="648"/>
      <c r="AG60" s="648"/>
      <c r="AH60" s="612"/>
      <c r="AI60" s="648"/>
      <c r="AJ60" s="648" t="s">
        <v>1044</v>
      </c>
      <c r="AK60" s="643"/>
      <c r="AL60" s="1299">
        <f t="shared" si="0"/>
        <v>0</v>
      </c>
    </row>
    <row r="61" spans="2:38" ht="24.9" customHeight="1">
      <c r="B61" s="2640"/>
      <c r="C61" s="615">
        <v>31010170</v>
      </c>
      <c r="D61" s="617" t="s">
        <v>323</v>
      </c>
      <c r="E61" s="770" t="s">
        <v>32</v>
      </c>
      <c r="F61" s="1210" t="s">
        <v>36</v>
      </c>
      <c r="G61" s="640"/>
      <c r="H61" s="648" t="s">
        <v>1044</v>
      </c>
      <c r="I61" s="612"/>
      <c r="J61" s="647"/>
      <c r="K61" s="648"/>
      <c r="L61" s="612"/>
      <c r="M61" s="648"/>
      <c r="N61" s="648"/>
      <c r="O61" s="648" t="s">
        <v>1044</v>
      </c>
      <c r="P61" s="612"/>
      <c r="Q61" s="648"/>
      <c r="R61" s="648"/>
      <c r="S61" s="648"/>
      <c r="T61" s="648"/>
      <c r="U61" s="647"/>
      <c r="V61" s="647">
        <v>5000</v>
      </c>
      <c r="W61" s="612"/>
      <c r="X61" s="612"/>
      <c r="Y61" s="647"/>
      <c r="Z61" s="648"/>
      <c r="AA61" s="648"/>
      <c r="AB61" s="612"/>
      <c r="AC61" s="648" t="s">
        <v>1044</v>
      </c>
      <c r="AD61" s="612"/>
      <c r="AE61" s="647"/>
      <c r="AF61" s="648"/>
      <c r="AG61" s="648"/>
      <c r="AH61" s="612"/>
      <c r="AI61" s="648"/>
      <c r="AJ61" s="648">
        <v>5000</v>
      </c>
      <c r="AK61" s="643"/>
      <c r="AL61" s="1299">
        <f t="shared" si="0"/>
        <v>10000</v>
      </c>
    </row>
    <row r="62" spans="2:38" ht="24.9" customHeight="1">
      <c r="B62" s="2640"/>
      <c r="C62" s="615">
        <v>31010171</v>
      </c>
      <c r="D62" s="617" t="s">
        <v>325</v>
      </c>
      <c r="E62" s="770" t="s">
        <v>32</v>
      </c>
      <c r="F62" s="1210" t="s">
        <v>36</v>
      </c>
      <c r="G62" s="640"/>
      <c r="H62" s="648" t="s">
        <v>1044</v>
      </c>
      <c r="I62" s="612"/>
      <c r="J62" s="647"/>
      <c r="K62" s="648"/>
      <c r="L62" s="612"/>
      <c r="M62" s="648"/>
      <c r="N62" s="648"/>
      <c r="O62" s="648" t="s">
        <v>1044</v>
      </c>
      <c r="P62" s="612"/>
      <c r="Q62" s="648"/>
      <c r="R62" s="648"/>
      <c r="S62" s="648"/>
      <c r="T62" s="648"/>
      <c r="U62" s="647"/>
      <c r="V62" s="647">
        <v>5000</v>
      </c>
      <c r="W62" s="612"/>
      <c r="X62" s="612"/>
      <c r="Y62" s="647"/>
      <c r="Z62" s="648"/>
      <c r="AA62" s="648"/>
      <c r="AB62" s="612"/>
      <c r="AC62" s="648" t="s">
        <v>1044</v>
      </c>
      <c r="AD62" s="612"/>
      <c r="AE62" s="647"/>
      <c r="AF62" s="648"/>
      <c r="AG62" s="648"/>
      <c r="AH62" s="612"/>
      <c r="AI62" s="648"/>
      <c r="AJ62" s="648">
        <v>5000</v>
      </c>
      <c r="AK62" s="643"/>
      <c r="AL62" s="1299">
        <f t="shared" si="0"/>
        <v>10000</v>
      </c>
    </row>
    <row r="63" spans="2:38" ht="24.9" customHeight="1">
      <c r="B63" s="2640"/>
      <c r="C63" s="615">
        <v>31010154</v>
      </c>
      <c r="D63" s="617" t="s">
        <v>40</v>
      </c>
      <c r="E63" s="770" t="s">
        <v>32</v>
      </c>
      <c r="F63" s="1210" t="s">
        <v>36</v>
      </c>
      <c r="G63" s="640"/>
      <c r="H63" s="648" t="s">
        <v>1044</v>
      </c>
      <c r="I63" s="612"/>
      <c r="J63" s="647"/>
      <c r="K63" s="648"/>
      <c r="L63" s="612"/>
      <c r="M63" s="648"/>
      <c r="N63" s="648"/>
      <c r="O63" s="648" t="s">
        <v>1044</v>
      </c>
      <c r="P63" s="612"/>
      <c r="Q63" s="648"/>
      <c r="R63" s="648"/>
      <c r="S63" s="648"/>
      <c r="T63" s="648"/>
      <c r="U63" s="647"/>
      <c r="V63" s="647" t="s">
        <v>1044</v>
      </c>
      <c r="W63" s="612"/>
      <c r="X63" s="612"/>
      <c r="Y63" s="647"/>
      <c r="Z63" s="648"/>
      <c r="AA63" s="648"/>
      <c r="AB63" s="612"/>
      <c r="AC63" s="648" t="s">
        <v>1044</v>
      </c>
      <c r="AD63" s="612"/>
      <c r="AE63" s="647"/>
      <c r="AF63" s="648"/>
      <c r="AG63" s="648"/>
      <c r="AH63" s="612"/>
      <c r="AI63" s="648"/>
      <c r="AJ63" s="648" t="s">
        <v>1044</v>
      </c>
      <c r="AK63" s="643"/>
      <c r="AL63" s="1299">
        <f t="shared" si="0"/>
        <v>0</v>
      </c>
    </row>
    <row r="64" spans="2:38" ht="24.9" customHeight="1">
      <c r="B64" s="2640"/>
      <c r="C64" s="615">
        <v>31010155</v>
      </c>
      <c r="D64" s="617" t="s">
        <v>41</v>
      </c>
      <c r="E64" s="770" t="s">
        <v>32</v>
      </c>
      <c r="F64" s="1210" t="s">
        <v>36</v>
      </c>
      <c r="G64" s="640"/>
      <c r="H64" s="648" t="s">
        <v>1044</v>
      </c>
      <c r="I64" s="612"/>
      <c r="J64" s="647"/>
      <c r="K64" s="648"/>
      <c r="L64" s="612"/>
      <c r="M64" s="648"/>
      <c r="N64" s="648"/>
      <c r="O64" s="648" t="s">
        <v>1044</v>
      </c>
      <c r="P64" s="612"/>
      <c r="Q64" s="648"/>
      <c r="R64" s="648"/>
      <c r="S64" s="648"/>
      <c r="T64" s="648"/>
      <c r="U64" s="647"/>
      <c r="V64" s="647" t="s">
        <v>1044</v>
      </c>
      <c r="W64" s="612"/>
      <c r="X64" s="612"/>
      <c r="Y64" s="647"/>
      <c r="Z64" s="648"/>
      <c r="AA64" s="648"/>
      <c r="AB64" s="612"/>
      <c r="AC64" s="648" t="s">
        <v>1044</v>
      </c>
      <c r="AD64" s="612"/>
      <c r="AE64" s="647"/>
      <c r="AF64" s="648"/>
      <c r="AG64" s="648"/>
      <c r="AH64" s="612"/>
      <c r="AI64" s="648"/>
      <c r="AJ64" s="648" t="s">
        <v>1044</v>
      </c>
      <c r="AK64" s="643"/>
      <c r="AL64" s="1299">
        <f t="shared" si="0"/>
        <v>0</v>
      </c>
    </row>
    <row r="65" spans="2:38" ht="24.9" customHeight="1">
      <c r="B65" s="2640"/>
      <c r="C65" s="615">
        <v>31010156</v>
      </c>
      <c r="D65" s="617" t="s">
        <v>511</v>
      </c>
      <c r="E65" s="770" t="s">
        <v>32</v>
      </c>
      <c r="F65" s="1210" t="s">
        <v>36</v>
      </c>
      <c r="G65" s="640"/>
      <c r="H65" s="648" t="s">
        <v>1044</v>
      </c>
      <c r="I65" s="612"/>
      <c r="J65" s="647"/>
      <c r="K65" s="648"/>
      <c r="L65" s="612"/>
      <c r="M65" s="648"/>
      <c r="N65" s="648"/>
      <c r="O65" s="648" t="s">
        <v>1044</v>
      </c>
      <c r="P65" s="612"/>
      <c r="Q65" s="648"/>
      <c r="R65" s="648"/>
      <c r="S65" s="648"/>
      <c r="T65" s="648"/>
      <c r="U65" s="647"/>
      <c r="V65" s="647" t="s">
        <v>1044</v>
      </c>
      <c r="W65" s="612"/>
      <c r="X65" s="612"/>
      <c r="Y65" s="647"/>
      <c r="Z65" s="648"/>
      <c r="AA65" s="648"/>
      <c r="AB65" s="612"/>
      <c r="AC65" s="648" t="s">
        <v>1044</v>
      </c>
      <c r="AD65" s="612"/>
      <c r="AE65" s="647"/>
      <c r="AF65" s="648"/>
      <c r="AG65" s="648"/>
      <c r="AH65" s="612"/>
      <c r="AI65" s="648"/>
      <c r="AJ65" s="648" t="s">
        <v>1044</v>
      </c>
      <c r="AK65" s="643"/>
      <c r="AL65" s="1299">
        <f t="shared" ref="AL65:AL178" si="1">SUM(G65:AK65)</f>
        <v>0</v>
      </c>
    </row>
    <row r="66" spans="2:38" ht="24.9" customHeight="1">
      <c r="B66" s="2640"/>
      <c r="C66" s="615">
        <v>31010157</v>
      </c>
      <c r="D66" s="617" t="s">
        <v>512</v>
      </c>
      <c r="E66" s="770" t="s">
        <v>32</v>
      </c>
      <c r="F66" s="1210" t="s">
        <v>36</v>
      </c>
      <c r="G66" s="640"/>
      <c r="H66" s="648" t="s">
        <v>1044</v>
      </c>
      <c r="I66" s="612"/>
      <c r="J66" s="647"/>
      <c r="K66" s="648"/>
      <c r="L66" s="612"/>
      <c r="M66" s="648"/>
      <c r="N66" s="648"/>
      <c r="O66" s="648" t="s">
        <v>1044</v>
      </c>
      <c r="P66" s="612"/>
      <c r="Q66" s="648"/>
      <c r="R66" s="648"/>
      <c r="S66" s="648"/>
      <c r="T66" s="648"/>
      <c r="U66" s="647"/>
      <c r="V66" s="647" t="s">
        <v>1044</v>
      </c>
      <c r="W66" s="612"/>
      <c r="X66" s="612"/>
      <c r="Y66" s="647"/>
      <c r="Z66" s="648"/>
      <c r="AA66" s="648"/>
      <c r="AB66" s="612"/>
      <c r="AC66" s="648" t="s">
        <v>1044</v>
      </c>
      <c r="AD66" s="612"/>
      <c r="AE66" s="647"/>
      <c r="AF66" s="648"/>
      <c r="AG66" s="648"/>
      <c r="AH66" s="612"/>
      <c r="AI66" s="648"/>
      <c r="AJ66" s="648" t="s">
        <v>1044</v>
      </c>
      <c r="AK66" s="643"/>
      <c r="AL66" s="1299">
        <f t="shared" si="1"/>
        <v>0</v>
      </c>
    </row>
    <row r="67" spans="2:38" ht="24.9" customHeight="1">
      <c r="B67" s="2640"/>
      <c r="C67" s="615">
        <v>31010162</v>
      </c>
      <c r="D67" s="617" t="s">
        <v>330</v>
      </c>
      <c r="E67" s="770" t="s">
        <v>32</v>
      </c>
      <c r="F67" s="1210" t="s">
        <v>433</v>
      </c>
      <c r="G67" s="640"/>
      <c r="H67" s="648" t="s">
        <v>1044</v>
      </c>
      <c r="I67" s="612"/>
      <c r="J67" s="647"/>
      <c r="K67" s="648"/>
      <c r="L67" s="612"/>
      <c r="M67" s="648"/>
      <c r="N67" s="648"/>
      <c r="O67" s="648" t="s">
        <v>1044</v>
      </c>
      <c r="P67" s="612"/>
      <c r="Q67" s="648"/>
      <c r="R67" s="648"/>
      <c r="S67" s="648"/>
      <c r="T67" s="648"/>
      <c r="U67" s="647"/>
      <c r="V67" s="647" t="s">
        <v>1044</v>
      </c>
      <c r="W67" s="612"/>
      <c r="X67" s="612"/>
      <c r="Y67" s="647"/>
      <c r="Z67" s="648"/>
      <c r="AA67" s="648"/>
      <c r="AB67" s="612"/>
      <c r="AC67" s="648" t="s">
        <v>1044</v>
      </c>
      <c r="AD67" s="612"/>
      <c r="AE67" s="647"/>
      <c r="AF67" s="648"/>
      <c r="AG67" s="648"/>
      <c r="AH67" s="612"/>
      <c r="AI67" s="648"/>
      <c r="AJ67" s="648" t="s">
        <v>1044</v>
      </c>
      <c r="AK67" s="643"/>
      <c r="AL67" s="1299">
        <f t="shared" si="1"/>
        <v>0</v>
      </c>
    </row>
    <row r="68" spans="2:38" ht="24.9" customHeight="1">
      <c r="B68" s="2640"/>
      <c r="C68" s="615">
        <v>31010163</v>
      </c>
      <c r="D68" s="617" t="s">
        <v>331</v>
      </c>
      <c r="E68" s="770" t="s">
        <v>32</v>
      </c>
      <c r="F68" s="1210" t="s">
        <v>433</v>
      </c>
      <c r="G68" s="640"/>
      <c r="H68" s="648" t="s">
        <v>1044</v>
      </c>
      <c r="I68" s="612"/>
      <c r="J68" s="647"/>
      <c r="K68" s="648"/>
      <c r="L68" s="612"/>
      <c r="M68" s="648"/>
      <c r="N68" s="648"/>
      <c r="O68" s="648" t="s">
        <v>1044</v>
      </c>
      <c r="P68" s="612"/>
      <c r="Q68" s="648"/>
      <c r="R68" s="648"/>
      <c r="S68" s="648"/>
      <c r="T68" s="648"/>
      <c r="U68" s="647"/>
      <c r="V68" s="647" t="s">
        <v>1044</v>
      </c>
      <c r="W68" s="612"/>
      <c r="X68" s="612"/>
      <c r="Y68" s="647"/>
      <c r="Z68" s="648"/>
      <c r="AA68" s="648"/>
      <c r="AB68" s="612"/>
      <c r="AC68" s="648" t="s">
        <v>1044</v>
      </c>
      <c r="AD68" s="612"/>
      <c r="AE68" s="647"/>
      <c r="AF68" s="648"/>
      <c r="AG68" s="648"/>
      <c r="AH68" s="612"/>
      <c r="AI68" s="648"/>
      <c r="AJ68" s="648" t="s">
        <v>1044</v>
      </c>
      <c r="AK68" s="643"/>
      <c r="AL68" s="1299">
        <f t="shared" si="1"/>
        <v>0</v>
      </c>
    </row>
    <row r="69" spans="2:38" ht="24.9" customHeight="1">
      <c r="B69" s="2640"/>
      <c r="C69" s="615">
        <v>31010152</v>
      </c>
      <c r="D69" s="617" t="s">
        <v>42</v>
      </c>
      <c r="E69" s="770" t="s">
        <v>32</v>
      </c>
      <c r="F69" s="1210" t="s">
        <v>36</v>
      </c>
      <c r="G69" s="640"/>
      <c r="H69" s="648" t="s">
        <v>1044</v>
      </c>
      <c r="I69" s="612"/>
      <c r="J69" s="647"/>
      <c r="K69" s="648"/>
      <c r="L69" s="612"/>
      <c r="M69" s="648"/>
      <c r="N69" s="648"/>
      <c r="O69" s="648" t="s">
        <v>1044</v>
      </c>
      <c r="P69" s="612"/>
      <c r="Q69" s="648"/>
      <c r="R69" s="648"/>
      <c r="S69" s="648"/>
      <c r="T69" s="648"/>
      <c r="U69" s="647"/>
      <c r="V69" s="647" t="s">
        <v>1044</v>
      </c>
      <c r="W69" s="612"/>
      <c r="X69" s="612"/>
      <c r="Y69" s="647"/>
      <c r="Z69" s="648"/>
      <c r="AA69" s="648"/>
      <c r="AB69" s="612"/>
      <c r="AC69" s="648" t="s">
        <v>1044</v>
      </c>
      <c r="AD69" s="612"/>
      <c r="AE69" s="647"/>
      <c r="AF69" s="648"/>
      <c r="AG69" s="648"/>
      <c r="AH69" s="612"/>
      <c r="AI69" s="648"/>
      <c r="AJ69" s="648" t="s">
        <v>1044</v>
      </c>
      <c r="AK69" s="643"/>
      <c r="AL69" s="1299">
        <f t="shared" si="1"/>
        <v>0</v>
      </c>
    </row>
    <row r="70" spans="2:38" ht="24.9" customHeight="1">
      <c r="B70" s="2640"/>
      <c r="C70" s="245">
        <v>31010153</v>
      </c>
      <c r="D70" s="242" t="s">
        <v>43</v>
      </c>
      <c r="E70" s="243" t="s">
        <v>32</v>
      </c>
      <c r="F70" s="1210" t="s">
        <v>36</v>
      </c>
      <c r="G70" s="640"/>
      <c r="H70" s="648" t="s">
        <v>1044</v>
      </c>
      <c r="I70" s="612"/>
      <c r="J70" s="647"/>
      <c r="K70" s="648"/>
      <c r="L70" s="612"/>
      <c r="M70" s="648"/>
      <c r="N70" s="648"/>
      <c r="O70" s="648" t="s">
        <v>1044</v>
      </c>
      <c r="P70" s="612"/>
      <c r="Q70" s="648"/>
      <c r="R70" s="648"/>
      <c r="S70" s="648"/>
      <c r="T70" s="648"/>
      <c r="U70" s="647"/>
      <c r="V70" s="647" t="s">
        <v>1044</v>
      </c>
      <c r="W70" s="612"/>
      <c r="X70" s="612"/>
      <c r="Y70" s="647"/>
      <c r="Z70" s="648"/>
      <c r="AA70" s="648"/>
      <c r="AB70" s="612"/>
      <c r="AC70" s="648" t="s">
        <v>1044</v>
      </c>
      <c r="AD70" s="612"/>
      <c r="AE70" s="647"/>
      <c r="AF70" s="648"/>
      <c r="AG70" s="648"/>
      <c r="AH70" s="612"/>
      <c r="AI70" s="648"/>
      <c r="AJ70" s="648" t="s">
        <v>1044</v>
      </c>
      <c r="AK70" s="643"/>
      <c r="AL70" s="1299">
        <f t="shared" si="1"/>
        <v>0</v>
      </c>
    </row>
    <row r="71" spans="2:38" ht="24.9" customHeight="1">
      <c r="B71" s="2640"/>
      <c r="C71" s="245">
        <v>31010177</v>
      </c>
      <c r="D71" s="242" t="s">
        <v>332</v>
      </c>
      <c r="E71" s="243" t="s">
        <v>32</v>
      </c>
      <c r="F71" s="1210" t="s">
        <v>36</v>
      </c>
      <c r="G71" s="640"/>
      <c r="H71" s="648" t="s">
        <v>1044</v>
      </c>
      <c r="I71" s="612"/>
      <c r="J71" s="647"/>
      <c r="K71" s="648"/>
      <c r="L71" s="612"/>
      <c r="M71" s="648"/>
      <c r="N71" s="648"/>
      <c r="O71" s="648" t="s">
        <v>1044</v>
      </c>
      <c r="P71" s="612"/>
      <c r="Q71" s="648"/>
      <c r="R71" s="648"/>
      <c r="S71" s="648"/>
      <c r="T71" s="648"/>
      <c r="U71" s="647"/>
      <c r="V71" s="647" t="s">
        <v>1044</v>
      </c>
      <c r="W71" s="612"/>
      <c r="X71" s="612"/>
      <c r="Y71" s="647"/>
      <c r="Z71" s="648"/>
      <c r="AA71" s="648"/>
      <c r="AB71" s="612"/>
      <c r="AC71" s="648" t="s">
        <v>1044</v>
      </c>
      <c r="AD71" s="612"/>
      <c r="AE71" s="647"/>
      <c r="AF71" s="648"/>
      <c r="AG71" s="648"/>
      <c r="AH71" s="612"/>
      <c r="AI71" s="648"/>
      <c r="AJ71" s="648" t="s">
        <v>1044</v>
      </c>
      <c r="AK71" s="643"/>
      <c r="AL71" s="1299">
        <f t="shared" si="1"/>
        <v>0</v>
      </c>
    </row>
    <row r="72" spans="2:38" ht="24.9" customHeight="1">
      <c r="B72" s="2640"/>
      <c r="C72" s="245">
        <v>31010178</v>
      </c>
      <c r="D72" s="242" t="s">
        <v>333</v>
      </c>
      <c r="E72" s="243" t="s">
        <v>32</v>
      </c>
      <c r="F72" s="1210" t="s">
        <v>36</v>
      </c>
      <c r="G72" s="640"/>
      <c r="H72" s="648" t="s">
        <v>1044</v>
      </c>
      <c r="I72" s="612"/>
      <c r="J72" s="647"/>
      <c r="K72" s="648"/>
      <c r="L72" s="612"/>
      <c r="M72" s="648"/>
      <c r="N72" s="648"/>
      <c r="O72" s="648" t="s">
        <v>1044</v>
      </c>
      <c r="P72" s="612"/>
      <c r="Q72" s="648"/>
      <c r="R72" s="648"/>
      <c r="S72" s="648"/>
      <c r="T72" s="648"/>
      <c r="U72" s="647"/>
      <c r="V72" s="647" t="s">
        <v>1044</v>
      </c>
      <c r="W72" s="612"/>
      <c r="X72" s="612"/>
      <c r="Y72" s="647"/>
      <c r="Z72" s="648"/>
      <c r="AA72" s="648"/>
      <c r="AB72" s="612"/>
      <c r="AC72" s="648" t="s">
        <v>1044</v>
      </c>
      <c r="AD72" s="612"/>
      <c r="AE72" s="647"/>
      <c r="AF72" s="648"/>
      <c r="AG72" s="648"/>
      <c r="AH72" s="612"/>
      <c r="AI72" s="648"/>
      <c r="AJ72" s="648" t="s">
        <v>1044</v>
      </c>
      <c r="AK72" s="643"/>
      <c r="AL72" s="1299">
        <f t="shared" si="1"/>
        <v>0</v>
      </c>
    </row>
    <row r="73" spans="2:38" ht="24.9" customHeight="1">
      <c r="B73" s="2640"/>
      <c r="C73" s="245">
        <v>31010179</v>
      </c>
      <c r="D73" s="242" t="s">
        <v>334</v>
      </c>
      <c r="E73" s="243" t="s">
        <v>32</v>
      </c>
      <c r="F73" s="1210" t="s">
        <v>36</v>
      </c>
      <c r="G73" s="640"/>
      <c r="H73" s="648" t="s">
        <v>1044</v>
      </c>
      <c r="I73" s="612"/>
      <c r="J73" s="647"/>
      <c r="K73" s="648"/>
      <c r="L73" s="612"/>
      <c r="M73" s="648"/>
      <c r="N73" s="648"/>
      <c r="O73" s="648" t="s">
        <v>1044</v>
      </c>
      <c r="P73" s="612"/>
      <c r="Q73" s="648"/>
      <c r="R73" s="648"/>
      <c r="S73" s="648"/>
      <c r="T73" s="648"/>
      <c r="U73" s="647"/>
      <c r="V73" s="647" t="s">
        <v>1044</v>
      </c>
      <c r="W73" s="612"/>
      <c r="X73" s="612"/>
      <c r="Y73" s="647"/>
      <c r="Z73" s="648"/>
      <c r="AA73" s="648"/>
      <c r="AB73" s="612"/>
      <c r="AC73" s="648" t="s">
        <v>1044</v>
      </c>
      <c r="AD73" s="612"/>
      <c r="AE73" s="647"/>
      <c r="AF73" s="648"/>
      <c r="AG73" s="648"/>
      <c r="AH73" s="612"/>
      <c r="AI73" s="648"/>
      <c r="AJ73" s="648" t="s">
        <v>1044</v>
      </c>
      <c r="AK73" s="643"/>
      <c r="AL73" s="1299">
        <f t="shared" si="1"/>
        <v>0</v>
      </c>
    </row>
    <row r="74" spans="2:38" ht="24.9" customHeight="1">
      <c r="B74" s="2640"/>
      <c r="C74" s="245">
        <v>31010253</v>
      </c>
      <c r="D74" s="242" t="s">
        <v>326</v>
      </c>
      <c r="E74" s="243" t="s">
        <v>47</v>
      </c>
      <c r="F74" s="1210" t="s">
        <v>433</v>
      </c>
      <c r="G74" s="640"/>
      <c r="H74" s="648" t="s">
        <v>1044</v>
      </c>
      <c r="I74" s="612"/>
      <c r="J74" s="647"/>
      <c r="K74" s="648"/>
      <c r="L74" s="612"/>
      <c r="M74" s="648"/>
      <c r="N74" s="648"/>
      <c r="O74" s="648">
        <v>1000</v>
      </c>
      <c r="P74" s="612"/>
      <c r="Q74" s="648"/>
      <c r="R74" s="648"/>
      <c r="S74" s="648"/>
      <c r="T74" s="648"/>
      <c r="U74" s="647"/>
      <c r="V74" s="647" t="s">
        <v>1044</v>
      </c>
      <c r="W74" s="612"/>
      <c r="X74" s="612"/>
      <c r="Y74" s="647"/>
      <c r="Z74" s="648"/>
      <c r="AA74" s="648"/>
      <c r="AB74" s="612"/>
      <c r="AC74" s="648" t="s">
        <v>1044</v>
      </c>
      <c r="AD74" s="612"/>
      <c r="AE74" s="647"/>
      <c r="AF74" s="648"/>
      <c r="AG74" s="648"/>
      <c r="AH74" s="612"/>
      <c r="AI74" s="648"/>
      <c r="AJ74" s="648">
        <v>1000</v>
      </c>
      <c r="AK74" s="643"/>
      <c r="AL74" s="1299">
        <f t="shared" si="1"/>
        <v>2000</v>
      </c>
    </row>
    <row r="75" spans="2:38" ht="24.9" customHeight="1">
      <c r="B75" s="2640"/>
      <c r="C75" s="245">
        <v>31010254</v>
      </c>
      <c r="D75" s="242" t="s">
        <v>327</v>
      </c>
      <c r="E75" s="243" t="s">
        <v>47</v>
      </c>
      <c r="F75" s="1210" t="s">
        <v>433</v>
      </c>
      <c r="G75" s="640"/>
      <c r="H75" s="648" t="s">
        <v>1044</v>
      </c>
      <c r="I75" s="612"/>
      <c r="J75" s="647"/>
      <c r="K75" s="648"/>
      <c r="L75" s="612"/>
      <c r="M75" s="648"/>
      <c r="N75" s="648"/>
      <c r="O75" s="648">
        <v>1000</v>
      </c>
      <c r="P75" s="612"/>
      <c r="Q75" s="648"/>
      <c r="R75" s="648"/>
      <c r="S75" s="648"/>
      <c r="T75" s="648"/>
      <c r="U75" s="647"/>
      <c r="V75" s="647" t="s">
        <v>1044</v>
      </c>
      <c r="W75" s="612"/>
      <c r="X75" s="612"/>
      <c r="Y75" s="647"/>
      <c r="Z75" s="648"/>
      <c r="AA75" s="648"/>
      <c r="AB75" s="612"/>
      <c r="AC75" s="648" t="s">
        <v>1044</v>
      </c>
      <c r="AD75" s="612"/>
      <c r="AE75" s="647"/>
      <c r="AF75" s="648"/>
      <c r="AG75" s="648"/>
      <c r="AH75" s="612"/>
      <c r="AI75" s="648"/>
      <c r="AJ75" s="648">
        <v>1000</v>
      </c>
      <c r="AK75" s="643"/>
      <c r="AL75" s="1299">
        <f t="shared" si="1"/>
        <v>2000</v>
      </c>
    </row>
    <row r="76" spans="2:38" ht="24.9" customHeight="1">
      <c r="B76" s="2640"/>
      <c r="C76" s="245">
        <v>31010255</v>
      </c>
      <c r="D76" s="242" t="s">
        <v>328</v>
      </c>
      <c r="E76" s="243" t="s">
        <v>47</v>
      </c>
      <c r="F76" s="1210" t="s">
        <v>433</v>
      </c>
      <c r="G76" s="640"/>
      <c r="H76" s="648" t="s">
        <v>1044</v>
      </c>
      <c r="I76" s="612"/>
      <c r="J76" s="647"/>
      <c r="K76" s="648"/>
      <c r="L76" s="612"/>
      <c r="M76" s="648"/>
      <c r="N76" s="648"/>
      <c r="O76" s="648">
        <v>1000</v>
      </c>
      <c r="P76" s="612"/>
      <c r="Q76" s="648"/>
      <c r="R76" s="648"/>
      <c r="S76" s="648"/>
      <c r="T76" s="648"/>
      <c r="U76" s="647"/>
      <c r="V76" s="647" t="s">
        <v>1044</v>
      </c>
      <c r="W76" s="612"/>
      <c r="X76" s="612"/>
      <c r="Y76" s="647"/>
      <c r="Z76" s="648"/>
      <c r="AA76" s="648"/>
      <c r="AB76" s="612"/>
      <c r="AC76" s="648" t="s">
        <v>1044</v>
      </c>
      <c r="AD76" s="612"/>
      <c r="AE76" s="647"/>
      <c r="AF76" s="648"/>
      <c r="AG76" s="648"/>
      <c r="AH76" s="612"/>
      <c r="AI76" s="648"/>
      <c r="AJ76" s="648">
        <v>1000</v>
      </c>
      <c r="AK76" s="643"/>
      <c r="AL76" s="1299">
        <f t="shared" si="1"/>
        <v>2000</v>
      </c>
    </row>
    <row r="77" spans="2:38" ht="24.9" customHeight="1">
      <c r="B77" s="2640"/>
      <c r="C77" s="245">
        <v>31010256</v>
      </c>
      <c r="D77" s="242" t="s">
        <v>329</v>
      </c>
      <c r="E77" s="243" t="s">
        <v>47</v>
      </c>
      <c r="F77" s="1210" t="s">
        <v>433</v>
      </c>
      <c r="G77" s="640"/>
      <c r="H77" s="648" t="s">
        <v>1044</v>
      </c>
      <c r="I77" s="612"/>
      <c r="J77" s="647"/>
      <c r="K77" s="648"/>
      <c r="L77" s="612"/>
      <c r="M77" s="648"/>
      <c r="N77" s="648"/>
      <c r="O77" s="648">
        <v>1000</v>
      </c>
      <c r="P77" s="612"/>
      <c r="Q77" s="648"/>
      <c r="R77" s="648"/>
      <c r="S77" s="648"/>
      <c r="T77" s="648"/>
      <c r="U77" s="647"/>
      <c r="V77" s="647" t="s">
        <v>1044</v>
      </c>
      <c r="W77" s="612"/>
      <c r="X77" s="612"/>
      <c r="Y77" s="647"/>
      <c r="Z77" s="648"/>
      <c r="AA77" s="648"/>
      <c r="AB77" s="612"/>
      <c r="AC77" s="648" t="s">
        <v>1044</v>
      </c>
      <c r="AD77" s="612"/>
      <c r="AE77" s="647"/>
      <c r="AF77" s="648"/>
      <c r="AG77" s="648"/>
      <c r="AH77" s="612"/>
      <c r="AI77" s="648"/>
      <c r="AJ77" s="648">
        <v>1000</v>
      </c>
      <c r="AK77" s="643"/>
      <c r="AL77" s="1299">
        <f t="shared" si="1"/>
        <v>2000</v>
      </c>
    </row>
    <row r="78" spans="2:38" ht="24.9" customHeight="1">
      <c r="B78" s="2640"/>
      <c r="C78" s="245">
        <v>31010168</v>
      </c>
      <c r="D78" s="614" t="s">
        <v>335</v>
      </c>
      <c r="E78" s="243" t="s">
        <v>32</v>
      </c>
      <c r="F78" s="1210" t="s">
        <v>36</v>
      </c>
      <c r="G78" s="640"/>
      <c r="H78" s="648" t="s">
        <v>1044</v>
      </c>
      <c r="I78" s="612"/>
      <c r="J78" s="647"/>
      <c r="K78" s="648"/>
      <c r="L78" s="612"/>
      <c r="M78" s="648"/>
      <c r="N78" s="648"/>
      <c r="O78" s="648" t="s">
        <v>1044</v>
      </c>
      <c r="P78" s="612"/>
      <c r="Q78" s="648"/>
      <c r="R78" s="648"/>
      <c r="S78" s="648"/>
      <c r="T78" s="648"/>
      <c r="U78" s="647"/>
      <c r="V78" s="647" t="s">
        <v>1044</v>
      </c>
      <c r="W78" s="612"/>
      <c r="X78" s="612"/>
      <c r="Y78" s="647"/>
      <c r="Z78" s="648"/>
      <c r="AA78" s="648"/>
      <c r="AB78" s="612"/>
      <c r="AC78" s="648" t="s">
        <v>1044</v>
      </c>
      <c r="AD78" s="612"/>
      <c r="AE78" s="647"/>
      <c r="AF78" s="648"/>
      <c r="AG78" s="648"/>
      <c r="AH78" s="612"/>
      <c r="AI78" s="648"/>
      <c r="AJ78" s="648" t="s">
        <v>1044</v>
      </c>
      <c r="AK78" s="643"/>
      <c r="AL78" s="1299">
        <f t="shared" si="1"/>
        <v>0</v>
      </c>
    </row>
    <row r="79" spans="2:38" ht="24.9" customHeight="1">
      <c r="B79" s="2640"/>
      <c r="C79" s="245">
        <v>31010169</v>
      </c>
      <c r="D79" s="242" t="s">
        <v>337</v>
      </c>
      <c r="E79" s="243" t="s">
        <v>32</v>
      </c>
      <c r="F79" s="1210" t="s">
        <v>36</v>
      </c>
      <c r="G79" s="640"/>
      <c r="H79" s="648" t="s">
        <v>1044</v>
      </c>
      <c r="I79" s="612"/>
      <c r="J79" s="647"/>
      <c r="K79" s="648"/>
      <c r="L79" s="612"/>
      <c r="M79" s="648"/>
      <c r="N79" s="648"/>
      <c r="O79" s="648" t="s">
        <v>1044</v>
      </c>
      <c r="P79" s="612"/>
      <c r="Q79" s="648"/>
      <c r="R79" s="648"/>
      <c r="S79" s="648"/>
      <c r="T79" s="648"/>
      <c r="U79" s="647"/>
      <c r="V79" s="647" t="s">
        <v>1044</v>
      </c>
      <c r="W79" s="612"/>
      <c r="X79" s="612"/>
      <c r="Y79" s="647"/>
      <c r="Z79" s="648"/>
      <c r="AA79" s="648"/>
      <c r="AB79" s="612"/>
      <c r="AC79" s="648" t="s">
        <v>1044</v>
      </c>
      <c r="AD79" s="612"/>
      <c r="AE79" s="647"/>
      <c r="AF79" s="648"/>
      <c r="AG79" s="648"/>
      <c r="AH79" s="612"/>
      <c r="AI79" s="648"/>
      <c r="AJ79" s="648" t="s">
        <v>1044</v>
      </c>
      <c r="AK79" s="643"/>
      <c r="AL79" s="1299">
        <f t="shared" si="1"/>
        <v>0</v>
      </c>
    </row>
    <row r="80" spans="2:38" ht="24.9" customHeight="1">
      <c r="B80" s="2640"/>
      <c r="C80" s="251">
        <v>31010035</v>
      </c>
      <c r="D80" s="252" t="s">
        <v>363</v>
      </c>
      <c r="E80" s="245" t="s">
        <v>47</v>
      </c>
      <c r="F80" s="1211" t="s">
        <v>433</v>
      </c>
      <c r="G80" s="637"/>
      <c r="H80" s="648" t="s">
        <v>1044</v>
      </c>
      <c r="I80" s="638"/>
      <c r="J80" s="647"/>
      <c r="K80" s="648"/>
      <c r="L80" s="638"/>
      <c r="M80" s="648"/>
      <c r="N80" s="648"/>
      <c r="O80" s="648" t="s">
        <v>1044</v>
      </c>
      <c r="P80" s="638"/>
      <c r="Q80" s="648"/>
      <c r="R80" s="648"/>
      <c r="S80" s="648"/>
      <c r="T80" s="648"/>
      <c r="U80" s="647"/>
      <c r="V80" s="647" t="s">
        <v>1044</v>
      </c>
      <c r="W80" s="638"/>
      <c r="X80" s="638"/>
      <c r="Y80" s="647"/>
      <c r="Z80" s="648"/>
      <c r="AA80" s="648"/>
      <c r="AB80" s="638"/>
      <c r="AC80" s="648" t="s">
        <v>1044</v>
      </c>
      <c r="AD80" s="638"/>
      <c r="AE80" s="647"/>
      <c r="AF80" s="648"/>
      <c r="AG80" s="648"/>
      <c r="AH80" s="638"/>
      <c r="AI80" s="648"/>
      <c r="AJ80" s="648" t="s">
        <v>1044</v>
      </c>
      <c r="AK80" s="639"/>
      <c r="AL80" s="1299">
        <f t="shared" si="1"/>
        <v>0</v>
      </c>
    </row>
    <row r="81" spans="2:38" ht="24.9" customHeight="1">
      <c r="B81" s="2640"/>
      <c r="C81" s="251">
        <v>31060663</v>
      </c>
      <c r="D81" s="252" t="s">
        <v>525</v>
      </c>
      <c r="E81" s="245" t="s">
        <v>47</v>
      </c>
      <c r="F81" s="1211" t="s">
        <v>433</v>
      </c>
      <c r="G81" s="637"/>
      <c r="H81" s="648">
        <v>8000</v>
      </c>
      <c r="I81" s="638"/>
      <c r="J81" s="647"/>
      <c r="K81" s="648"/>
      <c r="L81" s="638"/>
      <c r="M81" s="648"/>
      <c r="N81" s="648"/>
      <c r="O81" s="648">
        <v>7000</v>
      </c>
      <c r="P81" s="638"/>
      <c r="Q81" s="648"/>
      <c r="R81" s="648"/>
      <c r="S81" s="648"/>
      <c r="T81" s="648"/>
      <c r="U81" s="647"/>
      <c r="V81" s="647">
        <v>7000</v>
      </c>
      <c r="W81" s="638"/>
      <c r="X81" s="638"/>
      <c r="Y81" s="647"/>
      <c r="Z81" s="648"/>
      <c r="AA81" s="648"/>
      <c r="AB81" s="638"/>
      <c r="AC81" s="648">
        <v>7000</v>
      </c>
      <c r="AD81" s="638"/>
      <c r="AE81" s="647"/>
      <c r="AF81" s="648"/>
      <c r="AG81" s="648"/>
      <c r="AH81" s="638"/>
      <c r="AI81" s="648"/>
      <c r="AJ81" s="648">
        <v>15000</v>
      </c>
      <c r="AK81" s="639"/>
      <c r="AL81" s="1299">
        <f t="shared" si="1"/>
        <v>44000</v>
      </c>
    </row>
    <row r="82" spans="2:38" ht="24.9" customHeight="1">
      <c r="B82" s="2640"/>
      <c r="C82" s="251">
        <v>31060664</v>
      </c>
      <c r="D82" s="252" t="s">
        <v>526</v>
      </c>
      <c r="E82" s="245" t="s">
        <v>47</v>
      </c>
      <c r="F82" s="1211" t="s">
        <v>433</v>
      </c>
      <c r="G82" s="637"/>
      <c r="H82" s="648">
        <v>8000</v>
      </c>
      <c r="I82" s="638"/>
      <c r="J82" s="647"/>
      <c r="K82" s="648"/>
      <c r="L82" s="638"/>
      <c r="M82" s="648"/>
      <c r="N82" s="648"/>
      <c r="O82" s="648">
        <v>7000</v>
      </c>
      <c r="P82" s="638"/>
      <c r="Q82" s="648"/>
      <c r="R82" s="648"/>
      <c r="S82" s="648"/>
      <c r="T82" s="648"/>
      <c r="U82" s="647"/>
      <c r="V82" s="647">
        <v>7000</v>
      </c>
      <c r="W82" s="638"/>
      <c r="X82" s="638"/>
      <c r="Y82" s="647"/>
      <c r="Z82" s="648"/>
      <c r="AA82" s="648"/>
      <c r="AB82" s="638"/>
      <c r="AC82" s="648">
        <v>7000</v>
      </c>
      <c r="AD82" s="638"/>
      <c r="AE82" s="647"/>
      <c r="AF82" s="648"/>
      <c r="AG82" s="648"/>
      <c r="AH82" s="638"/>
      <c r="AI82" s="648"/>
      <c r="AJ82" s="648">
        <v>15000</v>
      </c>
      <c r="AK82" s="639"/>
      <c r="AL82" s="1299">
        <f t="shared" si="1"/>
        <v>44000</v>
      </c>
    </row>
    <row r="83" spans="2:38" ht="24.9" customHeight="1">
      <c r="B83" s="2640"/>
      <c r="C83" s="251">
        <v>31060706</v>
      </c>
      <c r="D83" s="252" t="s">
        <v>527</v>
      </c>
      <c r="E83" s="245" t="s">
        <v>47</v>
      </c>
      <c r="F83" s="1211" t="s">
        <v>433</v>
      </c>
      <c r="G83" s="637"/>
      <c r="H83" s="648" t="s">
        <v>1044</v>
      </c>
      <c r="I83" s="638"/>
      <c r="J83" s="647"/>
      <c r="K83" s="648"/>
      <c r="L83" s="638"/>
      <c r="M83" s="648"/>
      <c r="N83" s="648"/>
      <c r="O83" s="648">
        <v>1000</v>
      </c>
      <c r="P83" s="638"/>
      <c r="Q83" s="648"/>
      <c r="R83" s="648"/>
      <c r="S83" s="648"/>
      <c r="T83" s="648"/>
      <c r="U83" s="647"/>
      <c r="V83" s="647" t="s">
        <v>1044</v>
      </c>
      <c r="W83" s="638"/>
      <c r="X83" s="638"/>
      <c r="Y83" s="647"/>
      <c r="Z83" s="648"/>
      <c r="AA83" s="648"/>
      <c r="AB83" s="638"/>
      <c r="AC83" s="648" t="s">
        <v>1044</v>
      </c>
      <c r="AD83" s="638"/>
      <c r="AE83" s="647"/>
      <c r="AF83" s="648"/>
      <c r="AG83" s="648"/>
      <c r="AH83" s="638"/>
      <c r="AI83" s="648"/>
      <c r="AJ83" s="648">
        <v>1000</v>
      </c>
      <c r="AK83" s="639"/>
      <c r="AL83" s="1299">
        <f t="shared" si="1"/>
        <v>2000</v>
      </c>
    </row>
    <row r="84" spans="2:38" ht="24.9" customHeight="1">
      <c r="B84" s="2640"/>
      <c r="C84" s="1572">
        <v>31060707</v>
      </c>
      <c r="D84" s="1237" t="s">
        <v>528</v>
      </c>
      <c r="E84" s="773" t="s">
        <v>47</v>
      </c>
      <c r="F84" s="1692" t="s">
        <v>433</v>
      </c>
      <c r="G84" s="637"/>
      <c r="H84" s="648" t="s">
        <v>1044</v>
      </c>
      <c r="I84" s="638"/>
      <c r="J84" s="647"/>
      <c r="K84" s="648"/>
      <c r="L84" s="638"/>
      <c r="M84" s="648"/>
      <c r="N84" s="648"/>
      <c r="O84" s="648">
        <v>1000</v>
      </c>
      <c r="P84" s="638"/>
      <c r="Q84" s="648"/>
      <c r="R84" s="648"/>
      <c r="S84" s="648"/>
      <c r="T84" s="648"/>
      <c r="U84" s="647"/>
      <c r="V84" s="647" t="s">
        <v>1044</v>
      </c>
      <c r="W84" s="638"/>
      <c r="X84" s="638"/>
      <c r="Y84" s="647"/>
      <c r="Z84" s="648"/>
      <c r="AA84" s="648"/>
      <c r="AB84" s="638"/>
      <c r="AC84" s="648" t="s">
        <v>1044</v>
      </c>
      <c r="AD84" s="638"/>
      <c r="AE84" s="647"/>
      <c r="AF84" s="648"/>
      <c r="AG84" s="648"/>
      <c r="AH84" s="638"/>
      <c r="AI84" s="648"/>
      <c r="AJ84" s="648">
        <v>1000</v>
      </c>
      <c r="AK84" s="639"/>
      <c r="AL84" s="1299">
        <f t="shared" si="1"/>
        <v>2000</v>
      </c>
    </row>
    <row r="85" spans="2:38" ht="24.9" customHeight="1">
      <c r="B85" s="2640"/>
      <c r="C85" s="773">
        <v>31000071</v>
      </c>
      <c r="D85" s="1442" t="s">
        <v>44</v>
      </c>
      <c r="E85" s="1691" t="s">
        <v>32</v>
      </c>
      <c r="F85" s="1693" t="s">
        <v>45</v>
      </c>
      <c r="G85" s="640"/>
      <c r="H85" s="648" t="s">
        <v>1044</v>
      </c>
      <c r="I85" s="612"/>
      <c r="J85" s="647"/>
      <c r="K85" s="648"/>
      <c r="L85" s="612"/>
      <c r="M85" s="648"/>
      <c r="N85" s="648"/>
      <c r="O85" s="648" t="s">
        <v>1044</v>
      </c>
      <c r="P85" s="612"/>
      <c r="Q85" s="648"/>
      <c r="R85" s="648"/>
      <c r="S85" s="648"/>
      <c r="T85" s="648"/>
      <c r="U85" s="647"/>
      <c r="V85" s="647" t="s">
        <v>1044</v>
      </c>
      <c r="W85" s="612"/>
      <c r="X85" s="612"/>
      <c r="Y85" s="647"/>
      <c r="Z85" s="648"/>
      <c r="AA85" s="648"/>
      <c r="AB85" s="612"/>
      <c r="AC85" s="648" t="s">
        <v>1044</v>
      </c>
      <c r="AD85" s="612"/>
      <c r="AE85" s="647"/>
      <c r="AF85" s="648"/>
      <c r="AG85" s="648"/>
      <c r="AH85" s="612"/>
      <c r="AI85" s="648"/>
      <c r="AJ85" s="648" t="s">
        <v>1044</v>
      </c>
      <c r="AK85" s="643"/>
      <c r="AL85" s="1299">
        <f t="shared" si="1"/>
        <v>0</v>
      </c>
    </row>
    <row r="86" spans="2:38" ht="24.9" customHeight="1">
      <c r="B86" s="2640"/>
      <c r="C86" s="773">
        <v>31030118</v>
      </c>
      <c r="D86" s="1442" t="s">
        <v>752</v>
      </c>
      <c r="E86" s="1691" t="s">
        <v>32</v>
      </c>
      <c r="F86" s="1213" t="s">
        <v>438</v>
      </c>
      <c r="G86" s="1437"/>
      <c r="H86" s="648">
        <v>10000</v>
      </c>
      <c r="I86" s="612"/>
      <c r="J86" s="647"/>
      <c r="K86" s="648"/>
      <c r="L86" s="612"/>
      <c r="M86" s="648"/>
      <c r="N86" s="648"/>
      <c r="O86" s="648" t="s">
        <v>1044</v>
      </c>
      <c r="P86" s="612"/>
      <c r="Q86" s="648"/>
      <c r="R86" s="648"/>
      <c r="S86" s="648"/>
      <c r="T86" s="648"/>
      <c r="U86" s="647"/>
      <c r="V86" s="647">
        <v>10000</v>
      </c>
      <c r="W86" s="612"/>
      <c r="X86" s="612"/>
      <c r="Y86" s="647"/>
      <c r="Z86" s="648"/>
      <c r="AA86" s="648"/>
      <c r="AB86" s="612"/>
      <c r="AC86" s="648">
        <v>10000</v>
      </c>
      <c r="AD86" s="612"/>
      <c r="AE86" s="647"/>
      <c r="AF86" s="648"/>
      <c r="AG86" s="648"/>
      <c r="AH86" s="612"/>
      <c r="AI86" s="648"/>
      <c r="AJ86" s="648">
        <v>10000</v>
      </c>
      <c r="AK86" s="643"/>
      <c r="AL86" s="1299">
        <f t="shared" si="1"/>
        <v>40000</v>
      </c>
    </row>
    <row r="87" spans="2:38" ht="24.9" customHeight="1">
      <c r="B87" s="2640"/>
      <c r="C87" s="773">
        <v>31030732</v>
      </c>
      <c r="D87" s="1442" t="s">
        <v>754</v>
      </c>
      <c r="E87" s="1691" t="s">
        <v>32</v>
      </c>
      <c r="F87" s="1213" t="s">
        <v>446</v>
      </c>
      <c r="G87" s="644"/>
      <c r="H87" s="648">
        <v>10000</v>
      </c>
      <c r="I87" s="612"/>
      <c r="J87" s="647"/>
      <c r="K87" s="648"/>
      <c r="L87" s="612"/>
      <c r="M87" s="648"/>
      <c r="N87" s="648"/>
      <c r="O87" s="648">
        <v>10000</v>
      </c>
      <c r="P87" s="612"/>
      <c r="Q87" s="648"/>
      <c r="R87" s="648"/>
      <c r="S87" s="648"/>
      <c r="T87" s="648"/>
      <c r="U87" s="647"/>
      <c r="V87" s="647">
        <v>10000</v>
      </c>
      <c r="W87" s="612"/>
      <c r="X87" s="612"/>
      <c r="Y87" s="647"/>
      <c r="Z87" s="648"/>
      <c r="AA87" s="648"/>
      <c r="AB87" s="612"/>
      <c r="AC87" s="648" t="s">
        <v>1044</v>
      </c>
      <c r="AD87" s="612"/>
      <c r="AE87" s="647"/>
      <c r="AF87" s="648"/>
      <c r="AG87" s="648"/>
      <c r="AH87" s="612"/>
      <c r="AI87" s="648"/>
      <c r="AJ87" s="648" t="s">
        <v>1044</v>
      </c>
      <c r="AK87" s="643"/>
      <c r="AL87" s="1299">
        <f t="shared" si="1"/>
        <v>30000</v>
      </c>
    </row>
    <row r="88" spans="2:38" ht="24.9" customHeight="1">
      <c r="B88" s="2640"/>
      <c r="C88" s="773">
        <v>31050047</v>
      </c>
      <c r="D88" s="1442" t="s">
        <v>338</v>
      </c>
      <c r="E88" s="1691" t="s">
        <v>32</v>
      </c>
      <c r="F88" s="1213" t="s">
        <v>434</v>
      </c>
      <c r="G88" s="1437"/>
      <c r="H88" s="648">
        <v>10000</v>
      </c>
      <c r="I88" s="612"/>
      <c r="J88" s="647"/>
      <c r="K88" s="648"/>
      <c r="L88" s="612"/>
      <c r="M88" s="648"/>
      <c r="N88" s="648"/>
      <c r="O88" s="648">
        <v>10000</v>
      </c>
      <c r="P88" s="612"/>
      <c r="Q88" s="648"/>
      <c r="R88" s="648"/>
      <c r="S88" s="648"/>
      <c r="T88" s="648"/>
      <c r="U88" s="647"/>
      <c r="V88" s="647">
        <v>10000</v>
      </c>
      <c r="W88" s="612"/>
      <c r="X88" s="612"/>
      <c r="Y88" s="647"/>
      <c r="Z88" s="648"/>
      <c r="AA88" s="648"/>
      <c r="AB88" s="612"/>
      <c r="AC88" s="648">
        <v>10000</v>
      </c>
      <c r="AD88" s="612"/>
      <c r="AE88" s="647"/>
      <c r="AF88" s="648"/>
      <c r="AG88" s="648"/>
      <c r="AH88" s="612"/>
      <c r="AI88" s="648"/>
      <c r="AJ88" s="648">
        <v>10000</v>
      </c>
      <c r="AK88" s="643"/>
      <c r="AL88" s="1299">
        <f t="shared" si="1"/>
        <v>50000</v>
      </c>
    </row>
    <row r="89" spans="2:38" ht="24.9" customHeight="1">
      <c r="B89" s="2640"/>
      <c r="C89" s="773">
        <v>31030587</v>
      </c>
      <c r="D89" s="1442" t="s">
        <v>1379</v>
      </c>
      <c r="E89" s="1691" t="s">
        <v>32</v>
      </c>
      <c r="F89" s="1213" t="s">
        <v>434</v>
      </c>
      <c r="G89" s="644"/>
      <c r="H89" s="648" t="s">
        <v>1044</v>
      </c>
      <c r="I89" s="612"/>
      <c r="J89" s="647"/>
      <c r="K89" s="648"/>
      <c r="L89" s="612"/>
      <c r="M89" s="648"/>
      <c r="N89" s="648"/>
      <c r="O89" s="648" t="s">
        <v>1044</v>
      </c>
      <c r="P89" s="612"/>
      <c r="Q89" s="648"/>
      <c r="R89" s="648"/>
      <c r="S89" s="648"/>
      <c r="T89" s="648"/>
      <c r="U89" s="647"/>
      <c r="V89" s="647" t="s">
        <v>1044</v>
      </c>
      <c r="W89" s="612"/>
      <c r="X89" s="612"/>
      <c r="Y89" s="647"/>
      <c r="Z89" s="648"/>
      <c r="AA89" s="648"/>
      <c r="AB89" s="612"/>
      <c r="AC89" s="648" t="s">
        <v>1044</v>
      </c>
      <c r="AD89" s="612"/>
      <c r="AE89" s="647"/>
      <c r="AF89" s="648"/>
      <c r="AG89" s="648"/>
      <c r="AH89" s="612"/>
      <c r="AI89" s="648"/>
      <c r="AJ89" s="648" t="s">
        <v>1044</v>
      </c>
      <c r="AK89" s="643"/>
      <c r="AL89" s="289">
        <f>SUM(G89:AK89)</f>
        <v>0</v>
      </c>
    </row>
    <row r="90" spans="2:38" ht="24.9" customHeight="1">
      <c r="B90" s="2640"/>
      <c r="C90" s="773">
        <v>31030588</v>
      </c>
      <c r="D90" s="1442" t="s">
        <v>1380</v>
      </c>
      <c r="E90" s="1691" t="s">
        <v>32</v>
      </c>
      <c r="F90" s="1213" t="s">
        <v>434</v>
      </c>
      <c r="G90" s="644"/>
      <c r="H90" s="648" t="s">
        <v>1044</v>
      </c>
      <c r="I90" s="612"/>
      <c r="J90" s="647"/>
      <c r="K90" s="648"/>
      <c r="L90" s="612"/>
      <c r="M90" s="648"/>
      <c r="N90" s="648"/>
      <c r="O90" s="648" t="s">
        <v>1044</v>
      </c>
      <c r="P90" s="612"/>
      <c r="Q90" s="648"/>
      <c r="R90" s="648"/>
      <c r="S90" s="648"/>
      <c r="T90" s="648"/>
      <c r="U90" s="647"/>
      <c r="V90" s="647" t="s">
        <v>1044</v>
      </c>
      <c r="W90" s="612"/>
      <c r="X90" s="612"/>
      <c r="Y90" s="647"/>
      <c r="Z90" s="648"/>
      <c r="AA90" s="648"/>
      <c r="AB90" s="612"/>
      <c r="AC90" s="648" t="s">
        <v>1044</v>
      </c>
      <c r="AD90" s="612"/>
      <c r="AE90" s="647"/>
      <c r="AF90" s="648"/>
      <c r="AG90" s="648"/>
      <c r="AH90" s="612"/>
      <c r="AI90" s="648"/>
      <c r="AJ90" s="648" t="s">
        <v>1044</v>
      </c>
      <c r="AK90" s="643"/>
      <c r="AL90" s="289">
        <f t="shared" si="1"/>
        <v>0</v>
      </c>
    </row>
    <row r="91" spans="2:38" ht="24.9" customHeight="1">
      <c r="B91" s="2640"/>
      <c r="C91" s="773">
        <v>31030700</v>
      </c>
      <c r="D91" s="1442" t="s">
        <v>1381</v>
      </c>
      <c r="E91" s="1691" t="s">
        <v>32</v>
      </c>
      <c r="F91" s="1213" t="s">
        <v>434</v>
      </c>
      <c r="G91" s="644"/>
      <c r="H91" s="648" t="s">
        <v>1044</v>
      </c>
      <c r="I91" s="612"/>
      <c r="J91" s="647"/>
      <c r="K91" s="648"/>
      <c r="L91" s="612"/>
      <c r="M91" s="648"/>
      <c r="N91" s="648"/>
      <c r="O91" s="648" t="s">
        <v>1044</v>
      </c>
      <c r="P91" s="612"/>
      <c r="Q91" s="648"/>
      <c r="R91" s="648"/>
      <c r="S91" s="648"/>
      <c r="T91" s="648"/>
      <c r="U91" s="647"/>
      <c r="V91" s="647" t="s">
        <v>1044</v>
      </c>
      <c r="W91" s="612"/>
      <c r="X91" s="612"/>
      <c r="Y91" s="647"/>
      <c r="Z91" s="648"/>
      <c r="AA91" s="648"/>
      <c r="AB91" s="612"/>
      <c r="AC91" s="648" t="s">
        <v>1044</v>
      </c>
      <c r="AD91" s="612"/>
      <c r="AE91" s="647"/>
      <c r="AF91" s="648"/>
      <c r="AG91" s="648"/>
      <c r="AH91" s="612"/>
      <c r="AI91" s="648"/>
      <c r="AJ91" s="648" t="s">
        <v>1044</v>
      </c>
      <c r="AK91" s="643"/>
      <c r="AL91" s="289">
        <f t="shared" si="1"/>
        <v>0</v>
      </c>
    </row>
    <row r="92" spans="2:38" ht="24.9" customHeight="1">
      <c r="B92" s="2640"/>
      <c r="C92" s="773">
        <v>31050267</v>
      </c>
      <c r="D92" s="1442" t="s">
        <v>340</v>
      </c>
      <c r="E92" s="1691" t="s">
        <v>47</v>
      </c>
      <c r="F92" s="1213" t="s">
        <v>434</v>
      </c>
      <c r="G92" s="644"/>
      <c r="H92" s="648" t="s">
        <v>1044</v>
      </c>
      <c r="I92" s="612"/>
      <c r="J92" s="647"/>
      <c r="K92" s="648"/>
      <c r="L92" s="612"/>
      <c r="M92" s="648"/>
      <c r="N92" s="648"/>
      <c r="O92" s="648" t="s">
        <v>1044</v>
      </c>
      <c r="P92" s="612"/>
      <c r="Q92" s="648"/>
      <c r="R92" s="648"/>
      <c r="S92" s="648"/>
      <c r="T92" s="648"/>
      <c r="U92" s="647"/>
      <c r="V92" s="647" t="s">
        <v>1044</v>
      </c>
      <c r="W92" s="612"/>
      <c r="X92" s="612"/>
      <c r="Y92" s="647"/>
      <c r="Z92" s="648"/>
      <c r="AA92" s="648"/>
      <c r="AB92" s="612"/>
      <c r="AC92" s="648" t="s">
        <v>1044</v>
      </c>
      <c r="AD92" s="612"/>
      <c r="AE92" s="647"/>
      <c r="AF92" s="648"/>
      <c r="AG92" s="648"/>
      <c r="AH92" s="612"/>
      <c r="AI92" s="648"/>
      <c r="AJ92" s="648" t="s">
        <v>1044</v>
      </c>
      <c r="AK92" s="643"/>
      <c r="AL92" s="1299">
        <f t="shared" si="1"/>
        <v>0</v>
      </c>
    </row>
    <row r="93" spans="2:38" ht="24.9" customHeight="1">
      <c r="B93" s="2640"/>
      <c r="C93" s="773">
        <v>31050271</v>
      </c>
      <c r="D93" s="1442" t="s">
        <v>341</v>
      </c>
      <c r="E93" s="1691" t="s">
        <v>47</v>
      </c>
      <c r="F93" s="1213" t="s">
        <v>434</v>
      </c>
      <c r="G93" s="644"/>
      <c r="H93" s="648" t="s">
        <v>1044</v>
      </c>
      <c r="I93" s="612"/>
      <c r="J93" s="647"/>
      <c r="K93" s="648"/>
      <c r="L93" s="612"/>
      <c r="M93" s="648"/>
      <c r="N93" s="648"/>
      <c r="O93" s="648" t="s">
        <v>1044</v>
      </c>
      <c r="P93" s="612"/>
      <c r="Q93" s="648"/>
      <c r="R93" s="648"/>
      <c r="S93" s="648"/>
      <c r="T93" s="648"/>
      <c r="U93" s="647"/>
      <c r="V93" s="647" t="s">
        <v>1044</v>
      </c>
      <c r="W93" s="612"/>
      <c r="X93" s="612"/>
      <c r="Y93" s="647"/>
      <c r="Z93" s="648"/>
      <c r="AA93" s="648"/>
      <c r="AB93" s="612"/>
      <c r="AC93" s="648" t="s">
        <v>1044</v>
      </c>
      <c r="AD93" s="612"/>
      <c r="AE93" s="647"/>
      <c r="AF93" s="648"/>
      <c r="AG93" s="648"/>
      <c r="AH93" s="612"/>
      <c r="AI93" s="648"/>
      <c r="AJ93" s="648" t="s">
        <v>1044</v>
      </c>
      <c r="AK93" s="643"/>
      <c r="AL93" s="1299">
        <f t="shared" si="1"/>
        <v>0</v>
      </c>
    </row>
    <row r="94" spans="2:38" ht="24.9" customHeight="1">
      <c r="B94" s="2640"/>
      <c r="C94" s="773">
        <v>31010257</v>
      </c>
      <c r="D94" s="1442" t="s">
        <v>342</v>
      </c>
      <c r="E94" s="1691" t="s">
        <v>47</v>
      </c>
      <c r="F94" s="1213" t="s">
        <v>434</v>
      </c>
      <c r="G94" s="644"/>
      <c r="H94" s="648" t="s">
        <v>1044</v>
      </c>
      <c r="I94" s="612"/>
      <c r="J94" s="647"/>
      <c r="K94" s="648"/>
      <c r="L94" s="612"/>
      <c r="M94" s="648"/>
      <c r="N94" s="648"/>
      <c r="O94" s="648" t="s">
        <v>1044</v>
      </c>
      <c r="P94" s="612"/>
      <c r="Q94" s="648"/>
      <c r="R94" s="648"/>
      <c r="S94" s="648"/>
      <c r="T94" s="648"/>
      <c r="U94" s="647"/>
      <c r="V94" s="647" t="s">
        <v>1044</v>
      </c>
      <c r="W94" s="612"/>
      <c r="X94" s="612"/>
      <c r="Y94" s="647"/>
      <c r="Z94" s="648"/>
      <c r="AA94" s="648"/>
      <c r="AB94" s="612"/>
      <c r="AC94" s="648" t="s">
        <v>1044</v>
      </c>
      <c r="AD94" s="612"/>
      <c r="AE94" s="647"/>
      <c r="AF94" s="648"/>
      <c r="AG94" s="648"/>
      <c r="AH94" s="612"/>
      <c r="AI94" s="648"/>
      <c r="AJ94" s="648" t="s">
        <v>1044</v>
      </c>
      <c r="AK94" s="643"/>
      <c r="AL94" s="1299">
        <f t="shared" si="1"/>
        <v>0</v>
      </c>
    </row>
    <row r="95" spans="2:38" ht="24.9" customHeight="1">
      <c r="B95" s="2640"/>
      <c r="C95" s="773">
        <v>31030032</v>
      </c>
      <c r="D95" s="1442" t="s">
        <v>343</v>
      </c>
      <c r="E95" s="1691" t="s">
        <v>47</v>
      </c>
      <c r="F95" s="1213" t="s">
        <v>434</v>
      </c>
      <c r="G95" s="644"/>
      <c r="H95" s="648" t="s">
        <v>1044</v>
      </c>
      <c r="I95" s="612"/>
      <c r="J95" s="647"/>
      <c r="K95" s="648"/>
      <c r="L95" s="612"/>
      <c r="M95" s="648"/>
      <c r="N95" s="648"/>
      <c r="O95" s="648" t="s">
        <v>1044</v>
      </c>
      <c r="P95" s="612"/>
      <c r="Q95" s="648"/>
      <c r="R95" s="648"/>
      <c r="S95" s="648"/>
      <c r="T95" s="648"/>
      <c r="U95" s="647"/>
      <c r="V95" s="647" t="s">
        <v>1044</v>
      </c>
      <c r="W95" s="612"/>
      <c r="X95" s="612"/>
      <c r="Y95" s="647"/>
      <c r="Z95" s="648"/>
      <c r="AA95" s="648"/>
      <c r="AB95" s="612"/>
      <c r="AC95" s="648" t="s">
        <v>1044</v>
      </c>
      <c r="AD95" s="612"/>
      <c r="AE95" s="647"/>
      <c r="AF95" s="648"/>
      <c r="AG95" s="648"/>
      <c r="AH95" s="612"/>
      <c r="AI95" s="648"/>
      <c r="AJ95" s="648" t="s">
        <v>1044</v>
      </c>
      <c r="AK95" s="643"/>
      <c r="AL95" s="1299">
        <f t="shared" si="1"/>
        <v>0</v>
      </c>
    </row>
    <row r="96" spans="2:38" ht="24.9" customHeight="1">
      <c r="B96" s="2640"/>
      <c r="C96" s="773">
        <v>31030033</v>
      </c>
      <c r="D96" s="1442" t="s">
        <v>344</v>
      </c>
      <c r="E96" s="1691" t="s">
        <v>47</v>
      </c>
      <c r="F96" s="1213" t="s">
        <v>434</v>
      </c>
      <c r="G96" s="644"/>
      <c r="H96" s="648" t="s">
        <v>1044</v>
      </c>
      <c r="I96" s="612"/>
      <c r="J96" s="647"/>
      <c r="K96" s="648"/>
      <c r="L96" s="612"/>
      <c r="M96" s="648"/>
      <c r="N96" s="648"/>
      <c r="O96" s="648" t="s">
        <v>1044</v>
      </c>
      <c r="P96" s="612"/>
      <c r="Q96" s="648"/>
      <c r="R96" s="648"/>
      <c r="S96" s="648"/>
      <c r="T96" s="648"/>
      <c r="U96" s="647"/>
      <c r="V96" s="647" t="s">
        <v>1044</v>
      </c>
      <c r="W96" s="612"/>
      <c r="X96" s="612"/>
      <c r="Y96" s="647"/>
      <c r="Z96" s="648"/>
      <c r="AA96" s="648"/>
      <c r="AB96" s="612"/>
      <c r="AC96" s="648" t="s">
        <v>1044</v>
      </c>
      <c r="AD96" s="612"/>
      <c r="AE96" s="647"/>
      <c r="AF96" s="648"/>
      <c r="AG96" s="648"/>
      <c r="AH96" s="612"/>
      <c r="AI96" s="648"/>
      <c r="AJ96" s="648" t="s">
        <v>1044</v>
      </c>
      <c r="AK96" s="643"/>
      <c r="AL96" s="1299">
        <f t="shared" si="1"/>
        <v>0</v>
      </c>
    </row>
    <row r="97" spans="2:38" ht="24.9" customHeight="1">
      <c r="B97" s="2640"/>
      <c r="C97" s="773">
        <v>31030037</v>
      </c>
      <c r="D97" s="1442" t="s">
        <v>345</v>
      </c>
      <c r="E97" s="1691" t="s">
        <v>47</v>
      </c>
      <c r="F97" s="1213" t="s">
        <v>434</v>
      </c>
      <c r="G97" s="644"/>
      <c r="H97" s="648" t="s">
        <v>1044</v>
      </c>
      <c r="I97" s="612"/>
      <c r="J97" s="647"/>
      <c r="K97" s="648"/>
      <c r="L97" s="612"/>
      <c r="M97" s="648"/>
      <c r="N97" s="648"/>
      <c r="O97" s="648" t="s">
        <v>1044</v>
      </c>
      <c r="P97" s="612"/>
      <c r="Q97" s="648"/>
      <c r="R97" s="648"/>
      <c r="S97" s="648"/>
      <c r="T97" s="648"/>
      <c r="U97" s="647"/>
      <c r="V97" s="647" t="s">
        <v>1044</v>
      </c>
      <c r="W97" s="612"/>
      <c r="X97" s="612"/>
      <c r="Y97" s="647"/>
      <c r="Z97" s="648"/>
      <c r="AA97" s="648"/>
      <c r="AB97" s="612"/>
      <c r="AC97" s="648" t="s">
        <v>1044</v>
      </c>
      <c r="AD97" s="612"/>
      <c r="AE97" s="647"/>
      <c r="AF97" s="648"/>
      <c r="AG97" s="648"/>
      <c r="AH97" s="612"/>
      <c r="AI97" s="648"/>
      <c r="AJ97" s="648" t="s">
        <v>1044</v>
      </c>
      <c r="AK97" s="643"/>
      <c r="AL97" s="1299">
        <f t="shared" si="1"/>
        <v>0</v>
      </c>
    </row>
    <row r="98" spans="2:38" ht="24.9" customHeight="1">
      <c r="B98" s="2640"/>
      <c r="C98" s="773">
        <v>31050415</v>
      </c>
      <c r="D98" s="1442" t="s">
        <v>354</v>
      </c>
      <c r="E98" s="773" t="s">
        <v>47</v>
      </c>
      <c r="F98" s="1213" t="s">
        <v>434</v>
      </c>
      <c r="G98" s="645"/>
      <c r="H98" s="648" t="s">
        <v>1044</v>
      </c>
      <c r="I98" s="638"/>
      <c r="J98" s="647"/>
      <c r="K98" s="648"/>
      <c r="L98" s="638"/>
      <c r="M98" s="648"/>
      <c r="N98" s="648"/>
      <c r="O98" s="648" t="s">
        <v>1044</v>
      </c>
      <c r="P98" s="638"/>
      <c r="Q98" s="648"/>
      <c r="R98" s="648"/>
      <c r="S98" s="648"/>
      <c r="T98" s="648"/>
      <c r="U98" s="647"/>
      <c r="V98" s="647">
        <v>1000</v>
      </c>
      <c r="W98" s="638"/>
      <c r="X98" s="638"/>
      <c r="Y98" s="647"/>
      <c r="Z98" s="648"/>
      <c r="AA98" s="648"/>
      <c r="AB98" s="638"/>
      <c r="AC98" s="648" t="s">
        <v>1044</v>
      </c>
      <c r="AD98" s="638"/>
      <c r="AE98" s="647"/>
      <c r="AF98" s="648"/>
      <c r="AG98" s="648"/>
      <c r="AH98" s="638"/>
      <c r="AI98" s="648"/>
      <c r="AJ98" s="648" t="s">
        <v>1044</v>
      </c>
      <c r="AK98" s="639"/>
      <c r="AL98" s="1299">
        <f t="shared" si="1"/>
        <v>1000</v>
      </c>
    </row>
    <row r="99" spans="2:38" ht="24.9" customHeight="1">
      <c r="B99" s="2640"/>
      <c r="C99" s="773">
        <v>31050416</v>
      </c>
      <c r="D99" s="1442" t="s">
        <v>355</v>
      </c>
      <c r="E99" s="773" t="s">
        <v>47</v>
      </c>
      <c r="F99" s="1213" t="s">
        <v>434</v>
      </c>
      <c r="G99" s="645"/>
      <c r="H99" s="648" t="s">
        <v>1044</v>
      </c>
      <c r="I99" s="638"/>
      <c r="J99" s="647"/>
      <c r="K99" s="648"/>
      <c r="L99" s="638"/>
      <c r="M99" s="648"/>
      <c r="N99" s="648"/>
      <c r="O99" s="648" t="s">
        <v>1044</v>
      </c>
      <c r="P99" s="638"/>
      <c r="Q99" s="648"/>
      <c r="R99" s="648"/>
      <c r="S99" s="648"/>
      <c r="T99" s="648"/>
      <c r="U99" s="647"/>
      <c r="V99" s="647" t="s">
        <v>1044</v>
      </c>
      <c r="W99" s="638"/>
      <c r="X99" s="638"/>
      <c r="Y99" s="647"/>
      <c r="Z99" s="648"/>
      <c r="AA99" s="648"/>
      <c r="AB99" s="638"/>
      <c r="AC99" s="648" t="s">
        <v>1044</v>
      </c>
      <c r="AD99" s="638"/>
      <c r="AE99" s="647"/>
      <c r="AF99" s="648"/>
      <c r="AG99" s="648"/>
      <c r="AH99" s="638"/>
      <c r="AI99" s="648"/>
      <c r="AJ99" s="648" t="s">
        <v>1044</v>
      </c>
      <c r="AK99" s="639"/>
      <c r="AL99" s="1299">
        <f t="shared" si="1"/>
        <v>0</v>
      </c>
    </row>
    <row r="100" spans="2:38" ht="24.9" customHeight="1">
      <c r="B100" s="2640"/>
      <c r="C100" s="773">
        <v>31050339</v>
      </c>
      <c r="D100" s="1442" t="s">
        <v>356</v>
      </c>
      <c r="E100" s="773" t="s">
        <v>47</v>
      </c>
      <c r="F100" s="1213" t="s">
        <v>434</v>
      </c>
      <c r="G100" s="645"/>
      <c r="H100" s="648" t="s">
        <v>1044</v>
      </c>
      <c r="I100" s="638"/>
      <c r="J100" s="647"/>
      <c r="K100" s="648"/>
      <c r="L100" s="638"/>
      <c r="M100" s="648"/>
      <c r="N100" s="648"/>
      <c r="O100" s="648" t="s">
        <v>1044</v>
      </c>
      <c r="P100" s="638"/>
      <c r="Q100" s="648"/>
      <c r="R100" s="648"/>
      <c r="S100" s="648"/>
      <c r="T100" s="648"/>
      <c r="U100" s="647"/>
      <c r="V100" s="647">
        <v>1000</v>
      </c>
      <c r="W100" s="638"/>
      <c r="X100" s="638"/>
      <c r="Y100" s="647"/>
      <c r="Z100" s="648"/>
      <c r="AA100" s="648"/>
      <c r="AB100" s="638"/>
      <c r="AC100" s="648" t="s">
        <v>1044</v>
      </c>
      <c r="AD100" s="638"/>
      <c r="AE100" s="647"/>
      <c r="AF100" s="648"/>
      <c r="AG100" s="648"/>
      <c r="AH100" s="638"/>
      <c r="AI100" s="648"/>
      <c r="AJ100" s="648" t="s">
        <v>1044</v>
      </c>
      <c r="AK100" s="639"/>
      <c r="AL100" s="1299">
        <f t="shared" si="1"/>
        <v>1000</v>
      </c>
    </row>
    <row r="101" spans="2:38" ht="24.9" customHeight="1">
      <c r="B101" s="2640"/>
      <c r="C101" s="773">
        <v>31030045</v>
      </c>
      <c r="D101" s="1442" t="s">
        <v>442</v>
      </c>
      <c r="E101" s="773" t="s">
        <v>47</v>
      </c>
      <c r="F101" s="1213" t="s">
        <v>434</v>
      </c>
      <c r="G101" s="644"/>
      <c r="H101" s="648" t="s">
        <v>1044</v>
      </c>
      <c r="I101" s="612"/>
      <c r="J101" s="647"/>
      <c r="K101" s="648"/>
      <c r="L101" s="612"/>
      <c r="M101" s="648"/>
      <c r="N101" s="648"/>
      <c r="O101" s="648" t="s">
        <v>1044</v>
      </c>
      <c r="P101" s="612"/>
      <c r="Q101" s="648"/>
      <c r="R101" s="648"/>
      <c r="S101" s="648"/>
      <c r="T101" s="648"/>
      <c r="U101" s="647"/>
      <c r="V101" s="647" t="s">
        <v>1044</v>
      </c>
      <c r="W101" s="612"/>
      <c r="X101" s="612"/>
      <c r="Y101" s="647"/>
      <c r="Z101" s="648"/>
      <c r="AA101" s="648"/>
      <c r="AB101" s="612"/>
      <c r="AC101" s="648" t="s">
        <v>1044</v>
      </c>
      <c r="AD101" s="612"/>
      <c r="AE101" s="647"/>
      <c r="AF101" s="648"/>
      <c r="AG101" s="648"/>
      <c r="AH101" s="612"/>
      <c r="AI101" s="648"/>
      <c r="AJ101" s="648" t="s">
        <v>1044</v>
      </c>
      <c r="AK101" s="641"/>
      <c r="AL101" s="1299">
        <f t="shared" si="1"/>
        <v>0</v>
      </c>
    </row>
    <row r="102" spans="2:38" ht="24.9" customHeight="1">
      <c r="B102" s="2640"/>
      <c r="C102" s="1111">
        <v>31030140</v>
      </c>
      <c r="D102" s="1694" t="s">
        <v>443</v>
      </c>
      <c r="E102" s="773" t="s">
        <v>47</v>
      </c>
      <c r="F102" s="1695" t="s">
        <v>434</v>
      </c>
      <c r="G102" s="646"/>
      <c r="H102" s="648" t="s">
        <v>1044</v>
      </c>
      <c r="I102" s="647"/>
      <c r="J102" s="647"/>
      <c r="K102" s="648"/>
      <c r="L102" s="647"/>
      <c r="M102" s="648"/>
      <c r="N102" s="648"/>
      <c r="O102" s="648" t="s">
        <v>1044</v>
      </c>
      <c r="P102" s="647"/>
      <c r="Q102" s="648"/>
      <c r="R102" s="648"/>
      <c r="S102" s="648"/>
      <c r="T102" s="648"/>
      <c r="U102" s="647"/>
      <c r="V102" s="647" t="s">
        <v>1044</v>
      </c>
      <c r="W102" s="647"/>
      <c r="X102" s="647"/>
      <c r="Y102" s="647"/>
      <c r="Z102" s="648"/>
      <c r="AA102" s="648"/>
      <c r="AB102" s="647"/>
      <c r="AC102" s="648" t="s">
        <v>1044</v>
      </c>
      <c r="AD102" s="647"/>
      <c r="AE102" s="647"/>
      <c r="AF102" s="648"/>
      <c r="AG102" s="648"/>
      <c r="AH102" s="647"/>
      <c r="AI102" s="648"/>
      <c r="AJ102" s="648" t="s">
        <v>1044</v>
      </c>
      <c r="AK102" s="648"/>
      <c r="AL102" s="1299">
        <f t="shared" si="1"/>
        <v>0</v>
      </c>
    </row>
    <row r="103" spans="2:38" ht="24.9" customHeight="1">
      <c r="B103" s="2640"/>
      <c r="C103" s="1111">
        <v>31030113</v>
      </c>
      <c r="D103" s="1694" t="s">
        <v>444</v>
      </c>
      <c r="E103" s="1111" t="s">
        <v>47</v>
      </c>
      <c r="F103" s="1695" t="s">
        <v>434</v>
      </c>
      <c r="G103" s="646"/>
      <c r="H103" s="648" t="s">
        <v>1044</v>
      </c>
      <c r="I103" s="647"/>
      <c r="J103" s="647"/>
      <c r="K103" s="648"/>
      <c r="L103" s="647"/>
      <c r="M103" s="648"/>
      <c r="N103" s="648"/>
      <c r="O103" s="648" t="s">
        <v>1044</v>
      </c>
      <c r="P103" s="647"/>
      <c r="Q103" s="648"/>
      <c r="R103" s="648"/>
      <c r="S103" s="648"/>
      <c r="T103" s="648"/>
      <c r="U103" s="647"/>
      <c r="V103" s="647" t="s">
        <v>1044</v>
      </c>
      <c r="W103" s="647"/>
      <c r="X103" s="647"/>
      <c r="Y103" s="647"/>
      <c r="Z103" s="648"/>
      <c r="AA103" s="648"/>
      <c r="AB103" s="647"/>
      <c r="AC103" s="648" t="s">
        <v>1044</v>
      </c>
      <c r="AD103" s="647"/>
      <c r="AE103" s="647"/>
      <c r="AF103" s="648"/>
      <c r="AG103" s="648"/>
      <c r="AH103" s="647"/>
      <c r="AI103" s="648"/>
      <c r="AJ103" s="648" t="s">
        <v>1044</v>
      </c>
      <c r="AK103" s="648"/>
      <c r="AL103" s="1298">
        <f t="shared" si="1"/>
        <v>0</v>
      </c>
    </row>
    <row r="104" spans="2:38" ht="24.9" customHeight="1">
      <c r="B104" s="2640"/>
      <c r="C104" s="773">
        <v>31030112</v>
      </c>
      <c r="D104" s="1442" t="s">
        <v>445</v>
      </c>
      <c r="E104" s="773" t="s">
        <v>47</v>
      </c>
      <c r="F104" s="1213" t="s">
        <v>434</v>
      </c>
      <c r="G104" s="644"/>
      <c r="H104" s="648" t="s">
        <v>1044</v>
      </c>
      <c r="I104" s="612"/>
      <c r="J104" s="647"/>
      <c r="K104" s="648"/>
      <c r="L104" s="612"/>
      <c r="M104" s="648"/>
      <c r="N104" s="648"/>
      <c r="O104" s="648" t="s">
        <v>1044</v>
      </c>
      <c r="P104" s="612"/>
      <c r="Q104" s="648"/>
      <c r="R104" s="648"/>
      <c r="S104" s="648"/>
      <c r="T104" s="648"/>
      <c r="U104" s="647"/>
      <c r="V104" s="647" t="s">
        <v>1044</v>
      </c>
      <c r="W104" s="612"/>
      <c r="X104" s="612"/>
      <c r="Y104" s="647"/>
      <c r="Z104" s="648"/>
      <c r="AA104" s="648"/>
      <c r="AB104" s="612"/>
      <c r="AC104" s="648" t="s">
        <v>1044</v>
      </c>
      <c r="AD104" s="612"/>
      <c r="AE104" s="647"/>
      <c r="AF104" s="648"/>
      <c r="AG104" s="648"/>
      <c r="AH104" s="612"/>
      <c r="AI104" s="648"/>
      <c r="AJ104" s="648" t="s">
        <v>1044</v>
      </c>
      <c r="AK104" s="641"/>
      <c r="AL104" s="1299">
        <f t="shared" si="1"/>
        <v>0</v>
      </c>
    </row>
    <row r="105" spans="2:38" ht="24.9" customHeight="1">
      <c r="B105" s="2640"/>
      <c r="C105" s="1572">
        <v>31010534</v>
      </c>
      <c r="D105" s="1237" t="s">
        <v>1754</v>
      </c>
      <c r="E105" s="773" t="s">
        <v>47</v>
      </c>
      <c r="F105" s="1692"/>
      <c r="G105" s="640"/>
      <c r="H105" s="648" t="s">
        <v>1044</v>
      </c>
      <c r="I105" s="612"/>
      <c r="J105" s="647"/>
      <c r="K105" s="648"/>
      <c r="L105" s="612"/>
      <c r="M105" s="648"/>
      <c r="N105" s="648"/>
      <c r="O105" s="648" t="s">
        <v>1044</v>
      </c>
      <c r="P105" s="612"/>
      <c r="Q105" s="648"/>
      <c r="R105" s="648"/>
      <c r="S105" s="648"/>
      <c r="T105" s="648"/>
      <c r="U105" s="647"/>
      <c r="V105" s="647" t="s">
        <v>1044</v>
      </c>
      <c r="W105" s="612"/>
      <c r="X105" s="612"/>
      <c r="Y105" s="647"/>
      <c r="Z105" s="648"/>
      <c r="AA105" s="648"/>
      <c r="AB105" s="612"/>
      <c r="AC105" s="648" t="s">
        <v>1044</v>
      </c>
      <c r="AD105" s="612"/>
      <c r="AE105" s="647"/>
      <c r="AF105" s="648"/>
      <c r="AG105" s="648"/>
      <c r="AH105" s="612"/>
      <c r="AI105" s="648"/>
      <c r="AJ105" s="648" t="s">
        <v>1044</v>
      </c>
      <c r="AK105" s="641"/>
      <c r="AL105" s="1299">
        <f t="shared" si="1"/>
        <v>0</v>
      </c>
    </row>
    <row r="106" spans="2:38" ht="24.9" customHeight="1">
      <c r="B106" s="2640"/>
      <c r="C106" s="1572">
        <v>31010770</v>
      </c>
      <c r="D106" s="1237" t="s">
        <v>848</v>
      </c>
      <c r="E106" s="773" t="s">
        <v>47</v>
      </c>
      <c r="F106" s="2636" t="s">
        <v>1268</v>
      </c>
      <c r="G106" s="640"/>
      <c r="H106" s="648" t="s">
        <v>1044</v>
      </c>
      <c r="I106" s="612"/>
      <c r="J106" s="647"/>
      <c r="K106" s="648"/>
      <c r="L106" s="612"/>
      <c r="M106" s="648"/>
      <c r="N106" s="648"/>
      <c r="O106" s="648" t="s">
        <v>1044</v>
      </c>
      <c r="P106" s="612"/>
      <c r="Q106" s="648"/>
      <c r="R106" s="648"/>
      <c r="S106" s="648"/>
      <c r="T106" s="648"/>
      <c r="U106" s="647"/>
      <c r="V106" s="647">
        <v>20000</v>
      </c>
      <c r="W106" s="612"/>
      <c r="X106" s="612"/>
      <c r="Y106" s="647"/>
      <c r="Z106" s="648"/>
      <c r="AA106" s="648"/>
      <c r="AB106" s="612"/>
      <c r="AC106" s="648">
        <v>20000</v>
      </c>
      <c r="AD106" s="612"/>
      <c r="AE106" s="647"/>
      <c r="AF106" s="648"/>
      <c r="AG106" s="648"/>
      <c r="AH106" s="612"/>
      <c r="AI106" s="648"/>
      <c r="AJ106" s="648">
        <v>20000</v>
      </c>
      <c r="AK106" s="641"/>
      <c r="AL106" s="1299">
        <f t="shared" si="1"/>
        <v>60000</v>
      </c>
    </row>
    <row r="107" spans="2:38" ht="24.9" customHeight="1">
      <c r="B107" s="2640"/>
      <c r="C107" s="1572">
        <v>31010771</v>
      </c>
      <c r="D107" s="1237" t="s">
        <v>853</v>
      </c>
      <c r="E107" s="773" t="s">
        <v>47</v>
      </c>
      <c r="F107" s="2637"/>
      <c r="G107" s="640"/>
      <c r="H107" s="648" t="s">
        <v>1044</v>
      </c>
      <c r="I107" s="612"/>
      <c r="J107" s="647"/>
      <c r="K107" s="648"/>
      <c r="L107" s="612"/>
      <c r="M107" s="648"/>
      <c r="N107" s="648"/>
      <c r="O107" s="648" t="s">
        <v>1044</v>
      </c>
      <c r="P107" s="612"/>
      <c r="Q107" s="648"/>
      <c r="R107" s="648"/>
      <c r="S107" s="648"/>
      <c r="T107" s="648"/>
      <c r="U107" s="647"/>
      <c r="V107" s="647">
        <v>20000</v>
      </c>
      <c r="W107" s="612"/>
      <c r="X107" s="612"/>
      <c r="Y107" s="647"/>
      <c r="Z107" s="648"/>
      <c r="AA107" s="648"/>
      <c r="AB107" s="612"/>
      <c r="AC107" s="648">
        <v>20000</v>
      </c>
      <c r="AD107" s="612"/>
      <c r="AE107" s="647"/>
      <c r="AF107" s="648"/>
      <c r="AG107" s="648"/>
      <c r="AH107" s="612"/>
      <c r="AI107" s="648"/>
      <c r="AJ107" s="648">
        <v>20000</v>
      </c>
      <c r="AK107" s="641"/>
      <c r="AL107" s="1299">
        <f t="shared" si="1"/>
        <v>60000</v>
      </c>
    </row>
    <row r="108" spans="2:38" ht="24.9" customHeight="1">
      <c r="B108" s="2640"/>
      <c r="C108" s="1572">
        <v>31010772</v>
      </c>
      <c r="D108" s="1237" t="s">
        <v>850</v>
      </c>
      <c r="E108" s="773" t="s">
        <v>47</v>
      </c>
      <c r="F108" s="2638"/>
      <c r="G108" s="640"/>
      <c r="H108" s="648" t="s">
        <v>1044</v>
      </c>
      <c r="I108" s="612"/>
      <c r="J108" s="647"/>
      <c r="K108" s="648"/>
      <c r="L108" s="612"/>
      <c r="M108" s="648"/>
      <c r="N108" s="648"/>
      <c r="O108" s="648" t="s">
        <v>1044</v>
      </c>
      <c r="P108" s="612"/>
      <c r="Q108" s="648"/>
      <c r="R108" s="648"/>
      <c r="S108" s="648"/>
      <c r="T108" s="648"/>
      <c r="U108" s="647"/>
      <c r="V108" s="647" t="s">
        <v>1044</v>
      </c>
      <c r="W108" s="612"/>
      <c r="X108" s="612"/>
      <c r="Y108" s="647"/>
      <c r="Z108" s="648"/>
      <c r="AA108" s="648"/>
      <c r="AB108" s="612"/>
      <c r="AC108" s="648">
        <v>20000</v>
      </c>
      <c r="AD108" s="612"/>
      <c r="AE108" s="647"/>
      <c r="AF108" s="648"/>
      <c r="AG108" s="648"/>
      <c r="AH108" s="612"/>
      <c r="AI108" s="648"/>
      <c r="AJ108" s="648">
        <v>20000</v>
      </c>
      <c r="AK108" s="641"/>
      <c r="AL108" s="1299">
        <f t="shared" si="1"/>
        <v>40000</v>
      </c>
    </row>
    <row r="109" spans="2:38" ht="24.9" customHeight="1">
      <c r="B109" s="2640"/>
      <c r="C109" s="773">
        <v>31010762</v>
      </c>
      <c r="D109" s="1442" t="s">
        <v>1257</v>
      </c>
      <c r="E109" s="1691" t="s">
        <v>32</v>
      </c>
      <c r="F109" s="1213" t="s">
        <v>1255</v>
      </c>
      <c r="G109" s="637"/>
      <c r="H109" s="648" t="s">
        <v>1044</v>
      </c>
      <c r="I109" s="638"/>
      <c r="J109" s="647"/>
      <c r="K109" s="648"/>
      <c r="L109" s="638"/>
      <c r="M109" s="648"/>
      <c r="N109" s="648"/>
      <c r="O109" s="648" t="s">
        <v>1044</v>
      </c>
      <c r="P109" s="638"/>
      <c r="Q109" s="648"/>
      <c r="R109" s="648"/>
      <c r="S109" s="648"/>
      <c r="T109" s="648"/>
      <c r="U109" s="647"/>
      <c r="V109" s="647" t="s">
        <v>1044</v>
      </c>
      <c r="W109" s="638"/>
      <c r="X109" s="638"/>
      <c r="Y109" s="647"/>
      <c r="Z109" s="648"/>
      <c r="AA109" s="648"/>
      <c r="AB109" s="638"/>
      <c r="AC109" s="648" t="s">
        <v>1044</v>
      </c>
      <c r="AD109" s="638"/>
      <c r="AE109" s="647"/>
      <c r="AF109" s="648"/>
      <c r="AG109" s="648"/>
      <c r="AH109" s="638"/>
      <c r="AI109" s="648"/>
      <c r="AJ109" s="648" t="s">
        <v>1044</v>
      </c>
      <c r="AK109" s="639"/>
      <c r="AL109" s="1299">
        <f>SUM(G109:AK109)</f>
        <v>0</v>
      </c>
    </row>
    <row r="110" spans="2:38" ht="24.9" customHeight="1">
      <c r="B110" s="2640"/>
      <c r="C110" s="867">
        <v>31010867</v>
      </c>
      <c r="D110" s="524" t="s">
        <v>1234</v>
      </c>
      <c r="E110" s="245" t="s">
        <v>47</v>
      </c>
      <c r="F110" s="1210" t="s">
        <v>1255</v>
      </c>
      <c r="G110" s="640"/>
      <c r="H110" s="648" t="s">
        <v>1044</v>
      </c>
      <c r="I110" s="612"/>
      <c r="J110" s="647"/>
      <c r="K110" s="648"/>
      <c r="L110" s="612"/>
      <c r="M110" s="648"/>
      <c r="N110" s="648"/>
      <c r="O110" s="648" t="s">
        <v>1044</v>
      </c>
      <c r="P110" s="612"/>
      <c r="Q110" s="648"/>
      <c r="R110" s="648"/>
      <c r="S110" s="648"/>
      <c r="T110" s="648"/>
      <c r="U110" s="647"/>
      <c r="V110" s="647" t="s">
        <v>1044</v>
      </c>
      <c r="W110" s="612"/>
      <c r="X110" s="612"/>
      <c r="Y110" s="647"/>
      <c r="Z110" s="648"/>
      <c r="AA110" s="648"/>
      <c r="AB110" s="612"/>
      <c r="AC110" s="648" t="s">
        <v>1044</v>
      </c>
      <c r="AD110" s="612"/>
      <c r="AE110" s="647"/>
      <c r="AF110" s="648"/>
      <c r="AG110" s="648"/>
      <c r="AH110" s="612"/>
      <c r="AI110" s="648"/>
      <c r="AJ110" s="648" t="s">
        <v>1044</v>
      </c>
      <c r="AK110" s="641"/>
      <c r="AL110" s="1299">
        <f t="shared" si="1"/>
        <v>0</v>
      </c>
    </row>
    <row r="111" spans="2:38" ht="24.9" customHeight="1">
      <c r="B111" s="2640"/>
      <c r="C111" s="867">
        <v>31010987</v>
      </c>
      <c r="D111" s="524" t="s">
        <v>1294</v>
      </c>
      <c r="E111" s="245" t="s">
        <v>47</v>
      </c>
      <c r="F111" s="1210" t="s">
        <v>1299</v>
      </c>
      <c r="G111" s="640"/>
      <c r="H111" s="648" t="s">
        <v>1044</v>
      </c>
      <c r="I111" s="612"/>
      <c r="J111" s="647"/>
      <c r="K111" s="648"/>
      <c r="L111" s="612"/>
      <c r="M111" s="648"/>
      <c r="N111" s="648"/>
      <c r="O111" s="648" t="s">
        <v>1044</v>
      </c>
      <c r="P111" s="612"/>
      <c r="Q111" s="648"/>
      <c r="R111" s="648"/>
      <c r="S111" s="648"/>
      <c r="T111" s="648"/>
      <c r="U111" s="647"/>
      <c r="V111" s="647" t="s">
        <v>1044</v>
      </c>
      <c r="W111" s="612"/>
      <c r="X111" s="612"/>
      <c r="Y111" s="647"/>
      <c r="Z111" s="648"/>
      <c r="AA111" s="648"/>
      <c r="AB111" s="612"/>
      <c r="AC111" s="648" t="s">
        <v>1044</v>
      </c>
      <c r="AD111" s="612"/>
      <c r="AE111" s="647"/>
      <c r="AF111" s="648"/>
      <c r="AG111" s="648"/>
      <c r="AH111" s="612"/>
      <c r="AI111" s="648"/>
      <c r="AJ111" s="648" t="s">
        <v>1044</v>
      </c>
      <c r="AK111" s="641"/>
      <c r="AL111" s="1299">
        <f t="shared" si="1"/>
        <v>0</v>
      </c>
    </row>
    <row r="112" spans="2:38" ht="24.9" customHeight="1">
      <c r="B112" s="2640"/>
      <c r="C112" s="867">
        <v>31010988</v>
      </c>
      <c r="D112" s="524" t="s">
        <v>1300</v>
      </c>
      <c r="E112" s="245" t="s">
        <v>47</v>
      </c>
      <c r="F112" s="1210" t="s">
        <v>1299</v>
      </c>
      <c r="G112" s="640"/>
      <c r="H112" s="648" t="s">
        <v>1044</v>
      </c>
      <c r="I112" s="612"/>
      <c r="J112" s="647"/>
      <c r="K112" s="648"/>
      <c r="L112" s="612"/>
      <c r="M112" s="648"/>
      <c r="N112" s="648"/>
      <c r="O112" s="648" t="s">
        <v>1044</v>
      </c>
      <c r="P112" s="612"/>
      <c r="Q112" s="648"/>
      <c r="R112" s="648"/>
      <c r="S112" s="648"/>
      <c r="T112" s="648"/>
      <c r="U112" s="647"/>
      <c r="V112" s="647" t="s">
        <v>1044</v>
      </c>
      <c r="W112" s="612"/>
      <c r="X112" s="612"/>
      <c r="Y112" s="647"/>
      <c r="Z112" s="648"/>
      <c r="AA112" s="648"/>
      <c r="AB112" s="612"/>
      <c r="AC112" s="648" t="s">
        <v>1044</v>
      </c>
      <c r="AD112" s="612"/>
      <c r="AE112" s="647"/>
      <c r="AF112" s="648"/>
      <c r="AG112" s="648"/>
      <c r="AH112" s="612"/>
      <c r="AI112" s="648"/>
      <c r="AJ112" s="648" t="s">
        <v>1044</v>
      </c>
      <c r="AK112" s="641"/>
      <c r="AL112" s="1299">
        <f t="shared" si="1"/>
        <v>0</v>
      </c>
    </row>
    <row r="113" spans="2:38" ht="24.9" customHeight="1">
      <c r="B113" s="2640"/>
      <c r="C113" s="867">
        <v>31010989</v>
      </c>
      <c r="D113" s="1237" t="s">
        <v>1296</v>
      </c>
      <c r="E113" s="615" t="s">
        <v>47</v>
      </c>
      <c r="F113" s="1210" t="s">
        <v>1299</v>
      </c>
      <c r="G113" s="640"/>
      <c r="H113" s="648" t="s">
        <v>1044</v>
      </c>
      <c r="I113" s="612"/>
      <c r="J113" s="647"/>
      <c r="K113" s="648"/>
      <c r="L113" s="612"/>
      <c r="M113" s="648"/>
      <c r="N113" s="648"/>
      <c r="O113" s="648" t="s">
        <v>1044</v>
      </c>
      <c r="P113" s="612"/>
      <c r="Q113" s="648"/>
      <c r="R113" s="648"/>
      <c r="S113" s="648"/>
      <c r="T113" s="648"/>
      <c r="U113" s="647"/>
      <c r="V113" s="647" t="s">
        <v>1044</v>
      </c>
      <c r="W113" s="612"/>
      <c r="X113" s="612"/>
      <c r="Y113" s="647"/>
      <c r="Z113" s="648"/>
      <c r="AA113" s="648"/>
      <c r="AB113" s="612"/>
      <c r="AC113" s="648" t="s">
        <v>1044</v>
      </c>
      <c r="AD113" s="612"/>
      <c r="AE113" s="647"/>
      <c r="AF113" s="648"/>
      <c r="AG113" s="648"/>
      <c r="AH113" s="612"/>
      <c r="AI113" s="648"/>
      <c r="AJ113" s="648" t="s">
        <v>1044</v>
      </c>
      <c r="AK113" s="641"/>
      <c r="AL113" s="1299">
        <f t="shared" si="1"/>
        <v>0</v>
      </c>
    </row>
    <row r="114" spans="2:38" ht="24.9" customHeight="1">
      <c r="B114" s="2640"/>
      <c r="C114" s="867">
        <v>31010327</v>
      </c>
      <c r="D114" s="1237" t="s">
        <v>1298</v>
      </c>
      <c r="E114" s="615" t="s">
        <v>47</v>
      </c>
      <c r="F114" s="1210" t="s">
        <v>1299</v>
      </c>
      <c r="G114" s="640"/>
      <c r="H114" s="648">
        <v>150000</v>
      </c>
      <c r="I114" s="612"/>
      <c r="J114" s="647"/>
      <c r="K114" s="648"/>
      <c r="L114" s="612"/>
      <c r="M114" s="648"/>
      <c r="N114" s="648"/>
      <c r="O114" s="648">
        <v>150000</v>
      </c>
      <c r="P114" s="612"/>
      <c r="Q114" s="648"/>
      <c r="R114" s="648"/>
      <c r="S114" s="648"/>
      <c r="T114" s="648"/>
      <c r="U114" s="647"/>
      <c r="V114" s="647">
        <v>150000</v>
      </c>
      <c r="W114" s="612"/>
      <c r="X114" s="612"/>
      <c r="Y114" s="647"/>
      <c r="Z114" s="648"/>
      <c r="AA114" s="648"/>
      <c r="AB114" s="612"/>
      <c r="AC114" s="648">
        <v>150000</v>
      </c>
      <c r="AD114" s="612"/>
      <c r="AE114" s="647"/>
      <c r="AF114" s="648"/>
      <c r="AG114" s="648"/>
      <c r="AH114" s="612"/>
      <c r="AI114" s="648"/>
      <c r="AJ114" s="648">
        <v>300000</v>
      </c>
      <c r="AK114" s="641"/>
      <c r="AL114" s="1299">
        <f t="shared" si="1"/>
        <v>900000</v>
      </c>
    </row>
    <row r="115" spans="2:38" ht="24.9" customHeight="1">
      <c r="B115" s="2640"/>
      <c r="C115" s="527">
        <v>31050897</v>
      </c>
      <c r="D115" s="1237" t="s">
        <v>1310</v>
      </c>
      <c r="E115" s="615" t="s">
        <v>47</v>
      </c>
      <c r="F115" s="1210" t="s">
        <v>1311</v>
      </c>
      <c r="G115" s="644"/>
      <c r="H115" s="648" t="s">
        <v>1044</v>
      </c>
      <c r="I115" s="612"/>
      <c r="J115" s="647"/>
      <c r="K115" s="648"/>
      <c r="L115" s="612"/>
      <c r="M115" s="648"/>
      <c r="N115" s="648"/>
      <c r="O115" s="648" t="s">
        <v>1044</v>
      </c>
      <c r="P115" s="612"/>
      <c r="Q115" s="648"/>
      <c r="R115" s="648"/>
      <c r="S115" s="648"/>
      <c r="T115" s="648"/>
      <c r="U115" s="647"/>
      <c r="V115" s="647" t="s">
        <v>1044</v>
      </c>
      <c r="W115" s="612"/>
      <c r="X115" s="612"/>
      <c r="Y115" s="647"/>
      <c r="Z115" s="648"/>
      <c r="AA115" s="648"/>
      <c r="AB115" s="612"/>
      <c r="AC115" s="648" t="s">
        <v>1044</v>
      </c>
      <c r="AD115" s="612"/>
      <c r="AE115" s="647"/>
      <c r="AF115" s="648"/>
      <c r="AG115" s="648"/>
      <c r="AH115" s="612"/>
      <c r="AI115" s="648"/>
      <c r="AJ115" s="648">
        <v>5000</v>
      </c>
      <c r="AK115" s="641"/>
      <c r="AL115" s="1299">
        <f t="shared" si="1"/>
        <v>5000</v>
      </c>
    </row>
    <row r="116" spans="2:38" ht="24.9" customHeight="1">
      <c r="B116" s="2640"/>
      <c r="C116" s="527">
        <v>31050941</v>
      </c>
      <c r="D116" s="1237" t="s">
        <v>1470</v>
      </c>
      <c r="E116" s="615" t="s">
        <v>47</v>
      </c>
      <c r="F116" s="1211" t="s">
        <v>863</v>
      </c>
      <c r="G116" s="640"/>
      <c r="H116" s="648" t="s">
        <v>1044</v>
      </c>
      <c r="I116" s="612"/>
      <c r="J116" s="647"/>
      <c r="K116" s="648"/>
      <c r="L116" s="612"/>
      <c r="M116" s="648"/>
      <c r="N116" s="648"/>
      <c r="O116" s="648" t="s">
        <v>1044</v>
      </c>
      <c r="P116" s="612"/>
      <c r="Q116" s="648"/>
      <c r="R116" s="648"/>
      <c r="S116" s="648"/>
      <c r="T116" s="648"/>
      <c r="U116" s="647"/>
      <c r="V116" s="647" t="s">
        <v>1044</v>
      </c>
      <c r="W116" s="612"/>
      <c r="X116" s="612"/>
      <c r="Y116" s="647"/>
      <c r="Z116" s="648"/>
      <c r="AA116" s="648"/>
      <c r="AB116" s="612"/>
      <c r="AC116" s="648" t="s">
        <v>1044</v>
      </c>
      <c r="AD116" s="612"/>
      <c r="AE116" s="647"/>
      <c r="AF116" s="648"/>
      <c r="AG116" s="648"/>
      <c r="AH116" s="612"/>
      <c r="AI116" s="648"/>
      <c r="AJ116" s="648" t="s">
        <v>1044</v>
      </c>
      <c r="AK116" s="641"/>
      <c r="AL116" s="1299">
        <f t="shared" si="1"/>
        <v>0</v>
      </c>
    </row>
    <row r="117" spans="2:38" ht="24.9" customHeight="1">
      <c r="B117" s="2640"/>
      <c r="C117" s="527">
        <v>31050942</v>
      </c>
      <c r="D117" s="1237" t="s">
        <v>1471</v>
      </c>
      <c r="E117" s="615" t="s">
        <v>47</v>
      </c>
      <c r="F117" s="1211" t="s">
        <v>863</v>
      </c>
      <c r="G117" s="640"/>
      <c r="H117" s="648" t="s">
        <v>1044</v>
      </c>
      <c r="I117" s="612"/>
      <c r="J117" s="647"/>
      <c r="K117" s="648"/>
      <c r="L117" s="612"/>
      <c r="M117" s="648"/>
      <c r="N117" s="648"/>
      <c r="O117" s="648" t="s">
        <v>1044</v>
      </c>
      <c r="P117" s="612"/>
      <c r="Q117" s="648"/>
      <c r="R117" s="648"/>
      <c r="S117" s="648"/>
      <c r="T117" s="648"/>
      <c r="U117" s="647"/>
      <c r="V117" s="647" t="s">
        <v>1044</v>
      </c>
      <c r="W117" s="612"/>
      <c r="X117" s="612"/>
      <c r="Y117" s="647"/>
      <c r="Z117" s="648"/>
      <c r="AA117" s="648"/>
      <c r="AB117" s="612"/>
      <c r="AC117" s="648" t="s">
        <v>1044</v>
      </c>
      <c r="AD117" s="612"/>
      <c r="AE117" s="647"/>
      <c r="AF117" s="648"/>
      <c r="AG117" s="648"/>
      <c r="AH117" s="612"/>
      <c r="AI117" s="648"/>
      <c r="AJ117" s="648" t="s">
        <v>1044</v>
      </c>
      <c r="AK117" s="641"/>
      <c r="AL117" s="1299">
        <f t="shared" si="1"/>
        <v>0</v>
      </c>
    </row>
    <row r="118" spans="2:38" ht="24.9" customHeight="1">
      <c r="B118" s="2640"/>
      <c r="C118" s="527">
        <v>31050943</v>
      </c>
      <c r="D118" s="1237" t="s">
        <v>1472</v>
      </c>
      <c r="E118" s="615" t="s">
        <v>47</v>
      </c>
      <c r="F118" s="1211" t="s">
        <v>863</v>
      </c>
      <c r="G118" s="640"/>
      <c r="H118" s="648" t="s">
        <v>1044</v>
      </c>
      <c r="I118" s="612"/>
      <c r="J118" s="647"/>
      <c r="K118" s="648"/>
      <c r="L118" s="612"/>
      <c r="M118" s="648"/>
      <c r="N118" s="648"/>
      <c r="O118" s="648" t="s">
        <v>1044</v>
      </c>
      <c r="P118" s="612"/>
      <c r="Q118" s="648"/>
      <c r="R118" s="648"/>
      <c r="S118" s="648"/>
      <c r="T118" s="648"/>
      <c r="U118" s="647"/>
      <c r="V118" s="647" t="s">
        <v>1044</v>
      </c>
      <c r="W118" s="612"/>
      <c r="X118" s="612"/>
      <c r="Y118" s="647"/>
      <c r="Z118" s="648"/>
      <c r="AA118" s="648"/>
      <c r="AB118" s="612"/>
      <c r="AC118" s="648"/>
      <c r="AD118" s="612"/>
      <c r="AE118" s="647"/>
      <c r="AF118" s="648"/>
      <c r="AG118" s="648"/>
      <c r="AH118" s="612"/>
      <c r="AI118" s="648"/>
      <c r="AJ118" s="648"/>
      <c r="AK118" s="641"/>
      <c r="AL118" s="2159">
        <f t="shared" si="1"/>
        <v>0</v>
      </c>
    </row>
    <row r="119" spans="2:38" ht="24.9" customHeight="1">
      <c r="B119" s="2640"/>
      <c r="C119" s="867">
        <v>31061453</v>
      </c>
      <c r="D119" s="1237" t="s">
        <v>1236</v>
      </c>
      <c r="E119" s="615" t="s">
        <v>47</v>
      </c>
      <c r="F119" s="1210" t="s">
        <v>1255</v>
      </c>
      <c r="G119" s="640"/>
      <c r="H119" s="648" t="s">
        <v>1044</v>
      </c>
      <c r="I119" s="612"/>
      <c r="J119" s="647"/>
      <c r="K119" s="648"/>
      <c r="L119" s="612"/>
      <c r="M119" s="648"/>
      <c r="N119" s="648"/>
      <c r="O119" s="648">
        <v>2000</v>
      </c>
      <c r="P119" s="612"/>
      <c r="Q119" s="648"/>
      <c r="R119" s="648"/>
      <c r="S119" s="648"/>
      <c r="T119" s="648"/>
      <c r="U119" s="647"/>
      <c r="V119" s="647">
        <v>1500</v>
      </c>
      <c r="W119" s="612"/>
      <c r="X119" s="612"/>
      <c r="Y119" s="647"/>
      <c r="Z119" s="648"/>
      <c r="AA119" s="648"/>
      <c r="AB119" s="612"/>
      <c r="AC119" s="648" t="s">
        <v>1044</v>
      </c>
      <c r="AD119" s="612"/>
      <c r="AE119" s="647"/>
      <c r="AF119" s="648"/>
      <c r="AG119" s="648"/>
      <c r="AH119" s="612"/>
      <c r="AI119" s="648"/>
      <c r="AJ119" s="648">
        <v>1000</v>
      </c>
      <c r="AK119" s="641"/>
      <c r="AL119" s="1299">
        <f t="shared" si="1"/>
        <v>4500</v>
      </c>
    </row>
    <row r="120" spans="2:38" ht="24.9" customHeight="1">
      <c r="B120" s="2640"/>
      <c r="C120" s="867">
        <v>31061454</v>
      </c>
      <c r="D120" s="1237" t="s">
        <v>1238</v>
      </c>
      <c r="E120" s="615" t="s">
        <v>47</v>
      </c>
      <c r="F120" s="1210" t="s">
        <v>1255</v>
      </c>
      <c r="G120" s="640"/>
      <c r="H120" s="648" t="s">
        <v>1044</v>
      </c>
      <c r="I120" s="612"/>
      <c r="J120" s="647"/>
      <c r="K120" s="648"/>
      <c r="L120" s="612"/>
      <c r="M120" s="648"/>
      <c r="N120" s="648"/>
      <c r="O120" s="648">
        <v>2000</v>
      </c>
      <c r="P120" s="612"/>
      <c r="Q120" s="648"/>
      <c r="R120" s="648"/>
      <c r="S120" s="648"/>
      <c r="T120" s="648"/>
      <c r="U120" s="647"/>
      <c r="V120" s="647">
        <v>1500</v>
      </c>
      <c r="W120" s="612"/>
      <c r="X120" s="612"/>
      <c r="Y120" s="647"/>
      <c r="Z120" s="648"/>
      <c r="AA120" s="648"/>
      <c r="AB120" s="612"/>
      <c r="AC120" s="648" t="s">
        <v>1044</v>
      </c>
      <c r="AD120" s="612"/>
      <c r="AE120" s="647"/>
      <c r="AF120" s="648"/>
      <c r="AG120" s="648"/>
      <c r="AH120" s="612"/>
      <c r="AI120" s="648"/>
      <c r="AJ120" s="648">
        <v>1000</v>
      </c>
      <c r="AK120" s="641"/>
      <c r="AL120" s="1299">
        <f t="shared" si="1"/>
        <v>4500</v>
      </c>
    </row>
    <row r="121" spans="2:38" ht="24.9" customHeight="1">
      <c r="B121" s="2640"/>
      <c r="C121" s="867">
        <v>31061455</v>
      </c>
      <c r="D121" s="1237" t="s">
        <v>1240</v>
      </c>
      <c r="E121" s="615" t="s">
        <v>47</v>
      </c>
      <c r="F121" s="1210" t="s">
        <v>1255</v>
      </c>
      <c r="G121" s="640"/>
      <c r="H121" s="648">
        <v>1000</v>
      </c>
      <c r="I121" s="612"/>
      <c r="J121" s="647"/>
      <c r="K121" s="648"/>
      <c r="L121" s="612"/>
      <c r="M121" s="648"/>
      <c r="N121" s="648"/>
      <c r="O121" s="648">
        <v>1500</v>
      </c>
      <c r="P121" s="612"/>
      <c r="Q121" s="648"/>
      <c r="R121" s="648"/>
      <c r="S121" s="648"/>
      <c r="T121" s="648"/>
      <c r="U121" s="647"/>
      <c r="V121" s="647">
        <v>1000</v>
      </c>
      <c r="W121" s="612"/>
      <c r="X121" s="612"/>
      <c r="Y121" s="647"/>
      <c r="Z121" s="648"/>
      <c r="AA121" s="648"/>
      <c r="AB121" s="612"/>
      <c r="AC121" s="648" t="s">
        <v>1044</v>
      </c>
      <c r="AD121" s="612"/>
      <c r="AE121" s="647"/>
      <c r="AF121" s="648"/>
      <c r="AG121" s="648"/>
      <c r="AH121" s="612"/>
      <c r="AI121" s="648"/>
      <c r="AJ121" s="648">
        <v>2500</v>
      </c>
      <c r="AK121" s="641"/>
      <c r="AL121" s="1299">
        <f t="shared" si="1"/>
        <v>6000</v>
      </c>
    </row>
    <row r="122" spans="2:38" ht="24.9" customHeight="1">
      <c r="B122" s="2640"/>
      <c r="C122" s="867">
        <v>31061456</v>
      </c>
      <c r="D122" s="1237" t="s">
        <v>1242</v>
      </c>
      <c r="E122" s="615" t="s">
        <v>47</v>
      </c>
      <c r="F122" s="1210" t="s">
        <v>1255</v>
      </c>
      <c r="G122" s="640"/>
      <c r="H122" s="648">
        <v>1000</v>
      </c>
      <c r="I122" s="612"/>
      <c r="J122" s="647"/>
      <c r="K122" s="648"/>
      <c r="L122" s="612"/>
      <c r="M122" s="648"/>
      <c r="N122" s="648"/>
      <c r="O122" s="648">
        <v>1500</v>
      </c>
      <c r="P122" s="612"/>
      <c r="Q122" s="648"/>
      <c r="R122" s="648"/>
      <c r="S122" s="648"/>
      <c r="T122" s="648"/>
      <c r="U122" s="647"/>
      <c r="V122" s="647">
        <v>1000</v>
      </c>
      <c r="W122" s="612"/>
      <c r="X122" s="612"/>
      <c r="Y122" s="647"/>
      <c r="Z122" s="648"/>
      <c r="AA122" s="648"/>
      <c r="AB122" s="612"/>
      <c r="AC122" s="648" t="s">
        <v>1044</v>
      </c>
      <c r="AD122" s="612"/>
      <c r="AE122" s="647"/>
      <c r="AF122" s="648"/>
      <c r="AG122" s="648"/>
      <c r="AH122" s="612"/>
      <c r="AI122" s="648"/>
      <c r="AJ122" s="648">
        <v>2500</v>
      </c>
      <c r="AK122" s="641"/>
      <c r="AL122" s="1299">
        <f t="shared" si="1"/>
        <v>6000</v>
      </c>
    </row>
    <row r="123" spans="2:38" ht="24.9" customHeight="1">
      <c r="B123" s="2640"/>
      <c r="C123" s="867">
        <v>31061457</v>
      </c>
      <c r="D123" s="1237" t="s">
        <v>1244</v>
      </c>
      <c r="E123" s="615" t="s">
        <v>47</v>
      </c>
      <c r="F123" s="1210" t="s">
        <v>1255</v>
      </c>
      <c r="G123" s="640"/>
      <c r="H123" s="648" t="s">
        <v>1044</v>
      </c>
      <c r="I123" s="612"/>
      <c r="J123" s="647"/>
      <c r="K123" s="648"/>
      <c r="L123" s="612"/>
      <c r="M123" s="648"/>
      <c r="N123" s="648"/>
      <c r="O123" s="648">
        <v>2000</v>
      </c>
      <c r="P123" s="612"/>
      <c r="Q123" s="648"/>
      <c r="R123" s="648"/>
      <c r="S123" s="648"/>
      <c r="T123" s="648"/>
      <c r="U123" s="647"/>
      <c r="V123" s="647">
        <v>1500</v>
      </c>
      <c r="W123" s="612"/>
      <c r="X123" s="612"/>
      <c r="Y123" s="647"/>
      <c r="Z123" s="648"/>
      <c r="AA123" s="648"/>
      <c r="AB123" s="612"/>
      <c r="AC123" s="648">
        <v>1000</v>
      </c>
      <c r="AD123" s="612"/>
      <c r="AE123" s="647"/>
      <c r="AF123" s="648"/>
      <c r="AG123" s="648"/>
      <c r="AH123" s="612"/>
      <c r="AI123" s="648"/>
      <c r="AJ123" s="648">
        <v>2000</v>
      </c>
      <c r="AK123" s="641"/>
      <c r="AL123" s="1299">
        <f t="shared" si="1"/>
        <v>6500</v>
      </c>
    </row>
    <row r="124" spans="2:38" ht="24.9" customHeight="1">
      <c r="B124" s="2640"/>
      <c r="C124" s="867">
        <v>31061458</v>
      </c>
      <c r="D124" s="1237" t="s">
        <v>1246</v>
      </c>
      <c r="E124" s="615" t="s">
        <v>47</v>
      </c>
      <c r="F124" s="1210" t="s">
        <v>1255</v>
      </c>
      <c r="G124" s="640"/>
      <c r="H124" s="648" t="s">
        <v>1044</v>
      </c>
      <c r="I124" s="612"/>
      <c r="J124" s="647"/>
      <c r="K124" s="648"/>
      <c r="L124" s="612"/>
      <c r="M124" s="648"/>
      <c r="N124" s="648"/>
      <c r="O124" s="648">
        <v>2000</v>
      </c>
      <c r="P124" s="612"/>
      <c r="Q124" s="648"/>
      <c r="R124" s="648"/>
      <c r="S124" s="648"/>
      <c r="T124" s="648"/>
      <c r="U124" s="647"/>
      <c r="V124" s="647">
        <v>1500</v>
      </c>
      <c r="W124" s="612"/>
      <c r="X124" s="612"/>
      <c r="Y124" s="647"/>
      <c r="Z124" s="648"/>
      <c r="AA124" s="648"/>
      <c r="AB124" s="612"/>
      <c r="AC124" s="648">
        <v>1000</v>
      </c>
      <c r="AD124" s="612"/>
      <c r="AE124" s="647"/>
      <c r="AF124" s="648"/>
      <c r="AG124" s="648"/>
      <c r="AH124" s="612"/>
      <c r="AI124" s="648"/>
      <c r="AJ124" s="648">
        <v>2000</v>
      </c>
      <c r="AK124" s="641"/>
      <c r="AL124" s="1299">
        <f t="shared" si="1"/>
        <v>6500</v>
      </c>
    </row>
    <row r="125" spans="2:38" ht="24.9" customHeight="1">
      <c r="B125" s="2640"/>
      <c r="C125" s="867">
        <v>31061459</v>
      </c>
      <c r="D125" s="1237" t="s">
        <v>1248</v>
      </c>
      <c r="E125" s="615" t="s">
        <v>47</v>
      </c>
      <c r="F125" s="1210" t="s">
        <v>1255</v>
      </c>
      <c r="G125" s="640"/>
      <c r="H125" s="648">
        <v>1000</v>
      </c>
      <c r="I125" s="612"/>
      <c r="J125" s="647"/>
      <c r="K125" s="648"/>
      <c r="L125" s="612"/>
      <c r="M125" s="648"/>
      <c r="N125" s="648"/>
      <c r="O125" s="648">
        <v>2000</v>
      </c>
      <c r="P125" s="612"/>
      <c r="Q125" s="648"/>
      <c r="R125" s="648"/>
      <c r="S125" s="648"/>
      <c r="T125" s="648"/>
      <c r="U125" s="647"/>
      <c r="V125" s="647">
        <v>1000</v>
      </c>
      <c r="W125" s="612"/>
      <c r="X125" s="612"/>
      <c r="Y125" s="647"/>
      <c r="Z125" s="648"/>
      <c r="AA125" s="648"/>
      <c r="AB125" s="612"/>
      <c r="AC125" s="648" t="s">
        <v>1044</v>
      </c>
      <c r="AD125" s="612"/>
      <c r="AE125" s="647"/>
      <c r="AF125" s="648"/>
      <c r="AG125" s="648"/>
      <c r="AH125" s="612"/>
      <c r="AI125" s="648"/>
      <c r="AJ125" s="648">
        <v>1500</v>
      </c>
      <c r="AK125" s="641"/>
      <c r="AL125" s="1299">
        <f t="shared" si="1"/>
        <v>5500</v>
      </c>
    </row>
    <row r="126" spans="2:38" ht="24.9" customHeight="1">
      <c r="B126" s="2640"/>
      <c r="C126" s="867">
        <v>31061460</v>
      </c>
      <c r="D126" s="1237" t="s">
        <v>1250</v>
      </c>
      <c r="E126" s="615" t="s">
        <v>47</v>
      </c>
      <c r="F126" s="1210" t="s">
        <v>1255</v>
      </c>
      <c r="G126" s="640"/>
      <c r="H126" s="648">
        <v>1000</v>
      </c>
      <c r="I126" s="612"/>
      <c r="J126" s="647"/>
      <c r="K126" s="648"/>
      <c r="L126" s="612"/>
      <c r="M126" s="648"/>
      <c r="N126" s="648"/>
      <c r="O126" s="648">
        <v>2000</v>
      </c>
      <c r="P126" s="612"/>
      <c r="Q126" s="648"/>
      <c r="R126" s="648"/>
      <c r="S126" s="648"/>
      <c r="T126" s="648"/>
      <c r="U126" s="647"/>
      <c r="V126" s="647">
        <v>1000</v>
      </c>
      <c r="W126" s="612"/>
      <c r="X126" s="612"/>
      <c r="Y126" s="647"/>
      <c r="Z126" s="648"/>
      <c r="AA126" s="648"/>
      <c r="AB126" s="612"/>
      <c r="AC126" s="648" t="s">
        <v>1044</v>
      </c>
      <c r="AD126" s="612"/>
      <c r="AE126" s="647"/>
      <c r="AF126" s="648"/>
      <c r="AG126" s="648"/>
      <c r="AH126" s="612"/>
      <c r="AI126" s="648"/>
      <c r="AJ126" s="648">
        <v>1500</v>
      </c>
      <c r="AK126" s="641"/>
      <c r="AL126" s="1299">
        <f t="shared" si="1"/>
        <v>5500</v>
      </c>
    </row>
    <row r="127" spans="2:38" ht="24.9" customHeight="1">
      <c r="B127" s="2640"/>
      <c r="C127" s="867">
        <v>31061461</v>
      </c>
      <c r="D127" s="1237" t="s">
        <v>1252</v>
      </c>
      <c r="E127" s="615" t="s">
        <v>47</v>
      </c>
      <c r="F127" s="1210" t="s">
        <v>1255</v>
      </c>
      <c r="G127" s="640"/>
      <c r="H127" s="648">
        <v>1000</v>
      </c>
      <c r="I127" s="612"/>
      <c r="J127" s="647"/>
      <c r="K127" s="648"/>
      <c r="L127" s="612"/>
      <c r="M127" s="648"/>
      <c r="N127" s="648"/>
      <c r="O127" s="648">
        <v>2500</v>
      </c>
      <c r="P127" s="612"/>
      <c r="Q127" s="648"/>
      <c r="R127" s="648"/>
      <c r="S127" s="648"/>
      <c r="T127" s="648"/>
      <c r="U127" s="647"/>
      <c r="V127" s="647">
        <v>1000</v>
      </c>
      <c r="W127" s="612"/>
      <c r="X127" s="612"/>
      <c r="Y127" s="647"/>
      <c r="Z127" s="648"/>
      <c r="AA127" s="648"/>
      <c r="AB127" s="612"/>
      <c r="AC127" s="648">
        <v>1000</v>
      </c>
      <c r="AD127" s="612"/>
      <c r="AE127" s="647"/>
      <c r="AF127" s="648"/>
      <c r="AG127" s="648"/>
      <c r="AH127" s="612"/>
      <c r="AI127" s="648"/>
      <c r="AJ127" s="648" t="s">
        <v>1044</v>
      </c>
      <c r="AK127" s="641"/>
      <c r="AL127" s="1299">
        <f t="shared" si="1"/>
        <v>5500</v>
      </c>
    </row>
    <row r="128" spans="2:38" ht="24.9" customHeight="1">
      <c r="B128" s="2640"/>
      <c r="C128" s="867">
        <v>31061462</v>
      </c>
      <c r="D128" s="1237" t="s">
        <v>1254</v>
      </c>
      <c r="E128" s="615" t="s">
        <v>47</v>
      </c>
      <c r="F128" s="1210" t="s">
        <v>1255</v>
      </c>
      <c r="G128" s="640"/>
      <c r="H128" s="648">
        <v>1000</v>
      </c>
      <c r="I128" s="612"/>
      <c r="J128" s="647"/>
      <c r="K128" s="648"/>
      <c r="L128" s="612"/>
      <c r="M128" s="648"/>
      <c r="N128" s="648"/>
      <c r="O128" s="648">
        <v>2500</v>
      </c>
      <c r="P128" s="612"/>
      <c r="Q128" s="648"/>
      <c r="R128" s="648"/>
      <c r="S128" s="648"/>
      <c r="T128" s="648"/>
      <c r="U128" s="647"/>
      <c r="V128" s="647">
        <v>1000</v>
      </c>
      <c r="W128" s="612"/>
      <c r="X128" s="612"/>
      <c r="Y128" s="647"/>
      <c r="Z128" s="648"/>
      <c r="AA128" s="648"/>
      <c r="AB128" s="612"/>
      <c r="AC128" s="648">
        <v>1000</v>
      </c>
      <c r="AD128" s="612"/>
      <c r="AE128" s="647"/>
      <c r="AF128" s="648"/>
      <c r="AG128" s="648"/>
      <c r="AH128" s="612"/>
      <c r="AI128" s="648"/>
      <c r="AJ128" s="648" t="s">
        <v>1044</v>
      </c>
      <c r="AK128" s="641"/>
      <c r="AL128" s="1299">
        <f t="shared" si="1"/>
        <v>5500</v>
      </c>
    </row>
    <row r="129" spans="2:38" ht="24.9" customHeight="1">
      <c r="B129" s="2640"/>
      <c r="C129" s="1391">
        <v>31061745</v>
      </c>
      <c r="D129" s="1237" t="s">
        <v>1501</v>
      </c>
      <c r="E129" s="615" t="s">
        <v>47</v>
      </c>
      <c r="F129" s="1211" t="s">
        <v>863</v>
      </c>
      <c r="G129" s="640"/>
      <c r="H129" s="648">
        <v>2000</v>
      </c>
      <c r="I129" s="612"/>
      <c r="J129" s="647"/>
      <c r="K129" s="648"/>
      <c r="L129" s="612"/>
      <c r="M129" s="648"/>
      <c r="N129" s="648"/>
      <c r="O129" s="648">
        <v>2500</v>
      </c>
      <c r="P129" s="612"/>
      <c r="Q129" s="648"/>
      <c r="R129" s="648"/>
      <c r="S129" s="648"/>
      <c r="T129" s="648"/>
      <c r="U129" s="647"/>
      <c r="V129" s="647">
        <v>2500</v>
      </c>
      <c r="W129" s="612"/>
      <c r="X129" s="612"/>
      <c r="Y129" s="647"/>
      <c r="Z129" s="648"/>
      <c r="AA129" s="648"/>
      <c r="AB129" s="612"/>
      <c r="AC129" s="648">
        <v>3000</v>
      </c>
      <c r="AD129" s="612"/>
      <c r="AE129" s="647"/>
      <c r="AF129" s="648"/>
      <c r="AG129" s="648"/>
      <c r="AH129" s="612"/>
      <c r="AI129" s="648"/>
      <c r="AJ129" s="648">
        <v>2000</v>
      </c>
      <c r="AK129" s="641"/>
      <c r="AL129" s="1299">
        <f t="shared" si="1"/>
        <v>12000</v>
      </c>
    </row>
    <row r="130" spans="2:38" ht="24.9" customHeight="1">
      <c r="B130" s="2640"/>
      <c r="C130" s="1391">
        <v>31061746</v>
      </c>
      <c r="D130" s="1237" t="s">
        <v>1502</v>
      </c>
      <c r="E130" s="615" t="s">
        <v>47</v>
      </c>
      <c r="F130" s="1211" t="s">
        <v>863</v>
      </c>
      <c r="G130" s="640"/>
      <c r="H130" s="648">
        <v>2000</v>
      </c>
      <c r="I130" s="612"/>
      <c r="J130" s="647"/>
      <c r="K130" s="648"/>
      <c r="L130" s="612"/>
      <c r="M130" s="648"/>
      <c r="N130" s="648"/>
      <c r="O130" s="648">
        <v>2500</v>
      </c>
      <c r="P130" s="612"/>
      <c r="Q130" s="648"/>
      <c r="R130" s="648"/>
      <c r="S130" s="648"/>
      <c r="T130" s="648"/>
      <c r="U130" s="647"/>
      <c r="V130" s="647">
        <v>2500</v>
      </c>
      <c r="W130" s="612"/>
      <c r="X130" s="612"/>
      <c r="Y130" s="647"/>
      <c r="Z130" s="648"/>
      <c r="AA130" s="648"/>
      <c r="AB130" s="612"/>
      <c r="AC130" s="648">
        <v>3000</v>
      </c>
      <c r="AD130" s="612"/>
      <c r="AE130" s="647"/>
      <c r="AF130" s="648"/>
      <c r="AG130" s="648"/>
      <c r="AH130" s="612"/>
      <c r="AI130" s="648"/>
      <c r="AJ130" s="648">
        <v>2000</v>
      </c>
      <c r="AK130" s="641"/>
      <c r="AL130" s="1299">
        <f t="shared" si="1"/>
        <v>12000</v>
      </c>
    </row>
    <row r="131" spans="2:38" ht="24.9" customHeight="1">
      <c r="B131" s="2640"/>
      <c r="C131" s="1391">
        <v>31061747</v>
      </c>
      <c r="D131" s="1237" t="s">
        <v>1519</v>
      </c>
      <c r="E131" s="615" t="s">
        <v>47</v>
      </c>
      <c r="F131" s="1211" t="s">
        <v>863</v>
      </c>
      <c r="G131" s="640"/>
      <c r="H131" s="648">
        <v>2000</v>
      </c>
      <c r="I131" s="612"/>
      <c r="J131" s="647"/>
      <c r="K131" s="648"/>
      <c r="L131" s="612"/>
      <c r="M131" s="648"/>
      <c r="N131" s="648"/>
      <c r="O131" s="648">
        <v>3000</v>
      </c>
      <c r="P131" s="612"/>
      <c r="Q131" s="648"/>
      <c r="R131" s="648"/>
      <c r="S131" s="648"/>
      <c r="T131" s="648"/>
      <c r="U131" s="647"/>
      <c r="V131" s="647">
        <v>2500</v>
      </c>
      <c r="W131" s="612"/>
      <c r="X131" s="612"/>
      <c r="Y131" s="647"/>
      <c r="Z131" s="648"/>
      <c r="AA131" s="648"/>
      <c r="AB131" s="612"/>
      <c r="AC131" s="648">
        <v>3000</v>
      </c>
      <c r="AD131" s="612"/>
      <c r="AE131" s="647"/>
      <c r="AF131" s="648"/>
      <c r="AG131" s="648"/>
      <c r="AH131" s="612"/>
      <c r="AI131" s="648"/>
      <c r="AJ131" s="648">
        <v>2000</v>
      </c>
      <c r="AK131" s="641"/>
      <c r="AL131" s="1299">
        <f t="shared" si="1"/>
        <v>12500</v>
      </c>
    </row>
    <row r="132" spans="2:38" ht="24.9" customHeight="1">
      <c r="B132" s="2640"/>
      <c r="C132" s="1391">
        <v>31061748</v>
      </c>
      <c r="D132" s="1237" t="s">
        <v>1504</v>
      </c>
      <c r="E132" s="615" t="s">
        <v>47</v>
      </c>
      <c r="F132" s="1211" t="s">
        <v>863</v>
      </c>
      <c r="G132" s="640"/>
      <c r="H132" s="648">
        <v>2000</v>
      </c>
      <c r="I132" s="612"/>
      <c r="J132" s="647"/>
      <c r="K132" s="648"/>
      <c r="L132" s="612"/>
      <c r="M132" s="648"/>
      <c r="N132" s="648"/>
      <c r="O132" s="648">
        <v>3000</v>
      </c>
      <c r="P132" s="612"/>
      <c r="Q132" s="648"/>
      <c r="R132" s="648"/>
      <c r="S132" s="648"/>
      <c r="T132" s="648"/>
      <c r="U132" s="647"/>
      <c r="V132" s="647">
        <v>2500</v>
      </c>
      <c r="W132" s="612"/>
      <c r="X132" s="612"/>
      <c r="Y132" s="647"/>
      <c r="Z132" s="648"/>
      <c r="AA132" s="648"/>
      <c r="AB132" s="612"/>
      <c r="AC132" s="648">
        <v>3000</v>
      </c>
      <c r="AD132" s="612"/>
      <c r="AE132" s="647"/>
      <c r="AF132" s="648"/>
      <c r="AG132" s="648"/>
      <c r="AH132" s="612"/>
      <c r="AI132" s="648"/>
      <c r="AJ132" s="648">
        <v>2000</v>
      </c>
      <c r="AK132" s="641"/>
      <c r="AL132" s="1299">
        <f t="shared" si="1"/>
        <v>12500</v>
      </c>
    </row>
    <row r="133" spans="2:38" ht="24.9" customHeight="1">
      <c r="B133" s="2640"/>
      <c r="C133" s="1572">
        <v>31040184</v>
      </c>
      <c r="D133" s="1237" t="s">
        <v>1473</v>
      </c>
      <c r="E133" s="615" t="s">
        <v>47</v>
      </c>
      <c r="F133" s="1211" t="s">
        <v>863</v>
      </c>
      <c r="G133" s="640"/>
      <c r="H133" s="648" t="s">
        <v>1044</v>
      </c>
      <c r="I133" s="612"/>
      <c r="J133" s="647"/>
      <c r="K133" s="648"/>
      <c r="L133" s="612"/>
      <c r="M133" s="648"/>
      <c r="N133" s="648"/>
      <c r="O133" s="648" t="s">
        <v>1044</v>
      </c>
      <c r="P133" s="612"/>
      <c r="Q133" s="648"/>
      <c r="R133" s="648"/>
      <c r="S133" s="648"/>
      <c r="T133" s="648"/>
      <c r="U133" s="647"/>
      <c r="V133" s="647" t="s">
        <v>1044</v>
      </c>
      <c r="W133" s="612"/>
      <c r="X133" s="612"/>
      <c r="Y133" s="647"/>
      <c r="Z133" s="648"/>
      <c r="AA133" s="648"/>
      <c r="AB133" s="612"/>
      <c r="AC133" s="648" t="s">
        <v>1044</v>
      </c>
      <c r="AD133" s="612"/>
      <c r="AE133" s="647"/>
      <c r="AF133" s="648"/>
      <c r="AG133" s="648"/>
      <c r="AH133" s="612"/>
      <c r="AI133" s="648"/>
      <c r="AJ133" s="648" t="s">
        <v>1044</v>
      </c>
      <c r="AK133" s="641"/>
      <c r="AL133" s="1299">
        <f t="shared" si="1"/>
        <v>0</v>
      </c>
    </row>
    <row r="134" spans="2:38" ht="24.9" customHeight="1">
      <c r="B134" s="2640"/>
      <c r="C134" s="1572">
        <v>31030914</v>
      </c>
      <c r="D134" s="1237" t="s">
        <v>1520</v>
      </c>
      <c r="E134" s="615" t="s">
        <v>47</v>
      </c>
      <c r="F134" s="1211" t="s">
        <v>863</v>
      </c>
      <c r="G134" s="640"/>
      <c r="H134" s="648" t="s">
        <v>1044</v>
      </c>
      <c r="I134" s="612"/>
      <c r="J134" s="647"/>
      <c r="K134" s="648"/>
      <c r="L134" s="612"/>
      <c r="M134" s="648"/>
      <c r="N134" s="648"/>
      <c r="O134" s="648">
        <v>10000</v>
      </c>
      <c r="P134" s="612"/>
      <c r="Q134" s="648"/>
      <c r="R134" s="648"/>
      <c r="S134" s="648"/>
      <c r="T134" s="648"/>
      <c r="U134" s="647"/>
      <c r="V134" s="647">
        <v>10000</v>
      </c>
      <c r="W134" s="612"/>
      <c r="X134" s="612"/>
      <c r="Y134" s="647"/>
      <c r="Z134" s="648"/>
      <c r="AA134" s="648"/>
      <c r="AB134" s="612"/>
      <c r="AC134" s="648">
        <v>10000</v>
      </c>
      <c r="AD134" s="612"/>
      <c r="AE134" s="647"/>
      <c r="AF134" s="648"/>
      <c r="AG134" s="648"/>
      <c r="AH134" s="612"/>
      <c r="AI134" s="648"/>
      <c r="AJ134" s="648">
        <v>15000</v>
      </c>
      <c r="AK134" s="641"/>
      <c r="AL134" s="1299">
        <f t="shared" si="1"/>
        <v>45000</v>
      </c>
    </row>
    <row r="135" spans="2:38" ht="24.9" customHeight="1">
      <c r="B135" s="2640"/>
      <c r="C135" s="746">
        <v>31061014</v>
      </c>
      <c r="D135" s="1237" t="s">
        <v>1319</v>
      </c>
      <c r="E135" s="615" t="s">
        <v>47</v>
      </c>
      <c r="F135" s="1211" t="s">
        <v>1321</v>
      </c>
      <c r="G135" s="640"/>
      <c r="H135" s="648" t="s">
        <v>1044</v>
      </c>
      <c r="I135" s="612"/>
      <c r="J135" s="647"/>
      <c r="K135" s="648"/>
      <c r="L135" s="612"/>
      <c r="M135" s="648"/>
      <c r="N135" s="648"/>
      <c r="O135" s="648" t="s">
        <v>1044</v>
      </c>
      <c r="P135" s="612"/>
      <c r="Q135" s="648"/>
      <c r="R135" s="648"/>
      <c r="S135" s="648"/>
      <c r="T135" s="648"/>
      <c r="U135" s="647"/>
      <c r="V135" s="647" t="s">
        <v>1044</v>
      </c>
      <c r="W135" s="612"/>
      <c r="X135" s="612"/>
      <c r="Y135" s="647"/>
      <c r="Z135" s="648"/>
      <c r="AA135" s="648"/>
      <c r="AB135" s="612"/>
      <c r="AC135" s="648" t="s">
        <v>1044</v>
      </c>
      <c r="AD135" s="612"/>
      <c r="AE135" s="647"/>
      <c r="AF135" s="648"/>
      <c r="AG135" s="648"/>
      <c r="AH135" s="612"/>
      <c r="AI135" s="648"/>
      <c r="AJ135" s="648" t="s">
        <v>1044</v>
      </c>
      <c r="AK135" s="641"/>
      <c r="AL135" s="1299">
        <f t="shared" si="1"/>
        <v>0</v>
      </c>
    </row>
    <row r="136" spans="2:38" ht="24.9" customHeight="1">
      <c r="B136" s="2640"/>
      <c r="C136" s="867">
        <v>31061015</v>
      </c>
      <c r="D136" s="1237" t="s">
        <v>1342</v>
      </c>
      <c r="E136" s="615" t="s">
        <v>47</v>
      </c>
      <c r="F136" s="1211" t="s">
        <v>1321</v>
      </c>
      <c r="G136" s="640"/>
      <c r="H136" s="648" t="s">
        <v>1044</v>
      </c>
      <c r="I136" s="612"/>
      <c r="J136" s="647"/>
      <c r="K136" s="648"/>
      <c r="L136" s="612"/>
      <c r="M136" s="648"/>
      <c r="N136" s="648"/>
      <c r="O136" s="648" t="s">
        <v>1044</v>
      </c>
      <c r="P136" s="612"/>
      <c r="Q136" s="648"/>
      <c r="R136" s="648"/>
      <c r="S136" s="648"/>
      <c r="T136" s="648"/>
      <c r="U136" s="647"/>
      <c r="V136" s="647" t="s">
        <v>1044</v>
      </c>
      <c r="W136" s="612"/>
      <c r="X136" s="612"/>
      <c r="Y136" s="647"/>
      <c r="Z136" s="648"/>
      <c r="AA136" s="648"/>
      <c r="AB136" s="612"/>
      <c r="AC136" s="648" t="s">
        <v>1044</v>
      </c>
      <c r="AD136" s="612"/>
      <c r="AE136" s="647"/>
      <c r="AF136" s="648"/>
      <c r="AG136" s="648"/>
      <c r="AH136" s="612"/>
      <c r="AI136" s="648"/>
      <c r="AJ136" s="648" t="s">
        <v>1044</v>
      </c>
      <c r="AK136" s="641"/>
      <c r="AL136" s="1299">
        <f t="shared" ref="AL136" si="2">SUM(G136:AK136)</f>
        <v>0</v>
      </c>
    </row>
    <row r="137" spans="2:38" ht="24.9" customHeight="1">
      <c r="B137" s="2640"/>
      <c r="C137" s="867">
        <v>31061016</v>
      </c>
      <c r="D137" s="1237" t="s">
        <v>1320</v>
      </c>
      <c r="E137" s="615" t="s">
        <v>47</v>
      </c>
      <c r="F137" s="1211" t="s">
        <v>1321</v>
      </c>
      <c r="G137" s="640"/>
      <c r="H137" s="648" t="s">
        <v>1044</v>
      </c>
      <c r="I137" s="612"/>
      <c r="J137" s="647"/>
      <c r="K137" s="648"/>
      <c r="L137" s="612"/>
      <c r="M137" s="648"/>
      <c r="N137" s="648"/>
      <c r="O137" s="648" t="s">
        <v>1044</v>
      </c>
      <c r="P137" s="612"/>
      <c r="Q137" s="648"/>
      <c r="R137" s="648"/>
      <c r="S137" s="648"/>
      <c r="T137" s="648"/>
      <c r="U137" s="647"/>
      <c r="V137" s="647" t="s">
        <v>1044</v>
      </c>
      <c r="W137" s="612"/>
      <c r="X137" s="612"/>
      <c r="Y137" s="647"/>
      <c r="Z137" s="648"/>
      <c r="AA137" s="648"/>
      <c r="AB137" s="612"/>
      <c r="AC137" s="648" t="s">
        <v>1044</v>
      </c>
      <c r="AD137" s="612"/>
      <c r="AE137" s="647"/>
      <c r="AF137" s="648"/>
      <c r="AG137" s="648"/>
      <c r="AH137" s="612"/>
      <c r="AI137" s="648"/>
      <c r="AJ137" s="648" t="s">
        <v>1044</v>
      </c>
      <c r="AK137" s="641"/>
      <c r="AL137" s="1299">
        <f t="shared" si="1"/>
        <v>0</v>
      </c>
    </row>
    <row r="138" spans="2:38" ht="24.9" customHeight="1">
      <c r="B138" s="2640"/>
      <c r="C138" s="867">
        <v>31010997</v>
      </c>
      <c r="D138" s="524" t="s">
        <v>871</v>
      </c>
      <c r="E138" s="245" t="s">
        <v>47</v>
      </c>
      <c r="F138" s="2633" t="s">
        <v>1269</v>
      </c>
      <c r="G138" s="640"/>
      <c r="H138" s="648" t="s">
        <v>1044</v>
      </c>
      <c r="I138" s="612"/>
      <c r="J138" s="647"/>
      <c r="K138" s="648"/>
      <c r="L138" s="612"/>
      <c r="M138" s="648"/>
      <c r="N138" s="648"/>
      <c r="O138" s="648" t="s">
        <v>1044</v>
      </c>
      <c r="P138" s="612"/>
      <c r="Q138" s="648"/>
      <c r="R138" s="648"/>
      <c r="S138" s="648"/>
      <c r="T138" s="648"/>
      <c r="U138" s="647"/>
      <c r="V138" s="647" t="s">
        <v>1044</v>
      </c>
      <c r="W138" s="612"/>
      <c r="X138" s="612"/>
      <c r="Y138" s="647"/>
      <c r="Z138" s="648"/>
      <c r="AA138" s="648"/>
      <c r="AB138" s="612"/>
      <c r="AC138" s="648" t="s">
        <v>1044</v>
      </c>
      <c r="AD138" s="612"/>
      <c r="AE138" s="647"/>
      <c r="AF138" s="648"/>
      <c r="AG138" s="648"/>
      <c r="AH138" s="612"/>
      <c r="AI138" s="648"/>
      <c r="AJ138" s="648" t="s">
        <v>1044</v>
      </c>
      <c r="AK138" s="641"/>
      <c r="AL138" s="1299">
        <f t="shared" si="1"/>
        <v>0</v>
      </c>
    </row>
    <row r="139" spans="2:38" ht="24.9" customHeight="1">
      <c r="B139" s="2640"/>
      <c r="C139" s="867">
        <v>31010998</v>
      </c>
      <c r="D139" s="524" t="s">
        <v>873</v>
      </c>
      <c r="E139" s="245" t="s">
        <v>47</v>
      </c>
      <c r="F139" s="2634"/>
      <c r="G139" s="640"/>
      <c r="H139" s="648" t="s">
        <v>1044</v>
      </c>
      <c r="I139" s="612"/>
      <c r="J139" s="647"/>
      <c r="K139" s="648"/>
      <c r="L139" s="612"/>
      <c r="M139" s="648"/>
      <c r="N139" s="648"/>
      <c r="O139" s="648" t="s">
        <v>1044</v>
      </c>
      <c r="P139" s="612"/>
      <c r="Q139" s="648"/>
      <c r="R139" s="648"/>
      <c r="S139" s="648"/>
      <c r="T139" s="648"/>
      <c r="U139" s="647"/>
      <c r="V139" s="647" t="s">
        <v>1044</v>
      </c>
      <c r="W139" s="612"/>
      <c r="X139" s="612"/>
      <c r="Y139" s="647"/>
      <c r="Z139" s="648"/>
      <c r="AA139" s="648"/>
      <c r="AB139" s="612"/>
      <c r="AC139" s="648" t="s">
        <v>1044</v>
      </c>
      <c r="AD139" s="612"/>
      <c r="AE139" s="647"/>
      <c r="AF139" s="648"/>
      <c r="AG139" s="648"/>
      <c r="AH139" s="612"/>
      <c r="AI139" s="648"/>
      <c r="AJ139" s="648" t="s">
        <v>1044</v>
      </c>
      <c r="AK139" s="641"/>
      <c r="AL139" s="1299">
        <f t="shared" si="1"/>
        <v>0</v>
      </c>
    </row>
    <row r="140" spans="2:38" ht="24.9" customHeight="1">
      <c r="B140" s="2640"/>
      <c r="C140" s="867">
        <v>31011070</v>
      </c>
      <c r="D140" s="524" t="s">
        <v>875</v>
      </c>
      <c r="E140" s="245" t="s">
        <v>47</v>
      </c>
      <c r="F140" s="2634"/>
      <c r="G140" s="640"/>
      <c r="H140" s="648" t="s">
        <v>1044</v>
      </c>
      <c r="I140" s="612"/>
      <c r="J140" s="647"/>
      <c r="K140" s="648"/>
      <c r="L140" s="612"/>
      <c r="M140" s="648"/>
      <c r="N140" s="648"/>
      <c r="O140" s="648" t="s">
        <v>1044</v>
      </c>
      <c r="P140" s="612"/>
      <c r="Q140" s="648"/>
      <c r="R140" s="648"/>
      <c r="S140" s="648"/>
      <c r="T140" s="648"/>
      <c r="U140" s="647"/>
      <c r="V140" s="647" t="s">
        <v>1044</v>
      </c>
      <c r="W140" s="612"/>
      <c r="X140" s="612"/>
      <c r="Y140" s="647"/>
      <c r="Z140" s="648"/>
      <c r="AA140" s="648"/>
      <c r="AB140" s="612"/>
      <c r="AC140" s="648" t="s">
        <v>1044</v>
      </c>
      <c r="AD140" s="612"/>
      <c r="AE140" s="647"/>
      <c r="AF140" s="648"/>
      <c r="AG140" s="648"/>
      <c r="AH140" s="612"/>
      <c r="AI140" s="648"/>
      <c r="AJ140" s="648" t="s">
        <v>1044</v>
      </c>
      <c r="AK140" s="641"/>
      <c r="AL140" s="1299">
        <f t="shared" si="1"/>
        <v>0</v>
      </c>
    </row>
    <row r="141" spans="2:38" ht="24.9" customHeight="1">
      <c r="B141" s="2640"/>
      <c r="C141" s="867">
        <v>31011082</v>
      </c>
      <c r="D141" s="524" t="s">
        <v>877</v>
      </c>
      <c r="E141" s="245" t="s">
        <v>47</v>
      </c>
      <c r="F141" s="2635"/>
      <c r="G141" s="640"/>
      <c r="H141" s="648" t="s">
        <v>1044</v>
      </c>
      <c r="I141" s="612"/>
      <c r="J141" s="647"/>
      <c r="K141" s="648"/>
      <c r="L141" s="612"/>
      <c r="M141" s="648"/>
      <c r="N141" s="648"/>
      <c r="O141" s="648" t="s">
        <v>1044</v>
      </c>
      <c r="P141" s="612"/>
      <c r="Q141" s="648"/>
      <c r="R141" s="648"/>
      <c r="S141" s="648"/>
      <c r="T141" s="648"/>
      <c r="U141" s="647"/>
      <c r="V141" s="647" t="s">
        <v>1044</v>
      </c>
      <c r="W141" s="612"/>
      <c r="X141" s="612"/>
      <c r="Y141" s="647"/>
      <c r="Z141" s="648"/>
      <c r="AA141" s="648"/>
      <c r="AB141" s="612"/>
      <c r="AC141" s="648" t="s">
        <v>1044</v>
      </c>
      <c r="AD141" s="612"/>
      <c r="AE141" s="647"/>
      <c r="AF141" s="648"/>
      <c r="AG141" s="648"/>
      <c r="AH141" s="612"/>
      <c r="AI141" s="648"/>
      <c r="AJ141" s="648" t="s">
        <v>1044</v>
      </c>
      <c r="AK141" s="641"/>
      <c r="AL141" s="1299">
        <f t="shared" si="1"/>
        <v>0</v>
      </c>
    </row>
    <row r="142" spans="2:38" ht="24.9" customHeight="1">
      <c r="B142" s="2640"/>
      <c r="C142" s="260"/>
      <c r="D142" s="242"/>
      <c r="E142" s="245"/>
      <c r="F142" s="1210"/>
      <c r="G142" s="1510" t="s">
        <v>2220</v>
      </c>
      <c r="H142" s="648" t="s">
        <v>1044</v>
      </c>
      <c r="I142" s="1425"/>
      <c r="J142" s="647"/>
      <c r="K142" s="648"/>
      <c r="L142" s="612"/>
      <c r="M142" s="648"/>
      <c r="N142" s="648"/>
      <c r="O142" s="648" t="s">
        <v>1044</v>
      </c>
      <c r="P142" s="612"/>
      <c r="Q142" s="648"/>
      <c r="R142" s="648"/>
      <c r="S142" s="648"/>
      <c r="T142" s="648"/>
      <c r="U142" s="647"/>
      <c r="V142" s="647" t="s">
        <v>1044</v>
      </c>
      <c r="W142" s="612"/>
      <c r="X142" s="612"/>
      <c r="Y142" s="647"/>
      <c r="Z142" s="648"/>
      <c r="AA142" s="648"/>
      <c r="AB142" s="612"/>
      <c r="AC142" s="648" t="s">
        <v>1044</v>
      </c>
      <c r="AD142" s="612"/>
      <c r="AE142" s="647"/>
      <c r="AF142" s="1610"/>
      <c r="AG142" s="648"/>
      <c r="AH142" s="612"/>
      <c r="AI142" s="648"/>
      <c r="AJ142" s="648" t="s">
        <v>2221</v>
      </c>
      <c r="AK142" s="643"/>
      <c r="AL142" s="1299">
        <f t="shared" si="1"/>
        <v>0</v>
      </c>
    </row>
    <row r="143" spans="2:38" ht="24.9" customHeight="1">
      <c r="B143" s="2640"/>
      <c r="C143" s="245" t="s">
        <v>906</v>
      </c>
      <c r="D143" s="498" t="s">
        <v>1542</v>
      </c>
      <c r="E143" s="245" t="s">
        <v>47</v>
      </c>
      <c r="F143" s="1214" t="s">
        <v>908</v>
      </c>
      <c r="G143" s="1511">
        <v>5500</v>
      </c>
      <c r="H143" s="1511"/>
      <c r="I143" s="761"/>
      <c r="J143" s="761"/>
      <c r="K143" s="612"/>
      <c r="L143" s="761">
        <v>3300</v>
      </c>
      <c r="M143" s="761"/>
      <c r="N143" s="761"/>
      <c r="O143" s="761">
        <v>2200</v>
      </c>
      <c r="P143" s="761"/>
      <c r="Q143" s="761"/>
      <c r="R143" s="648"/>
      <c r="S143" s="761">
        <v>3300</v>
      </c>
      <c r="T143" s="761">
        <v>2200</v>
      </c>
      <c r="U143" s="761"/>
      <c r="V143" s="761"/>
      <c r="W143" s="761"/>
      <c r="X143" s="761"/>
      <c r="Y143" s="761"/>
      <c r="Z143" s="761">
        <v>2200</v>
      </c>
      <c r="AA143" s="761"/>
      <c r="AB143" s="761"/>
      <c r="AC143" s="761"/>
      <c r="AD143" s="761">
        <v>1100</v>
      </c>
      <c r="AE143" s="647">
        <v>3300</v>
      </c>
      <c r="AF143" s="1609"/>
      <c r="AG143" s="761"/>
      <c r="AH143" s="761"/>
      <c r="AI143" s="761"/>
      <c r="AJ143" s="1609">
        <v>-48</v>
      </c>
      <c r="AK143" s="761"/>
      <c r="AL143" s="1300">
        <f t="shared" ref="AL143:AL148" si="3">SUM(G143:AK143)</f>
        <v>23052</v>
      </c>
    </row>
    <row r="144" spans="2:38" ht="24.9" customHeight="1">
      <c r="B144" s="2640"/>
      <c r="C144" s="245" t="s">
        <v>909</v>
      </c>
      <c r="D144" s="498" t="s">
        <v>1543</v>
      </c>
      <c r="E144" s="245" t="s">
        <v>47</v>
      </c>
      <c r="F144" s="1214" t="s">
        <v>908</v>
      </c>
      <c r="G144" s="1511">
        <v>1100</v>
      </c>
      <c r="H144" s="1511">
        <v>3300</v>
      </c>
      <c r="I144" s="761"/>
      <c r="J144" s="761"/>
      <c r="K144" s="761"/>
      <c r="L144" s="761">
        <v>3300</v>
      </c>
      <c r="M144" s="761"/>
      <c r="N144" s="761"/>
      <c r="O144" s="761">
        <v>2200</v>
      </c>
      <c r="P144" s="761"/>
      <c r="Q144" s="761"/>
      <c r="R144" s="648"/>
      <c r="S144" s="761">
        <v>3300</v>
      </c>
      <c r="T144" s="761">
        <v>2200</v>
      </c>
      <c r="U144" s="761"/>
      <c r="V144" s="761"/>
      <c r="W144" s="761"/>
      <c r="X144" s="761"/>
      <c r="Y144" s="761"/>
      <c r="Z144" s="761">
        <v>2200</v>
      </c>
      <c r="AA144" s="761"/>
      <c r="AB144" s="761"/>
      <c r="AC144" s="761"/>
      <c r="AD144" s="761">
        <v>2200</v>
      </c>
      <c r="AE144" s="647">
        <v>3285</v>
      </c>
      <c r="AF144" s="1609"/>
      <c r="AG144" s="761"/>
      <c r="AH144" s="761"/>
      <c r="AI144" s="761"/>
      <c r="AJ144" s="1609">
        <v>-46</v>
      </c>
      <c r="AK144" s="761"/>
      <c r="AL144" s="1300">
        <f t="shared" si="3"/>
        <v>23039</v>
      </c>
    </row>
    <row r="145" spans="2:38" ht="24.9" customHeight="1">
      <c r="B145" s="2640"/>
      <c r="C145" s="245" t="s">
        <v>911</v>
      </c>
      <c r="D145" s="498" t="s">
        <v>912</v>
      </c>
      <c r="E145" s="245" t="s">
        <v>47</v>
      </c>
      <c r="F145" s="1214" t="s">
        <v>908</v>
      </c>
      <c r="G145" s="1511"/>
      <c r="H145" s="1426"/>
      <c r="I145" s="761"/>
      <c r="J145" s="761"/>
      <c r="K145" s="761"/>
      <c r="L145" s="761"/>
      <c r="M145" s="761"/>
      <c r="N145" s="761"/>
      <c r="O145" s="761"/>
      <c r="P145" s="761"/>
      <c r="Q145" s="761"/>
      <c r="R145" s="648"/>
      <c r="S145" s="761"/>
      <c r="T145" s="761">
        <v>1100</v>
      </c>
      <c r="U145" s="761"/>
      <c r="V145" s="761"/>
      <c r="W145" s="761"/>
      <c r="X145" s="761"/>
      <c r="Y145" s="761"/>
      <c r="Z145" s="761"/>
      <c r="AA145" s="761"/>
      <c r="AB145" s="761"/>
      <c r="AC145" s="1609"/>
      <c r="AD145" s="761"/>
      <c r="AE145" s="647"/>
      <c r="AF145" s="1609"/>
      <c r="AG145" s="761"/>
      <c r="AH145" s="761"/>
      <c r="AI145" s="761"/>
      <c r="AJ145" s="1609">
        <v>-1</v>
      </c>
      <c r="AK145" s="1609"/>
      <c r="AL145" s="1300">
        <f t="shared" si="3"/>
        <v>1099</v>
      </c>
    </row>
    <row r="146" spans="2:38" ht="24.9" customHeight="1">
      <c r="B146" s="2640"/>
      <c r="C146" s="245" t="s">
        <v>913</v>
      </c>
      <c r="D146" s="498" t="s">
        <v>914</v>
      </c>
      <c r="E146" s="245" t="s">
        <v>47</v>
      </c>
      <c r="F146" s="1214" t="s">
        <v>908</v>
      </c>
      <c r="G146" s="1512"/>
      <c r="H146" s="1427"/>
      <c r="I146" s="761"/>
      <c r="J146" s="761"/>
      <c r="K146" s="761"/>
      <c r="L146" s="761"/>
      <c r="M146" s="761"/>
      <c r="N146" s="761"/>
      <c r="O146" s="761"/>
      <c r="P146" s="761"/>
      <c r="Q146" s="761"/>
      <c r="R146" s="648"/>
      <c r="S146" s="761"/>
      <c r="T146" s="761"/>
      <c r="U146" s="761"/>
      <c r="V146" s="761"/>
      <c r="W146" s="761"/>
      <c r="X146" s="761"/>
      <c r="Y146" s="761"/>
      <c r="Z146" s="761">
        <v>1100</v>
      </c>
      <c r="AA146" s="761"/>
      <c r="AB146" s="761"/>
      <c r="AC146" s="1609"/>
      <c r="AD146" s="761"/>
      <c r="AE146" s="647"/>
      <c r="AF146" s="1609"/>
      <c r="AG146" s="761"/>
      <c r="AH146" s="761"/>
      <c r="AI146" s="761"/>
      <c r="AJ146" s="1609">
        <v>-1</v>
      </c>
      <c r="AK146" s="761"/>
      <c r="AL146" s="1300">
        <f t="shared" si="3"/>
        <v>1099</v>
      </c>
    </row>
    <row r="147" spans="2:38" ht="24.9" customHeight="1">
      <c r="B147" s="2640"/>
      <c r="C147" s="245" t="s">
        <v>923</v>
      </c>
      <c r="D147" s="788" t="s">
        <v>915</v>
      </c>
      <c r="E147" s="789" t="s">
        <v>47</v>
      </c>
      <c r="F147" s="1215" t="s">
        <v>908</v>
      </c>
      <c r="G147" s="1426"/>
      <c r="H147" s="1426"/>
      <c r="I147" s="761"/>
      <c r="J147" s="761"/>
      <c r="K147" s="761"/>
      <c r="L147" s="761"/>
      <c r="M147" s="761"/>
      <c r="N147" s="761"/>
      <c r="O147" s="761"/>
      <c r="P147" s="761"/>
      <c r="Q147" s="761"/>
      <c r="R147" s="648"/>
      <c r="S147" s="761"/>
      <c r="T147" s="761"/>
      <c r="U147" s="761"/>
      <c r="V147" s="761"/>
      <c r="W147" s="761"/>
      <c r="X147" s="761"/>
      <c r="Y147" s="761"/>
      <c r="Z147" s="761"/>
      <c r="AA147" s="761"/>
      <c r="AB147" s="761"/>
      <c r="AC147" s="761"/>
      <c r="AD147" s="761"/>
      <c r="AE147" s="647"/>
      <c r="AF147" s="761"/>
      <c r="AG147" s="761"/>
      <c r="AH147" s="761"/>
      <c r="AI147" s="761"/>
      <c r="AJ147" s="761"/>
      <c r="AK147" s="761"/>
      <c r="AL147" s="1300">
        <f t="shared" si="3"/>
        <v>0</v>
      </c>
    </row>
    <row r="148" spans="2:38" ht="24.9" customHeight="1" thickBot="1">
      <c r="B148" s="2641"/>
      <c r="C148" s="251" t="s">
        <v>924</v>
      </c>
      <c r="D148" s="1514" t="s">
        <v>916</v>
      </c>
      <c r="E148" s="1515" t="s">
        <v>47</v>
      </c>
      <c r="F148" s="1516" t="s">
        <v>908</v>
      </c>
      <c r="G148" s="1517"/>
      <c r="H148" s="1517"/>
      <c r="I148" s="1139"/>
      <c r="J148" s="1139"/>
      <c r="K148" s="1139"/>
      <c r="L148" s="1139"/>
      <c r="M148" s="1139"/>
      <c r="N148" s="1139"/>
      <c r="O148" s="1139"/>
      <c r="P148" s="1139"/>
      <c r="Q148" s="1139"/>
      <c r="R148" s="648"/>
      <c r="S148" s="1139"/>
      <c r="T148" s="1139"/>
      <c r="U148" s="1139"/>
      <c r="V148" s="1139"/>
      <c r="W148" s="1139"/>
      <c r="X148" s="1139"/>
      <c r="Y148" s="1139"/>
      <c r="Z148" s="1139"/>
      <c r="AA148" s="1139"/>
      <c r="AB148" s="1139"/>
      <c r="AC148" s="1139"/>
      <c r="AD148" s="1139"/>
      <c r="AE148" s="1518"/>
      <c r="AF148" s="1139"/>
      <c r="AG148" s="1139"/>
      <c r="AH148" s="1139"/>
      <c r="AI148" s="1139"/>
      <c r="AJ148" s="1139"/>
      <c r="AK148" s="1139"/>
      <c r="AL148" s="1306">
        <f t="shared" si="3"/>
        <v>0</v>
      </c>
    </row>
    <row r="149" spans="2:38" s="278" customFormat="1" ht="24.9" customHeight="1">
      <c r="B149" s="2626" t="s">
        <v>446</v>
      </c>
      <c r="C149" s="266">
        <v>31030701</v>
      </c>
      <c r="D149" s="267" t="s">
        <v>713</v>
      </c>
      <c r="E149" s="239" t="s">
        <v>32</v>
      </c>
      <c r="F149" s="1207" t="s">
        <v>446</v>
      </c>
      <c r="G149" s="649"/>
      <c r="H149" s="650"/>
      <c r="I149" s="650"/>
      <c r="J149" s="650"/>
      <c r="K149" s="650"/>
      <c r="L149" s="650"/>
      <c r="M149" s="650">
        <v>18000</v>
      </c>
      <c r="N149" s="650"/>
      <c r="O149" s="650"/>
      <c r="P149" s="650"/>
      <c r="Q149" s="650"/>
      <c r="R149" s="650"/>
      <c r="S149" s="650"/>
      <c r="T149" s="650">
        <v>18000</v>
      </c>
      <c r="U149" s="650"/>
      <c r="V149" s="650"/>
      <c r="W149" s="1521"/>
      <c r="X149" s="650"/>
      <c r="Y149" s="650"/>
      <c r="Z149" s="650"/>
      <c r="AA149" s="650">
        <v>18000</v>
      </c>
      <c r="AB149" s="650"/>
      <c r="AC149" s="650"/>
      <c r="AD149" s="650"/>
      <c r="AE149" s="650"/>
      <c r="AF149" s="650"/>
      <c r="AG149" s="650"/>
      <c r="AH149" s="650">
        <v>12000</v>
      </c>
      <c r="AI149" s="650"/>
      <c r="AJ149" s="650"/>
      <c r="AK149" s="650"/>
      <c r="AL149" s="1305">
        <f>SUM(G149:AK149)</f>
        <v>66000</v>
      </c>
    </row>
    <row r="150" spans="2:38" ht="24.9" customHeight="1">
      <c r="B150" s="2627"/>
      <c r="C150" s="245">
        <v>31030221</v>
      </c>
      <c r="D150" s="242" t="s">
        <v>429</v>
      </c>
      <c r="E150" s="245" t="s">
        <v>32</v>
      </c>
      <c r="F150" s="1210" t="s">
        <v>446</v>
      </c>
      <c r="G150" s="640"/>
      <c r="H150" s="612"/>
      <c r="I150" s="612"/>
      <c r="J150" s="612"/>
      <c r="K150" s="612"/>
      <c r="L150" s="612"/>
      <c r="M150" s="612"/>
      <c r="N150" s="612"/>
      <c r="O150" s="612"/>
      <c r="P150" s="612"/>
      <c r="Q150" s="612"/>
      <c r="R150" s="612"/>
      <c r="S150" s="612"/>
      <c r="T150" s="612"/>
      <c r="U150" s="612"/>
      <c r="V150" s="612"/>
      <c r="W150" s="612"/>
      <c r="X150" s="612"/>
      <c r="Y150" s="612"/>
      <c r="Z150" s="612"/>
      <c r="AA150" s="612">
        <v>20000</v>
      </c>
      <c r="AB150" s="612"/>
      <c r="AC150" s="612"/>
      <c r="AD150" s="612"/>
      <c r="AE150" s="612"/>
      <c r="AF150" s="612"/>
      <c r="AG150" s="612"/>
      <c r="AH150" s="612"/>
      <c r="AI150" s="612"/>
      <c r="AJ150" s="612"/>
      <c r="AK150" s="612"/>
      <c r="AL150" s="1302">
        <f t="shared" si="1"/>
        <v>20000</v>
      </c>
    </row>
    <row r="151" spans="2:38" ht="24.9" customHeight="1">
      <c r="B151" s="2627"/>
      <c r="C151" s="245">
        <v>31030194</v>
      </c>
      <c r="D151" s="242" t="s">
        <v>430</v>
      </c>
      <c r="E151" s="245" t="s">
        <v>32</v>
      </c>
      <c r="F151" s="1210" t="s">
        <v>446</v>
      </c>
      <c r="G151" s="640"/>
      <c r="H151" s="612"/>
      <c r="I151" s="612"/>
      <c r="J151" s="612"/>
      <c r="K151" s="612"/>
      <c r="L151" s="612"/>
      <c r="M151" s="612"/>
      <c r="N151" s="612"/>
      <c r="O151" s="612"/>
      <c r="P151" s="612"/>
      <c r="Q151" s="612"/>
      <c r="R151" s="612"/>
      <c r="S151" s="612"/>
      <c r="T151" s="612"/>
      <c r="U151" s="612"/>
      <c r="V151" s="612"/>
      <c r="W151" s="612"/>
      <c r="X151" s="612"/>
      <c r="Y151" s="612"/>
      <c r="Z151" s="612"/>
      <c r="AA151" s="612">
        <v>20000</v>
      </c>
      <c r="AB151" s="612"/>
      <c r="AC151" s="612"/>
      <c r="AD151" s="612"/>
      <c r="AE151" s="612"/>
      <c r="AF151" s="612"/>
      <c r="AG151" s="612"/>
      <c r="AH151" s="612"/>
      <c r="AI151" s="612"/>
      <c r="AJ151" s="612"/>
      <c r="AK151" s="612"/>
      <c r="AL151" s="1302">
        <f t="shared" si="1"/>
        <v>20000</v>
      </c>
    </row>
    <row r="152" spans="2:38" ht="24.9" customHeight="1">
      <c r="B152" s="2627"/>
      <c r="C152" s="245">
        <v>31030198</v>
      </c>
      <c r="D152" s="242" t="s">
        <v>383</v>
      </c>
      <c r="E152" s="245" t="s">
        <v>47</v>
      </c>
      <c r="F152" s="1210" t="s">
        <v>446</v>
      </c>
      <c r="G152" s="640"/>
      <c r="H152" s="612"/>
      <c r="I152" s="612"/>
      <c r="J152" s="612"/>
      <c r="K152" s="612"/>
      <c r="L152" s="612"/>
      <c r="M152" s="612"/>
      <c r="N152" s="612"/>
      <c r="O152" s="612"/>
      <c r="P152" s="612"/>
      <c r="Q152" s="612"/>
      <c r="R152" s="612"/>
      <c r="S152" s="612"/>
      <c r="T152" s="612"/>
      <c r="U152" s="612"/>
      <c r="V152" s="612"/>
      <c r="W152" s="612"/>
      <c r="X152" s="612"/>
      <c r="Y152" s="612"/>
      <c r="Z152" s="612"/>
      <c r="AA152" s="612"/>
      <c r="AB152" s="612"/>
      <c r="AC152" s="612"/>
      <c r="AD152" s="612"/>
      <c r="AE152" s="612"/>
      <c r="AF152" s="612"/>
      <c r="AG152" s="612"/>
      <c r="AH152" s="612"/>
      <c r="AI152" s="612"/>
      <c r="AJ152" s="612"/>
      <c r="AK152" s="612"/>
      <c r="AL152" s="1302">
        <f t="shared" si="1"/>
        <v>0</v>
      </c>
    </row>
    <row r="153" spans="2:38" ht="24.9" customHeight="1">
      <c r="B153" s="2627"/>
      <c r="C153" s="245"/>
      <c r="D153" s="242" t="s">
        <v>539</v>
      </c>
      <c r="E153" s="245" t="s">
        <v>47</v>
      </c>
      <c r="F153" s="1210" t="s">
        <v>446</v>
      </c>
      <c r="G153" s="640"/>
      <c r="H153" s="612"/>
      <c r="I153" s="612"/>
      <c r="J153" s="612"/>
      <c r="K153" s="612"/>
      <c r="L153" s="612"/>
      <c r="M153" s="612"/>
      <c r="N153" s="612"/>
      <c r="O153" s="612"/>
      <c r="P153" s="612"/>
      <c r="Q153" s="612"/>
      <c r="R153" s="612"/>
      <c r="S153" s="612"/>
      <c r="T153" s="612"/>
      <c r="U153" s="612"/>
      <c r="V153" s="612"/>
      <c r="W153" s="612"/>
      <c r="X153" s="612"/>
      <c r="Y153" s="612"/>
      <c r="Z153" s="612"/>
      <c r="AA153" s="612"/>
      <c r="AB153" s="612"/>
      <c r="AC153" s="612"/>
      <c r="AD153" s="612"/>
      <c r="AE153" s="612"/>
      <c r="AF153" s="612"/>
      <c r="AG153" s="612"/>
      <c r="AH153" s="612"/>
      <c r="AI153" s="612"/>
      <c r="AJ153" s="612"/>
      <c r="AK153" s="612"/>
      <c r="AL153" s="1302">
        <f t="shared" si="1"/>
        <v>0</v>
      </c>
    </row>
    <row r="154" spans="2:38" ht="24.9" customHeight="1">
      <c r="B154" s="2627"/>
      <c r="C154" s="245">
        <v>31030038</v>
      </c>
      <c r="D154" s="242" t="s">
        <v>435</v>
      </c>
      <c r="E154" s="245" t="s">
        <v>32</v>
      </c>
      <c r="F154" s="1210" t="s">
        <v>446</v>
      </c>
      <c r="G154" s="640"/>
      <c r="H154" s="612"/>
      <c r="I154" s="612"/>
      <c r="J154" s="612"/>
      <c r="K154" s="612"/>
      <c r="L154" s="612"/>
      <c r="M154" s="612"/>
      <c r="N154" s="612"/>
      <c r="O154" s="612"/>
      <c r="P154" s="612"/>
      <c r="Q154" s="612"/>
      <c r="R154" s="612"/>
      <c r="S154" s="612"/>
      <c r="T154" s="612"/>
      <c r="U154" s="612"/>
      <c r="V154" s="612"/>
      <c r="W154" s="612"/>
      <c r="X154" s="612"/>
      <c r="Y154" s="612"/>
      <c r="Z154" s="612"/>
      <c r="AA154" s="612"/>
      <c r="AB154" s="612"/>
      <c r="AC154" s="612"/>
      <c r="AD154" s="612"/>
      <c r="AE154" s="612"/>
      <c r="AF154" s="612"/>
      <c r="AG154" s="612"/>
      <c r="AH154" s="612"/>
      <c r="AI154" s="612"/>
      <c r="AJ154" s="612"/>
      <c r="AK154" s="612"/>
      <c r="AL154" s="1302">
        <f t="shared" ref="AL154:AL157" si="4">SUM(G154:AK154)</f>
        <v>0</v>
      </c>
    </row>
    <row r="155" spans="2:38" ht="24.9" customHeight="1">
      <c r="B155" s="2627"/>
      <c r="C155" s="245">
        <v>31030220</v>
      </c>
      <c r="D155" s="242" t="s">
        <v>439</v>
      </c>
      <c r="E155" s="245" t="s">
        <v>32</v>
      </c>
      <c r="F155" s="1210" t="s">
        <v>446</v>
      </c>
      <c r="G155" s="640"/>
      <c r="H155" s="612"/>
      <c r="I155" s="612"/>
      <c r="J155" s="612"/>
      <c r="K155" s="612"/>
      <c r="L155" s="612"/>
      <c r="M155" s="612"/>
      <c r="N155" s="612"/>
      <c r="O155" s="612"/>
      <c r="P155" s="612"/>
      <c r="Q155" s="612"/>
      <c r="R155" s="612"/>
      <c r="S155" s="612"/>
      <c r="T155" s="612"/>
      <c r="U155" s="612"/>
      <c r="V155" s="612"/>
      <c r="W155" s="612"/>
      <c r="X155" s="612"/>
      <c r="Y155" s="612"/>
      <c r="Z155" s="612"/>
      <c r="AA155" s="612"/>
      <c r="AB155" s="612"/>
      <c r="AC155" s="612"/>
      <c r="AD155" s="612"/>
      <c r="AE155" s="612"/>
      <c r="AF155" s="612"/>
      <c r="AG155" s="612"/>
      <c r="AH155" s="612"/>
      <c r="AI155" s="612"/>
      <c r="AJ155" s="612"/>
      <c r="AK155" s="612"/>
      <c r="AL155" s="1302">
        <f t="shared" si="4"/>
        <v>0</v>
      </c>
    </row>
    <row r="156" spans="2:38" ht="24.9" customHeight="1">
      <c r="B156" s="2627"/>
      <c r="C156" s="245">
        <v>31030219</v>
      </c>
      <c r="D156" s="242" t="s">
        <v>440</v>
      </c>
      <c r="E156" s="245" t="s">
        <v>32</v>
      </c>
      <c r="F156" s="1210" t="s">
        <v>446</v>
      </c>
      <c r="G156" s="640"/>
      <c r="H156" s="612"/>
      <c r="I156" s="612"/>
      <c r="J156" s="612"/>
      <c r="K156" s="612"/>
      <c r="L156" s="612"/>
      <c r="M156" s="612"/>
      <c r="N156" s="612"/>
      <c r="O156" s="612"/>
      <c r="P156" s="612"/>
      <c r="Q156" s="612"/>
      <c r="R156" s="612"/>
      <c r="S156" s="612"/>
      <c r="T156" s="612"/>
      <c r="U156" s="612"/>
      <c r="V156" s="612"/>
      <c r="W156" s="612"/>
      <c r="X156" s="612"/>
      <c r="Y156" s="612"/>
      <c r="Z156" s="612"/>
      <c r="AA156" s="612"/>
      <c r="AB156" s="612"/>
      <c r="AC156" s="612"/>
      <c r="AD156" s="612"/>
      <c r="AE156" s="612"/>
      <c r="AF156" s="612"/>
      <c r="AG156" s="612"/>
      <c r="AH156" s="612"/>
      <c r="AI156" s="612"/>
      <c r="AJ156" s="612"/>
      <c r="AK156" s="612"/>
      <c r="AL156" s="1302">
        <f t="shared" si="4"/>
        <v>0</v>
      </c>
    </row>
    <row r="157" spans="2:38" ht="24.9" customHeight="1">
      <c r="B157" s="2627"/>
      <c r="C157" s="245">
        <v>31030209</v>
      </c>
      <c r="D157" s="242" t="s">
        <v>441</v>
      </c>
      <c r="E157" s="245" t="s">
        <v>32</v>
      </c>
      <c r="F157" s="1210" t="s">
        <v>446</v>
      </c>
      <c r="G157" s="640"/>
      <c r="H157" s="612"/>
      <c r="I157" s="612"/>
      <c r="J157" s="612"/>
      <c r="K157" s="612"/>
      <c r="L157" s="612"/>
      <c r="M157" s="612"/>
      <c r="N157" s="612"/>
      <c r="O157" s="612"/>
      <c r="P157" s="612"/>
      <c r="Q157" s="612"/>
      <c r="R157" s="612"/>
      <c r="S157" s="612"/>
      <c r="T157" s="612"/>
      <c r="U157" s="612"/>
      <c r="V157" s="612"/>
      <c r="W157" s="612"/>
      <c r="X157" s="612"/>
      <c r="Y157" s="612"/>
      <c r="Z157" s="612"/>
      <c r="AA157" s="612"/>
      <c r="AB157" s="612"/>
      <c r="AC157" s="612"/>
      <c r="AD157" s="612"/>
      <c r="AE157" s="612"/>
      <c r="AF157" s="612"/>
      <c r="AG157" s="612"/>
      <c r="AH157" s="612"/>
      <c r="AI157" s="612"/>
      <c r="AJ157" s="612"/>
      <c r="AK157" s="612"/>
      <c r="AL157" s="1302">
        <f t="shared" si="4"/>
        <v>0</v>
      </c>
    </row>
    <row r="158" spans="2:38" ht="24.9" customHeight="1">
      <c r="B158" s="2627"/>
      <c r="C158" s="245">
        <v>31030236</v>
      </c>
      <c r="D158" s="242" t="s">
        <v>65</v>
      </c>
      <c r="E158" s="245" t="s">
        <v>32</v>
      </c>
      <c r="F158" s="1210" t="s">
        <v>446</v>
      </c>
      <c r="G158" s="640"/>
      <c r="H158" s="612"/>
      <c r="I158" s="612"/>
      <c r="J158" s="612"/>
      <c r="K158" s="612"/>
      <c r="L158" s="612"/>
      <c r="M158" s="612"/>
      <c r="N158" s="612"/>
      <c r="O158" s="612"/>
      <c r="P158" s="612"/>
      <c r="Q158" s="612"/>
      <c r="R158" s="612"/>
      <c r="S158" s="612"/>
      <c r="T158" s="612"/>
      <c r="U158" s="612"/>
      <c r="V158" s="612"/>
      <c r="W158" s="612"/>
      <c r="X158" s="612"/>
      <c r="Y158" s="612"/>
      <c r="Z158" s="612"/>
      <c r="AA158" s="612"/>
      <c r="AB158" s="612"/>
      <c r="AC158" s="612"/>
      <c r="AD158" s="612"/>
      <c r="AE158" s="612"/>
      <c r="AF158" s="612"/>
      <c r="AG158" s="612"/>
      <c r="AH158" s="612"/>
      <c r="AI158" s="612"/>
      <c r="AJ158" s="612"/>
      <c r="AK158" s="612"/>
      <c r="AL158" s="1302">
        <f t="shared" si="1"/>
        <v>0</v>
      </c>
    </row>
    <row r="159" spans="2:38" ht="24.9" customHeight="1" thickBot="1">
      <c r="B159" s="2628"/>
      <c r="C159" s="246">
        <v>31030237</v>
      </c>
      <c r="D159" s="247" t="s">
        <v>66</v>
      </c>
      <c r="E159" s="246" t="s">
        <v>32</v>
      </c>
      <c r="F159" s="1208" t="s">
        <v>446</v>
      </c>
      <c r="G159" s="651"/>
      <c r="H159" s="652"/>
      <c r="I159" s="652"/>
      <c r="J159" s="652"/>
      <c r="K159" s="652"/>
      <c r="L159" s="652"/>
      <c r="M159" s="652"/>
      <c r="N159" s="652"/>
      <c r="O159" s="652"/>
      <c r="P159" s="652"/>
      <c r="Q159" s="652"/>
      <c r="R159" s="652"/>
      <c r="S159" s="652"/>
      <c r="T159" s="652"/>
      <c r="U159" s="652"/>
      <c r="V159" s="652"/>
      <c r="W159" s="652"/>
      <c r="X159" s="652"/>
      <c r="Y159" s="652"/>
      <c r="Z159" s="652"/>
      <c r="AA159" s="652"/>
      <c r="AB159" s="652"/>
      <c r="AC159" s="652"/>
      <c r="AD159" s="652"/>
      <c r="AE159" s="652"/>
      <c r="AF159" s="652"/>
      <c r="AG159" s="652"/>
      <c r="AH159" s="652"/>
      <c r="AI159" s="652"/>
      <c r="AJ159" s="652"/>
      <c r="AK159" s="652"/>
      <c r="AL159" s="1522">
        <f t="shared" si="1"/>
        <v>0</v>
      </c>
    </row>
    <row r="160" spans="2:38" ht="24.9" customHeight="1">
      <c r="B160" s="2630" t="s">
        <v>683</v>
      </c>
      <c r="C160" s="1519"/>
      <c r="D160" s="255" t="s">
        <v>681</v>
      </c>
      <c r="E160" s="254" t="s">
        <v>32</v>
      </c>
      <c r="F160" s="1209"/>
      <c r="G160" s="1424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47"/>
      <c r="AB160" s="647"/>
      <c r="AC160" s="647"/>
      <c r="AD160" s="647"/>
      <c r="AE160" s="647"/>
      <c r="AF160" s="647"/>
      <c r="AG160" s="647"/>
      <c r="AH160" s="647"/>
      <c r="AI160" s="647"/>
      <c r="AJ160" s="647"/>
      <c r="AK160" s="647"/>
      <c r="AL160" s="1520">
        <f t="shared" ref="AL160:AL161" si="5">SUM(G160:AK160)</f>
        <v>0</v>
      </c>
    </row>
    <row r="161" spans="2:38" ht="24.9" customHeight="1">
      <c r="B161" s="2631"/>
      <c r="C161" s="497"/>
      <c r="D161" s="242" t="s">
        <v>682</v>
      </c>
      <c r="E161" s="245" t="s">
        <v>32</v>
      </c>
      <c r="F161" s="1210"/>
      <c r="G161" s="640"/>
      <c r="H161" s="612"/>
      <c r="I161" s="612"/>
      <c r="J161" s="612"/>
      <c r="K161" s="612"/>
      <c r="L161" s="612"/>
      <c r="M161" s="612"/>
      <c r="N161" s="612"/>
      <c r="O161" s="612"/>
      <c r="P161" s="612"/>
      <c r="Q161" s="612"/>
      <c r="R161" s="612"/>
      <c r="S161" s="612"/>
      <c r="T161" s="612"/>
      <c r="U161" s="612"/>
      <c r="V161" s="612"/>
      <c r="W161" s="612"/>
      <c r="X161" s="612"/>
      <c r="Y161" s="612"/>
      <c r="Z161" s="612"/>
      <c r="AA161" s="612"/>
      <c r="AB161" s="612"/>
      <c r="AC161" s="612"/>
      <c r="AD161" s="612"/>
      <c r="AE161" s="612"/>
      <c r="AF161" s="612"/>
      <c r="AG161" s="612"/>
      <c r="AH161" s="612"/>
      <c r="AI161" s="612"/>
      <c r="AJ161" s="612"/>
      <c r="AK161" s="612"/>
      <c r="AL161" s="1302">
        <f t="shared" si="5"/>
        <v>0</v>
      </c>
    </row>
    <row r="162" spans="2:38" ht="24.9" customHeight="1">
      <c r="B162" s="2631"/>
      <c r="C162" s="1617">
        <v>80470018</v>
      </c>
      <c r="D162" s="573" t="s">
        <v>384</v>
      </c>
      <c r="E162" s="245" t="s">
        <v>47</v>
      </c>
      <c r="F162" s="1212" t="s">
        <v>385</v>
      </c>
      <c r="G162" s="640"/>
      <c r="H162" s="612"/>
      <c r="I162" s="612"/>
      <c r="J162" s="612"/>
      <c r="K162" s="612"/>
      <c r="L162" s="612"/>
      <c r="M162" s="612"/>
      <c r="N162" s="612"/>
      <c r="O162" s="612"/>
      <c r="P162" s="612"/>
      <c r="Q162" s="612"/>
      <c r="R162" s="612"/>
      <c r="S162" s="612"/>
      <c r="T162" s="612"/>
      <c r="U162" s="612"/>
      <c r="V162" s="612"/>
      <c r="W162" s="612"/>
      <c r="X162" s="612"/>
      <c r="Y162" s="612"/>
      <c r="Z162" s="612"/>
      <c r="AA162" s="612"/>
      <c r="AB162" s="612"/>
      <c r="AC162" s="612"/>
      <c r="AD162" s="612"/>
      <c r="AE162" s="612"/>
      <c r="AF162" s="612"/>
      <c r="AG162" s="612"/>
      <c r="AH162" s="612"/>
      <c r="AI162" s="612"/>
      <c r="AJ162" s="612"/>
      <c r="AK162" s="612"/>
      <c r="AL162" s="1302">
        <f t="shared" si="1"/>
        <v>0</v>
      </c>
    </row>
    <row r="163" spans="2:38" ht="24.9" customHeight="1">
      <c r="B163" s="2631"/>
      <c r="C163" s="273"/>
      <c r="D163" s="263" t="s">
        <v>965</v>
      </c>
      <c r="E163" s="245" t="s">
        <v>47</v>
      </c>
      <c r="F163" s="1212"/>
      <c r="G163" s="637"/>
      <c r="H163" s="638"/>
      <c r="I163" s="638"/>
      <c r="J163" s="638"/>
      <c r="K163" s="638"/>
      <c r="L163" s="638"/>
      <c r="M163" s="638"/>
      <c r="N163" s="638"/>
      <c r="O163" s="638"/>
      <c r="P163" s="638"/>
      <c r="Q163" s="638"/>
      <c r="R163" s="638"/>
      <c r="S163" s="638"/>
      <c r="T163" s="638"/>
      <c r="U163" s="638"/>
      <c r="V163" s="638"/>
      <c r="W163" s="638"/>
      <c r="X163" s="638"/>
      <c r="Y163" s="638"/>
      <c r="Z163" s="638"/>
      <c r="AA163" s="638"/>
      <c r="AB163" s="638"/>
      <c r="AC163" s="638"/>
      <c r="AD163" s="638"/>
      <c r="AE163" s="638"/>
      <c r="AF163" s="638"/>
      <c r="AG163" s="638"/>
      <c r="AH163" s="638"/>
      <c r="AI163" s="638"/>
      <c r="AJ163" s="638"/>
      <c r="AK163" s="638"/>
      <c r="AL163" s="1302">
        <f t="shared" si="1"/>
        <v>0</v>
      </c>
    </row>
    <row r="164" spans="2:38" ht="24.9" customHeight="1">
      <c r="B164" s="2631"/>
      <c r="C164" s="273"/>
      <c r="D164" s="272" t="s">
        <v>688</v>
      </c>
      <c r="E164" s="245" t="s">
        <v>47</v>
      </c>
      <c r="F164" s="1216"/>
      <c r="G164" s="637"/>
      <c r="H164" s="638"/>
      <c r="I164" s="638"/>
      <c r="J164" s="638"/>
      <c r="K164" s="638"/>
      <c r="L164" s="638"/>
      <c r="M164" s="638"/>
      <c r="N164" s="638"/>
      <c r="O164" s="638"/>
      <c r="P164" s="638"/>
      <c r="Q164" s="638"/>
      <c r="R164" s="638"/>
      <c r="S164" s="638"/>
      <c r="T164" s="638"/>
      <c r="U164" s="638"/>
      <c r="V164" s="638"/>
      <c r="W164" s="638"/>
      <c r="X164" s="638"/>
      <c r="Y164" s="638"/>
      <c r="Z164" s="638"/>
      <c r="AA164" s="638"/>
      <c r="AB164" s="638"/>
      <c r="AC164" s="638"/>
      <c r="AD164" s="638"/>
      <c r="AE164" s="638"/>
      <c r="AF164" s="638"/>
      <c r="AG164" s="638"/>
      <c r="AH164" s="638"/>
      <c r="AI164" s="638"/>
      <c r="AJ164" s="638"/>
      <c r="AK164" s="638"/>
      <c r="AL164" s="1302">
        <f t="shared" si="1"/>
        <v>0</v>
      </c>
    </row>
    <row r="165" spans="2:38" ht="24.9" customHeight="1">
      <c r="B165" s="2631"/>
      <c r="C165" s="572"/>
      <c r="D165" s="573" t="s">
        <v>690</v>
      </c>
      <c r="E165" s="245" t="s">
        <v>47</v>
      </c>
      <c r="F165" s="1217"/>
      <c r="G165" s="637"/>
      <c r="H165" s="638"/>
      <c r="I165" s="638"/>
      <c r="J165" s="638"/>
      <c r="K165" s="638"/>
      <c r="L165" s="638"/>
      <c r="M165" s="638"/>
      <c r="N165" s="638"/>
      <c r="O165" s="638"/>
      <c r="P165" s="638"/>
      <c r="Q165" s="638"/>
      <c r="R165" s="638"/>
      <c r="S165" s="638"/>
      <c r="T165" s="638"/>
      <c r="U165" s="638"/>
      <c r="V165" s="638"/>
      <c r="W165" s="638"/>
      <c r="X165" s="638"/>
      <c r="Y165" s="638"/>
      <c r="Z165" s="638"/>
      <c r="AA165" s="638"/>
      <c r="AB165" s="638"/>
      <c r="AC165" s="638"/>
      <c r="AD165" s="638"/>
      <c r="AE165" s="638"/>
      <c r="AF165" s="638"/>
      <c r="AG165" s="638"/>
      <c r="AH165" s="638"/>
      <c r="AI165" s="638"/>
      <c r="AJ165" s="638"/>
      <c r="AK165" s="638"/>
      <c r="AL165" s="1302">
        <f t="shared" si="1"/>
        <v>0</v>
      </c>
    </row>
    <row r="166" spans="2:38" ht="24.9" customHeight="1" thickBot="1">
      <c r="B166" s="2632"/>
      <c r="C166" s="534"/>
      <c r="D166" s="535" t="s">
        <v>692</v>
      </c>
      <c r="E166" s="251" t="s">
        <v>47</v>
      </c>
      <c r="F166" s="1218"/>
      <c r="G166" s="651"/>
      <c r="H166" s="652"/>
      <c r="I166" s="652"/>
      <c r="J166" s="652"/>
      <c r="K166" s="652"/>
      <c r="L166" s="652"/>
      <c r="M166" s="652"/>
      <c r="N166" s="652"/>
      <c r="O166" s="652"/>
      <c r="P166" s="652"/>
      <c r="Q166" s="652"/>
      <c r="R166" s="652"/>
      <c r="S166" s="652"/>
      <c r="T166" s="652">
        <v>10</v>
      </c>
      <c r="U166" s="652"/>
      <c r="V166" s="652"/>
      <c r="W166" s="652"/>
      <c r="X166" s="652"/>
      <c r="Y166" s="652"/>
      <c r="Z166" s="652"/>
      <c r="AA166" s="652"/>
      <c r="AB166" s="652"/>
      <c r="AC166" s="652"/>
      <c r="AD166" s="652"/>
      <c r="AE166" s="652"/>
      <c r="AF166" s="652"/>
      <c r="AG166" s="652"/>
      <c r="AH166" s="652"/>
      <c r="AI166" s="652"/>
      <c r="AJ166" s="652"/>
      <c r="AK166" s="652"/>
      <c r="AL166" s="1302">
        <f t="shared" si="1"/>
        <v>10</v>
      </c>
    </row>
    <row r="167" spans="2:38" ht="24.9" customHeight="1">
      <c r="B167" s="2629" t="s">
        <v>1927</v>
      </c>
      <c r="C167" s="294">
        <v>172601634</v>
      </c>
      <c r="D167" s="338" t="s">
        <v>387</v>
      </c>
      <c r="E167" s="702" t="s">
        <v>388</v>
      </c>
      <c r="F167" s="1209"/>
      <c r="G167" s="1727"/>
      <c r="H167" s="647"/>
      <c r="I167" s="647"/>
      <c r="J167" s="647"/>
      <c r="K167" s="647"/>
      <c r="L167" s="647"/>
      <c r="M167" s="647"/>
      <c r="N167" s="647"/>
      <c r="O167" s="647"/>
      <c r="P167" s="647"/>
      <c r="Q167" s="647"/>
      <c r="R167" s="647"/>
      <c r="S167" s="647"/>
      <c r="T167" s="647"/>
      <c r="U167" s="647"/>
      <c r="V167" s="647"/>
      <c r="W167" s="653"/>
      <c r="X167" s="647"/>
      <c r="Y167" s="647"/>
      <c r="Z167" s="647"/>
      <c r="AA167" s="647"/>
      <c r="AB167" s="647"/>
      <c r="AC167" s="647"/>
      <c r="AD167" s="647"/>
      <c r="AE167" s="647"/>
      <c r="AF167" s="647"/>
      <c r="AG167" s="647"/>
      <c r="AH167" s="647"/>
      <c r="AI167" s="647"/>
      <c r="AJ167" s="647"/>
      <c r="AK167" s="654"/>
      <c r="AL167" s="1298">
        <f t="shared" si="1"/>
        <v>0</v>
      </c>
    </row>
    <row r="168" spans="2:38" ht="24.9" customHeight="1">
      <c r="B168" s="2629"/>
      <c r="C168" s="273" t="s">
        <v>554</v>
      </c>
      <c r="D168" s="339" t="s">
        <v>568</v>
      </c>
      <c r="E168" s="245" t="s">
        <v>887</v>
      </c>
      <c r="F168" s="1210" t="s">
        <v>2041</v>
      </c>
      <c r="G168" s="673">
        <v>4</v>
      </c>
      <c r="H168" s="612"/>
      <c r="I168" s="612"/>
      <c r="J168" s="612"/>
      <c r="K168" s="612"/>
      <c r="L168" s="612"/>
      <c r="M168" s="612"/>
      <c r="N168" s="612"/>
      <c r="O168" s="612"/>
      <c r="P168" s="612"/>
      <c r="Q168" s="612"/>
      <c r="R168" s="612"/>
      <c r="S168" s="612"/>
      <c r="T168" s="612"/>
      <c r="U168" s="612"/>
      <c r="V168" s="612"/>
      <c r="W168" s="655"/>
      <c r="X168" s="612"/>
      <c r="Y168" s="612"/>
      <c r="Z168" s="612"/>
      <c r="AA168" s="612"/>
      <c r="AB168" s="612"/>
      <c r="AC168" s="612"/>
      <c r="AD168" s="612"/>
      <c r="AE168" s="612"/>
      <c r="AF168" s="612"/>
      <c r="AG168" s="612"/>
      <c r="AH168" s="612"/>
      <c r="AI168" s="612"/>
      <c r="AJ168" s="612"/>
      <c r="AK168" s="643"/>
      <c r="AL168" s="1299">
        <f t="shared" si="1"/>
        <v>4</v>
      </c>
    </row>
    <row r="169" spans="2:38" ht="24.9" customHeight="1">
      <c r="B169" s="2629"/>
      <c r="C169" s="295" t="s">
        <v>557</v>
      </c>
      <c r="D169" s="340" t="s">
        <v>567</v>
      </c>
      <c r="E169" s="245" t="s">
        <v>886</v>
      </c>
      <c r="F169" s="1210" t="s">
        <v>2041</v>
      </c>
      <c r="G169" s="673"/>
      <c r="H169" s="612"/>
      <c r="I169" s="612"/>
      <c r="J169" s="612"/>
      <c r="K169" s="612"/>
      <c r="L169" s="612"/>
      <c r="M169" s="612"/>
      <c r="N169" s="612"/>
      <c r="O169" s="612"/>
      <c r="P169" s="612"/>
      <c r="Q169" s="612"/>
      <c r="R169" s="612"/>
      <c r="S169" s="612"/>
      <c r="T169" s="612"/>
      <c r="U169" s="612"/>
      <c r="V169" s="612"/>
      <c r="W169" s="655"/>
      <c r="X169" s="612"/>
      <c r="Y169" s="612"/>
      <c r="Z169" s="612"/>
      <c r="AA169" s="612"/>
      <c r="AB169" s="612"/>
      <c r="AC169" s="612"/>
      <c r="AD169" s="612"/>
      <c r="AE169" s="612"/>
      <c r="AF169" s="612"/>
      <c r="AG169" s="612"/>
      <c r="AH169" s="612"/>
      <c r="AI169" s="612"/>
      <c r="AJ169" s="612"/>
      <c r="AK169" s="643"/>
      <c r="AL169" s="1299">
        <f t="shared" si="1"/>
        <v>0</v>
      </c>
    </row>
    <row r="170" spans="2:38" ht="24.9" customHeight="1">
      <c r="B170" s="2629"/>
      <c r="C170" s="688" t="s">
        <v>560</v>
      </c>
      <c r="D170" s="341" t="s">
        <v>566</v>
      </c>
      <c r="E170" s="245" t="s">
        <v>888</v>
      </c>
      <c r="F170" s="1210" t="s">
        <v>2041</v>
      </c>
      <c r="G170" s="673">
        <v>4</v>
      </c>
      <c r="H170" s="612"/>
      <c r="I170" s="612"/>
      <c r="J170" s="612"/>
      <c r="K170" s="612"/>
      <c r="L170" s="612"/>
      <c r="M170" s="612"/>
      <c r="N170" s="612"/>
      <c r="O170" s="612"/>
      <c r="P170" s="612"/>
      <c r="Q170" s="612"/>
      <c r="R170" s="612"/>
      <c r="S170" s="612"/>
      <c r="T170" s="612"/>
      <c r="U170" s="612"/>
      <c r="V170" s="612"/>
      <c r="W170" s="655"/>
      <c r="X170" s="612"/>
      <c r="Y170" s="612"/>
      <c r="Z170" s="612"/>
      <c r="AA170" s="612"/>
      <c r="AB170" s="612"/>
      <c r="AC170" s="612"/>
      <c r="AD170" s="612"/>
      <c r="AE170" s="612"/>
      <c r="AF170" s="612"/>
      <c r="AG170" s="612"/>
      <c r="AH170" s="612"/>
      <c r="AI170" s="612"/>
      <c r="AJ170" s="612"/>
      <c r="AK170" s="643"/>
      <c r="AL170" s="1299">
        <f t="shared" si="1"/>
        <v>4</v>
      </c>
    </row>
    <row r="171" spans="2:38" ht="24.9" customHeight="1">
      <c r="B171" s="2629"/>
      <c r="C171" s="274">
        <v>221600161</v>
      </c>
      <c r="D171" s="342" t="s">
        <v>393</v>
      </c>
      <c r="E171" s="245" t="s">
        <v>50</v>
      </c>
      <c r="F171" s="1210"/>
      <c r="G171" s="612"/>
      <c r="H171" s="612"/>
      <c r="I171" s="612"/>
      <c r="J171" s="612"/>
      <c r="K171" s="612"/>
      <c r="L171" s="612"/>
      <c r="M171" s="612"/>
      <c r="N171" s="612"/>
      <c r="O171" s="612"/>
      <c r="P171" s="612"/>
      <c r="Q171" s="612"/>
      <c r="R171" s="612"/>
      <c r="S171" s="612"/>
      <c r="T171" s="612"/>
      <c r="U171" s="612"/>
      <c r="V171" s="612"/>
      <c r="W171" s="612"/>
      <c r="X171" s="612"/>
      <c r="Y171" s="612"/>
      <c r="Z171" s="612"/>
      <c r="AA171" s="612"/>
      <c r="AB171" s="612"/>
      <c r="AC171" s="612"/>
      <c r="AD171" s="612"/>
      <c r="AE171" s="612"/>
      <c r="AF171" s="612"/>
      <c r="AG171" s="612"/>
      <c r="AH171" s="612"/>
      <c r="AI171" s="612"/>
      <c r="AJ171" s="612"/>
      <c r="AK171" s="643"/>
      <c r="AL171" s="1299">
        <f t="shared" si="1"/>
        <v>0</v>
      </c>
    </row>
    <row r="172" spans="2:38" ht="24.9" customHeight="1">
      <c r="B172" s="2629"/>
      <c r="C172" s="274">
        <v>4</v>
      </c>
      <c r="D172" s="342" t="s">
        <v>505</v>
      </c>
      <c r="E172" s="245" t="s">
        <v>47</v>
      </c>
      <c r="F172" s="1210"/>
      <c r="G172" s="640"/>
      <c r="H172" s="612"/>
      <c r="I172" s="612"/>
      <c r="J172" s="612"/>
      <c r="K172" s="612"/>
      <c r="L172" s="612"/>
      <c r="M172" s="612"/>
      <c r="N172" s="612"/>
      <c r="O172" s="612"/>
      <c r="P172" s="612"/>
      <c r="Q172" s="612"/>
      <c r="R172" s="612"/>
      <c r="S172" s="612"/>
      <c r="T172" s="612"/>
      <c r="U172" s="612"/>
      <c r="V172" s="612"/>
      <c r="W172" s="612"/>
      <c r="X172" s="612"/>
      <c r="Y172" s="612"/>
      <c r="Z172" s="612"/>
      <c r="AA172" s="612"/>
      <c r="AB172" s="612"/>
      <c r="AC172" s="612"/>
      <c r="AD172" s="612"/>
      <c r="AE172" s="612"/>
      <c r="AF172" s="612"/>
      <c r="AG172" s="612"/>
      <c r="AH172" s="612"/>
      <c r="AI172" s="612"/>
      <c r="AJ172" s="612"/>
      <c r="AK172" s="643"/>
      <c r="AL172" s="1299">
        <f t="shared" si="1"/>
        <v>0</v>
      </c>
    </row>
    <row r="173" spans="2:38" ht="24.9" customHeight="1">
      <c r="B173" s="2629"/>
      <c r="C173" s="274">
        <v>81330055</v>
      </c>
      <c r="D173" s="342" t="s">
        <v>506</v>
      </c>
      <c r="E173" s="245" t="s">
        <v>50</v>
      </c>
      <c r="F173" s="1210"/>
      <c r="G173" s="640"/>
      <c r="H173" s="612"/>
      <c r="I173" s="612"/>
      <c r="J173" s="612"/>
      <c r="K173" s="612"/>
      <c r="L173" s="612"/>
      <c r="M173" s="612"/>
      <c r="N173" s="612"/>
      <c r="O173" s="612"/>
      <c r="P173" s="612"/>
      <c r="Q173" s="612"/>
      <c r="R173" s="612"/>
      <c r="S173" s="612"/>
      <c r="T173" s="612"/>
      <c r="U173" s="612"/>
      <c r="V173" s="612"/>
      <c r="W173" s="612"/>
      <c r="X173" s="612"/>
      <c r="Y173" s="612"/>
      <c r="Z173" s="612"/>
      <c r="AA173" s="612"/>
      <c r="AB173" s="612"/>
      <c r="AC173" s="612"/>
      <c r="AD173" s="612"/>
      <c r="AE173" s="612"/>
      <c r="AF173" s="612"/>
      <c r="AG173" s="612"/>
      <c r="AH173" s="612"/>
      <c r="AI173" s="612"/>
      <c r="AJ173" s="612"/>
      <c r="AK173" s="643"/>
      <c r="AL173" s="1299">
        <f t="shared" si="1"/>
        <v>0</v>
      </c>
    </row>
    <row r="174" spans="2:38" ht="24.9" customHeight="1">
      <c r="B174" s="2629"/>
      <c r="C174" s="274">
        <v>81200143</v>
      </c>
      <c r="D174" s="342" t="s">
        <v>507</v>
      </c>
      <c r="E174" s="245" t="s">
        <v>395</v>
      </c>
      <c r="F174" s="1210"/>
      <c r="G174" s="640"/>
      <c r="H174" s="612"/>
      <c r="I174" s="612"/>
      <c r="J174" s="612"/>
      <c r="K174" s="612"/>
      <c r="L174" s="612"/>
      <c r="M174" s="612"/>
      <c r="N174" s="612"/>
      <c r="O174" s="612"/>
      <c r="P174" s="612"/>
      <c r="Q174" s="612"/>
      <c r="R174" s="612"/>
      <c r="S174" s="612"/>
      <c r="T174" s="612"/>
      <c r="U174" s="612"/>
      <c r="V174" s="612"/>
      <c r="W174" s="612"/>
      <c r="X174" s="612"/>
      <c r="Y174" s="612"/>
      <c r="Z174" s="612"/>
      <c r="AA174" s="612"/>
      <c r="AB174" s="612"/>
      <c r="AC174" s="612"/>
      <c r="AD174" s="612"/>
      <c r="AE174" s="612"/>
      <c r="AF174" s="612"/>
      <c r="AG174" s="612"/>
      <c r="AH174" s="612"/>
      <c r="AI174" s="612"/>
      <c r="AJ174" s="612"/>
      <c r="AK174" s="643"/>
      <c r="AL174" s="1299">
        <f t="shared" si="1"/>
        <v>0</v>
      </c>
    </row>
    <row r="175" spans="2:38" ht="24.9" customHeight="1">
      <c r="B175" s="2629"/>
      <c r="C175" s="274">
        <v>231408400</v>
      </c>
      <c r="D175" s="342" t="s">
        <v>396</v>
      </c>
      <c r="E175" s="245" t="s">
        <v>47</v>
      </c>
      <c r="F175" s="1210"/>
      <c r="G175" s="640"/>
      <c r="H175" s="612"/>
      <c r="I175" s="612"/>
      <c r="J175" s="612"/>
      <c r="K175" s="612"/>
      <c r="L175" s="612"/>
      <c r="M175" s="612"/>
      <c r="N175" s="612"/>
      <c r="O175" s="612"/>
      <c r="P175" s="612"/>
      <c r="Q175" s="612"/>
      <c r="R175" s="612"/>
      <c r="S175" s="612"/>
      <c r="T175" s="612"/>
      <c r="U175" s="612"/>
      <c r="V175" s="612"/>
      <c r="W175" s="612"/>
      <c r="X175" s="612"/>
      <c r="Y175" s="612"/>
      <c r="Z175" s="612"/>
      <c r="AA175" s="612"/>
      <c r="AB175" s="612"/>
      <c r="AC175" s="612"/>
      <c r="AD175" s="612"/>
      <c r="AE175" s="612"/>
      <c r="AF175" s="612"/>
      <c r="AG175" s="612"/>
      <c r="AH175" s="612"/>
      <c r="AI175" s="612"/>
      <c r="AJ175" s="612"/>
      <c r="AK175" s="643"/>
      <c r="AL175" s="1299">
        <f t="shared" si="1"/>
        <v>0</v>
      </c>
    </row>
    <row r="176" spans="2:38" ht="24.9" customHeight="1">
      <c r="B176" s="2629"/>
      <c r="C176" s="274">
        <v>121200148</v>
      </c>
      <c r="D176" s="343" t="s">
        <v>397</v>
      </c>
      <c r="E176" s="245" t="s">
        <v>47</v>
      </c>
      <c r="F176" s="1210"/>
      <c r="G176" s="640"/>
      <c r="H176" s="612"/>
      <c r="I176" s="612"/>
      <c r="J176" s="612"/>
      <c r="K176" s="612"/>
      <c r="L176" s="612"/>
      <c r="M176" s="612"/>
      <c r="N176" s="612"/>
      <c r="O176" s="612"/>
      <c r="P176" s="612"/>
      <c r="Q176" s="612"/>
      <c r="R176" s="612"/>
      <c r="S176" s="612"/>
      <c r="T176" s="612"/>
      <c r="U176" s="612"/>
      <c r="V176" s="612"/>
      <c r="W176" s="612"/>
      <c r="X176" s="612"/>
      <c r="Y176" s="612"/>
      <c r="Z176" s="612"/>
      <c r="AA176" s="612"/>
      <c r="AB176" s="612"/>
      <c r="AC176" s="612"/>
      <c r="AD176" s="612"/>
      <c r="AE176" s="612"/>
      <c r="AF176" s="612"/>
      <c r="AG176" s="612"/>
      <c r="AH176" s="612"/>
      <c r="AI176" s="612"/>
      <c r="AJ176" s="612"/>
      <c r="AK176" s="643"/>
      <c r="AL176" s="1299">
        <f t="shared" si="1"/>
        <v>0</v>
      </c>
    </row>
    <row r="177" spans="2:38" ht="24.9" customHeight="1">
      <c r="B177" s="2629"/>
      <c r="C177" s="274" t="s">
        <v>799</v>
      </c>
      <c r="D177" s="343" t="s">
        <v>398</v>
      </c>
      <c r="E177" s="245" t="s">
        <v>47</v>
      </c>
      <c r="F177" s="1210"/>
      <c r="G177" s="640"/>
      <c r="H177" s="612"/>
      <c r="I177" s="612"/>
      <c r="J177" s="612"/>
      <c r="K177" s="612"/>
      <c r="L177" s="612"/>
      <c r="M177" s="612"/>
      <c r="N177" s="612"/>
      <c r="O177" s="612"/>
      <c r="P177" s="612"/>
      <c r="Q177" s="612"/>
      <c r="R177" s="612"/>
      <c r="S177" s="612"/>
      <c r="T177" s="612"/>
      <c r="U177" s="612"/>
      <c r="V177" s="612"/>
      <c r="W177" s="612"/>
      <c r="X177" s="612"/>
      <c r="Y177" s="612"/>
      <c r="Z177" s="612"/>
      <c r="AA177" s="612"/>
      <c r="AB177" s="612"/>
      <c r="AC177" s="612"/>
      <c r="AD177" s="612"/>
      <c r="AE177" s="612"/>
      <c r="AF177" s="612"/>
      <c r="AG177" s="612"/>
      <c r="AH177" s="612"/>
      <c r="AI177" s="612"/>
      <c r="AJ177" s="612"/>
      <c r="AK177" s="643"/>
      <c r="AL177" s="1299">
        <f t="shared" si="1"/>
        <v>0</v>
      </c>
    </row>
    <row r="178" spans="2:38" ht="24.9" customHeight="1">
      <c r="B178" s="2629"/>
      <c r="C178" s="276" t="s">
        <v>897</v>
      </c>
      <c r="D178" s="344" t="s">
        <v>898</v>
      </c>
      <c r="E178" s="245" t="s">
        <v>47</v>
      </c>
      <c r="F178" s="1210"/>
      <c r="G178" s="640"/>
      <c r="H178" s="612"/>
      <c r="I178" s="612"/>
      <c r="J178" s="612"/>
      <c r="K178" s="612"/>
      <c r="L178" s="612"/>
      <c r="M178" s="612"/>
      <c r="N178" s="612"/>
      <c r="O178" s="612"/>
      <c r="P178" s="612"/>
      <c r="Q178" s="612"/>
      <c r="R178" s="612"/>
      <c r="S178" s="612"/>
      <c r="T178" s="612"/>
      <c r="U178" s="612"/>
      <c r="V178" s="612"/>
      <c r="W178" s="612"/>
      <c r="X178" s="612"/>
      <c r="Y178" s="612"/>
      <c r="Z178" s="612"/>
      <c r="AA178" s="612"/>
      <c r="AB178" s="612"/>
      <c r="AC178" s="612"/>
      <c r="AD178" s="612"/>
      <c r="AE178" s="612"/>
      <c r="AF178" s="612"/>
      <c r="AG178" s="612"/>
      <c r="AH178" s="612"/>
      <c r="AI178" s="612"/>
      <c r="AJ178" s="612"/>
      <c r="AK178" s="643"/>
      <c r="AL178" s="1299">
        <f t="shared" si="1"/>
        <v>0</v>
      </c>
    </row>
    <row r="179" spans="2:38" ht="24.75" customHeight="1">
      <c r="B179" s="2629"/>
      <c r="C179" s="251">
        <v>221501043</v>
      </c>
      <c r="D179" s="252" t="s">
        <v>436</v>
      </c>
      <c r="E179" s="251" t="s">
        <v>47</v>
      </c>
      <c r="F179" s="1211"/>
      <c r="G179" s="637"/>
      <c r="H179" s="638"/>
      <c r="I179" s="638">
        <v>360</v>
      </c>
      <c r="J179" s="638"/>
      <c r="K179" s="638"/>
      <c r="L179" s="638"/>
      <c r="M179" s="638"/>
      <c r="N179" s="638"/>
      <c r="O179" s="638"/>
      <c r="P179" s="638"/>
      <c r="Q179" s="638"/>
      <c r="R179" s="638"/>
      <c r="S179" s="638"/>
      <c r="T179" s="638"/>
      <c r="U179" s="638"/>
      <c r="V179" s="638"/>
      <c r="W179" s="638"/>
      <c r="X179" s="638"/>
      <c r="Y179" s="638"/>
      <c r="Z179" s="638"/>
      <c r="AA179" s="638"/>
      <c r="AB179" s="638"/>
      <c r="AC179" s="638"/>
      <c r="AD179" s="638"/>
      <c r="AE179" s="638"/>
      <c r="AF179" s="638"/>
      <c r="AG179" s="638"/>
      <c r="AH179" s="638"/>
      <c r="AI179" s="638"/>
      <c r="AJ179" s="638"/>
      <c r="AK179" s="639"/>
      <c r="AL179" s="1299">
        <f t="shared" ref="AL179:AL217" si="6">SUM(G179:AK179)</f>
        <v>360</v>
      </c>
    </row>
    <row r="180" spans="2:38" ht="24.9" customHeight="1">
      <c r="B180" s="2629"/>
      <c r="C180" s="251" t="s">
        <v>1145</v>
      </c>
      <c r="D180" s="1186" t="s">
        <v>1274</v>
      </c>
      <c r="E180" s="251" t="s">
        <v>47</v>
      </c>
      <c r="F180" s="1217" t="s">
        <v>437</v>
      </c>
      <c r="G180" s="637"/>
      <c r="H180" s="638"/>
      <c r="I180" s="638">
        <v>2</v>
      </c>
      <c r="J180" s="638"/>
      <c r="K180" s="638"/>
      <c r="L180" s="638"/>
      <c r="M180" s="638"/>
      <c r="N180" s="638"/>
      <c r="O180" s="638"/>
      <c r="P180" s="638"/>
      <c r="Q180" s="638"/>
      <c r="R180" s="638"/>
      <c r="S180" s="638"/>
      <c r="T180" s="638"/>
      <c r="U180" s="638"/>
      <c r="V180" s="638"/>
      <c r="W180" s="638"/>
      <c r="X180" s="638"/>
      <c r="Y180" s="638"/>
      <c r="Z180" s="638"/>
      <c r="AA180" s="638"/>
      <c r="AB180" s="638"/>
      <c r="AC180" s="638"/>
      <c r="AD180" s="638"/>
      <c r="AE180" s="638"/>
      <c r="AF180" s="638"/>
      <c r="AG180" s="638"/>
      <c r="AH180" s="638"/>
      <c r="AI180" s="638"/>
      <c r="AJ180" s="638"/>
      <c r="AK180" s="639"/>
      <c r="AL180" s="1299">
        <f t="shared" si="6"/>
        <v>2</v>
      </c>
    </row>
    <row r="181" spans="2:38" ht="24.9" customHeight="1">
      <c r="B181" s="2629"/>
      <c r="C181" s="245">
        <v>221600160</v>
      </c>
      <c r="D181" s="614" t="s">
        <v>629</v>
      </c>
      <c r="E181" s="245" t="s">
        <v>389</v>
      </c>
      <c r="F181" s="1210"/>
      <c r="G181" s="640">
        <v>2</v>
      </c>
      <c r="H181" s="612"/>
      <c r="I181" s="612"/>
      <c r="J181" s="612"/>
      <c r="K181" s="612"/>
      <c r="L181" s="612"/>
      <c r="M181" s="612"/>
      <c r="N181" s="612"/>
      <c r="O181" s="612"/>
      <c r="P181" s="612"/>
      <c r="Q181" s="612"/>
      <c r="R181" s="612"/>
      <c r="S181" s="612"/>
      <c r="T181" s="612"/>
      <c r="U181" s="612"/>
      <c r="V181" s="612"/>
      <c r="W181" s="612"/>
      <c r="X181" s="612"/>
      <c r="Y181" s="612"/>
      <c r="Z181" s="612"/>
      <c r="AA181" s="612"/>
      <c r="AB181" s="612">
        <v>2</v>
      </c>
      <c r="AC181" s="612"/>
      <c r="AD181" s="612"/>
      <c r="AE181" s="612"/>
      <c r="AF181" s="612"/>
      <c r="AG181" s="612"/>
      <c r="AH181" s="612"/>
      <c r="AI181" s="612"/>
      <c r="AJ181" s="612"/>
      <c r="AK181" s="643"/>
      <c r="AL181" s="1299">
        <f t="shared" si="6"/>
        <v>4</v>
      </c>
    </row>
    <row r="182" spans="2:38" ht="24.9" customHeight="1" thickBot="1">
      <c r="B182" s="2629"/>
      <c r="C182" s="251">
        <v>121700005</v>
      </c>
      <c r="D182" s="614" t="s">
        <v>399</v>
      </c>
      <c r="E182" s="245" t="s">
        <v>47</v>
      </c>
      <c r="F182" s="1210"/>
      <c r="G182" s="640"/>
      <c r="H182" s="656"/>
      <c r="I182" s="656"/>
      <c r="J182" s="657"/>
      <c r="K182" s="656"/>
      <c r="L182" s="656"/>
      <c r="M182" s="656"/>
      <c r="N182" s="656"/>
      <c r="O182" s="656"/>
      <c r="P182" s="656"/>
      <c r="Q182" s="656"/>
      <c r="R182" s="656"/>
      <c r="S182" s="658"/>
      <c r="T182" s="658"/>
      <c r="U182" s="656"/>
      <c r="V182" s="656"/>
      <c r="W182" s="659"/>
      <c r="X182" s="656"/>
      <c r="Y182" s="656"/>
      <c r="Z182" s="656"/>
      <c r="AA182" s="656"/>
      <c r="AB182" s="656"/>
      <c r="AC182" s="656"/>
      <c r="AD182" s="656"/>
      <c r="AE182" s="656"/>
      <c r="AF182" s="656"/>
      <c r="AG182" s="656"/>
      <c r="AH182" s="656"/>
      <c r="AI182" s="656"/>
      <c r="AJ182" s="656"/>
      <c r="AK182" s="660"/>
      <c r="AL182" s="1299">
        <f t="shared" si="6"/>
        <v>0</v>
      </c>
    </row>
    <row r="183" spans="2:38" ht="24.9" customHeight="1">
      <c r="B183" s="2657" t="s">
        <v>2043</v>
      </c>
      <c r="C183" s="284" t="s">
        <v>704</v>
      </c>
      <c r="D183" s="258" t="s">
        <v>709</v>
      </c>
      <c r="E183" s="1854" t="s">
        <v>32</v>
      </c>
      <c r="F183" s="2658" t="s">
        <v>2044</v>
      </c>
      <c r="G183" s="662"/>
      <c r="H183" s="663"/>
      <c r="I183" s="664"/>
      <c r="J183" s="650"/>
      <c r="K183" s="650"/>
      <c r="L183" s="650"/>
      <c r="M183" s="650"/>
      <c r="N183" s="650"/>
      <c r="O183" s="650"/>
      <c r="P183" s="650"/>
      <c r="Q183" s="650"/>
      <c r="R183" s="650"/>
      <c r="S183" s="650"/>
      <c r="T183" s="650"/>
      <c r="U183" s="650"/>
      <c r="V183" s="1428"/>
      <c r="W183" s="650"/>
      <c r="X183" s="650"/>
      <c r="Y183" s="650"/>
      <c r="Z183" s="650"/>
      <c r="AA183" s="650"/>
      <c r="AB183" s="650"/>
      <c r="AC183" s="650"/>
      <c r="AD183" s="650"/>
      <c r="AE183" s="650"/>
      <c r="AF183" s="650"/>
      <c r="AG183" s="650"/>
      <c r="AH183" s="650"/>
      <c r="AI183" s="650"/>
      <c r="AJ183" s="650"/>
      <c r="AK183" s="650"/>
      <c r="AL183" s="1301">
        <f t="shared" ref="AL183:AL197" si="7">SUM(G183:AK183)</f>
        <v>0</v>
      </c>
    </row>
    <row r="184" spans="2:38" ht="24.9" customHeight="1">
      <c r="B184" s="2629"/>
      <c r="C184" s="260" t="s">
        <v>708</v>
      </c>
      <c r="D184" s="259" t="s">
        <v>881</v>
      </c>
      <c r="E184" s="1852" t="s">
        <v>32</v>
      </c>
      <c r="F184" s="2659"/>
      <c r="G184" s="665"/>
      <c r="H184" s="661"/>
      <c r="I184" s="666"/>
      <c r="J184" s="612"/>
      <c r="K184" s="612"/>
      <c r="L184" s="612"/>
      <c r="M184" s="612"/>
      <c r="N184" s="612"/>
      <c r="O184" s="612"/>
      <c r="P184" s="612"/>
      <c r="Q184" s="612"/>
      <c r="R184" s="612"/>
      <c r="S184" s="612"/>
      <c r="T184" s="612"/>
      <c r="U184" s="612"/>
      <c r="V184" s="667"/>
      <c r="W184" s="612"/>
      <c r="X184" s="612"/>
      <c r="Y184" s="612"/>
      <c r="Z184" s="612"/>
      <c r="AA184" s="612"/>
      <c r="AB184" s="612"/>
      <c r="AC184" s="612"/>
      <c r="AD184" s="612"/>
      <c r="AE184" s="612"/>
      <c r="AF184" s="612"/>
      <c r="AG184" s="612"/>
      <c r="AH184" s="612"/>
      <c r="AI184" s="612"/>
      <c r="AJ184" s="612"/>
      <c r="AK184" s="612"/>
      <c r="AL184" s="1302">
        <f t="shared" si="7"/>
        <v>0</v>
      </c>
    </row>
    <row r="185" spans="2:38" ht="24.9" customHeight="1">
      <c r="B185" s="2629"/>
      <c r="C185" s="260" t="s">
        <v>708</v>
      </c>
      <c r="D185" s="259" t="s">
        <v>710</v>
      </c>
      <c r="E185" s="1852" t="s">
        <v>32</v>
      </c>
      <c r="F185" s="2659"/>
      <c r="G185" s="665"/>
      <c r="H185" s="661"/>
      <c r="I185" s="666"/>
      <c r="J185" s="612"/>
      <c r="K185" s="612"/>
      <c r="L185" s="612"/>
      <c r="M185" s="612"/>
      <c r="N185" s="612"/>
      <c r="O185" s="612"/>
      <c r="P185" s="612"/>
      <c r="Q185" s="612"/>
      <c r="R185" s="612"/>
      <c r="S185" s="612"/>
      <c r="T185" s="612"/>
      <c r="U185" s="612"/>
      <c r="V185" s="667"/>
      <c r="W185" s="612"/>
      <c r="X185" s="612"/>
      <c r="Y185" s="612"/>
      <c r="Z185" s="612"/>
      <c r="AA185" s="612"/>
      <c r="AB185" s="612"/>
      <c r="AC185" s="612"/>
      <c r="AD185" s="612"/>
      <c r="AE185" s="612"/>
      <c r="AF185" s="612"/>
      <c r="AG185" s="612"/>
      <c r="AH185" s="612"/>
      <c r="AI185" s="612"/>
      <c r="AJ185" s="612"/>
      <c r="AK185" s="612"/>
      <c r="AL185" s="1302">
        <f t="shared" ref="AL185" si="8">SUM(G185:AK185)</f>
        <v>0</v>
      </c>
    </row>
    <row r="186" spans="2:38" ht="24.9" customHeight="1">
      <c r="B186" s="2629"/>
      <c r="C186" s="260" t="s">
        <v>705</v>
      </c>
      <c r="D186" s="259" t="s">
        <v>711</v>
      </c>
      <c r="E186" s="1852" t="s">
        <v>32</v>
      </c>
      <c r="F186" s="2659"/>
      <c r="G186" s="665"/>
      <c r="H186" s="661"/>
      <c r="I186" s="666"/>
      <c r="J186" s="612"/>
      <c r="K186" s="612"/>
      <c r="L186" s="612"/>
      <c r="M186" s="612"/>
      <c r="N186" s="612"/>
      <c r="O186" s="612"/>
      <c r="P186" s="612"/>
      <c r="Q186" s="612"/>
      <c r="R186" s="612"/>
      <c r="S186" s="612"/>
      <c r="T186" s="612"/>
      <c r="U186" s="612"/>
      <c r="V186" s="667"/>
      <c r="W186" s="612"/>
      <c r="X186" s="612"/>
      <c r="Y186" s="612"/>
      <c r="Z186" s="612"/>
      <c r="AA186" s="612"/>
      <c r="AB186" s="612"/>
      <c r="AC186" s="612"/>
      <c r="AD186" s="612"/>
      <c r="AE186" s="612"/>
      <c r="AF186" s="612"/>
      <c r="AG186" s="612"/>
      <c r="AH186" s="612"/>
      <c r="AI186" s="612"/>
      <c r="AJ186" s="612"/>
      <c r="AK186" s="612"/>
      <c r="AL186" s="1302">
        <f>SUM(G186:AK186)</f>
        <v>0</v>
      </c>
    </row>
    <row r="187" spans="2:38" ht="24.9" customHeight="1">
      <c r="B187" s="2629"/>
      <c r="C187" s="260" t="s">
        <v>706</v>
      </c>
      <c r="D187" s="259" t="s">
        <v>1169</v>
      </c>
      <c r="E187" s="1852" t="s">
        <v>32</v>
      </c>
      <c r="F187" s="2659"/>
      <c r="G187" s="665"/>
      <c r="H187" s="661"/>
      <c r="I187" s="666"/>
      <c r="J187" s="612"/>
      <c r="K187" s="612"/>
      <c r="L187" s="612"/>
      <c r="M187" s="612"/>
      <c r="N187" s="612"/>
      <c r="O187" s="612"/>
      <c r="P187" s="612"/>
      <c r="Q187" s="612"/>
      <c r="R187" s="612"/>
      <c r="S187" s="612"/>
      <c r="T187" s="612"/>
      <c r="U187" s="612"/>
      <c r="V187" s="667"/>
      <c r="W187" s="612"/>
      <c r="X187" s="612"/>
      <c r="Y187" s="612"/>
      <c r="Z187" s="612"/>
      <c r="AA187" s="612"/>
      <c r="AB187" s="612"/>
      <c r="AC187" s="612"/>
      <c r="AD187" s="612"/>
      <c r="AE187" s="612"/>
      <c r="AF187" s="612"/>
      <c r="AG187" s="612"/>
      <c r="AH187" s="612"/>
      <c r="AI187" s="612"/>
      <c r="AJ187" s="612"/>
      <c r="AK187" s="612"/>
      <c r="AL187" s="1302">
        <f>SUM(G187:AK187)</f>
        <v>0</v>
      </c>
    </row>
    <row r="188" spans="2:38" ht="24.6" customHeight="1">
      <c r="B188" s="2629"/>
      <c r="C188" s="260" t="s">
        <v>706</v>
      </c>
      <c r="D188" s="259" t="s">
        <v>882</v>
      </c>
      <c r="E188" s="1852" t="s">
        <v>32</v>
      </c>
      <c r="F188" s="2659"/>
      <c r="G188" s="665"/>
      <c r="H188" s="673"/>
      <c r="I188" s="666">
        <v>3000</v>
      </c>
      <c r="J188" s="612"/>
      <c r="K188" s="612"/>
      <c r="L188" s="673">
        <v>9000</v>
      </c>
      <c r="M188" s="612"/>
      <c r="N188" s="612">
        <v>6000</v>
      </c>
      <c r="O188" s="612"/>
      <c r="P188" s="612"/>
      <c r="Q188" s="612"/>
      <c r="R188" s="612"/>
      <c r="S188" s="612"/>
      <c r="T188" s="612"/>
      <c r="U188" s="612"/>
      <c r="V188" s="667">
        <v>3000</v>
      </c>
      <c r="W188" s="612"/>
      <c r="X188" s="612"/>
      <c r="Y188" s="612"/>
      <c r="Z188" s="612">
        <v>6000</v>
      </c>
      <c r="AA188" s="612"/>
      <c r="AB188" s="612"/>
      <c r="AC188" s="612"/>
      <c r="AD188" s="612"/>
      <c r="AE188" s="612"/>
      <c r="AF188" s="612"/>
      <c r="AG188" s="612"/>
      <c r="AH188" s="612"/>
      <c r="AI188" s="612"/>
      <c r="AJ188" s="612"/>
      <c r="AK188" s="612"/>
      <c r="AL188" s="1302">
        <f t="shared" si="7"/>
        <v>27000</v>
      </c>
    </row>
    <row r="189" spans="2:38" ht="24.9" customHeight="1">
      <c r="B189" s="2629"/>
      <c r="C189" s="260" t="s">
        <v>706</v>
      </c>
      <c r="D189" s="259" t="s">
        <v>1135</v>
      </c>
      <c r="E189" s="1852" t="s">
        <v>32</v>
      </c>
      <c r="F189" s="2659"/>
      <c r="G189" s="704"/>
      <c r="H189" s="658"/>
      <c r="I189" s="705"/>
      <c r="J189" s="638"/>
      <c r="K189" s="638"/>
      <c r="L189" s="638"/>
      <c r="M189" s="638"/>
      <c r="N189" s="638"/>
      <c r="O189" s="638"/>
      <c r="P189" s="638"/>
      <c r="Q189" s="638"/>
      <c r="R189" s="638"/>
      <c r="S189" s="638"/>
      <c r="T189" s="638"/>
      <c r="U189" s="638"/>
      <c r="V189" s="706"/>
      <c r="W189" s="638"/>
      <c r="X189" s="638"/>
      <c r="Y189" s="638"/>
      <c r="Z189" s="638"/>
      <c r="AA189" s="638"/>
      <c r="AB189" s="638"/>
      <c r="AC189" s="638"/>
      <c r="AD189" s="638"/>
      <c r="AE189" s="638"/>
      <c r="AF189" s="638"/>
      <c r="AG189" s="638"/>
      <c r="AH189" s="638"/>
      <c r="AI189" s="638"/>
      <c r="AJ189" s="638"/>
      <c r="AK189" s="638"/>
      <c r="AL189" s="1302">
        <f t="shared" si="7"/>
        <v>0</v>
      </c>
    </row>
    <row r="190" spans="2:38" ht="24.9" customHeight="1">
      <c r="B190" s="2629"/>
      <c r="C190" s="615" t="s">
        <v>1156</v>
      </c>
      <c r="D190" s="259" t="s">
        <v>1160</v>
      </c>
      <c r="E190" s="1852" t="s">
        <v>32</v>
      </c>
      <c r="F190" s="2659"/>
      <c r="G190" s="704"/>
      <c r="H190" s="658"/>
      <c r="I190" s="705"/>
      <c r="J190" s="638"/>
      <c r="K190" s="638"/>
      <c r="L190" s="638"/>
      <c r="M190" s="638"/>
      <c r="N190" s="638"/>
      <c r="O190" s="638"/>
      <c r="P190" s="638"/>
      <c r="Q190" s="638"/>
      <c r="R190" s="638"/>
      <c r="S190" s="638"/>
      <c r="T190" s="638"/>
      <c r="U190" s="638"/>
      <c r="V190" s="706"/>
      <c r="W190" s="638"/>
      <c r="X190" s="638"/>
      <c r="Y190" s="638"/>
      <c r="Z190" s="638"/>
      <c r="AA190" s="638"/>
      <c r="AB190" s="638"/>
      <c r="AC190" s="638"/>
      <c r="AD190" s="638"/>
      <c r="AE190" s="638"/>
      <c r="AF190" s="638"/>
      <c r="AG190" s="638"/>
      <c r="AH190" s="638"/>
      <c r="AI190" s="638"/>
      <c r="AJ190" s="638"/>
      <c r="AK190" s="638"/>
      <c r="AL190" s="1302">
        <f t="shared" si="7"/>
        <v>0</v>
      </c>
    </row>
    <row r="191" spans="2:38" ht="24.9" customHeight="1">
      <c r="B191" s="2629"/>
      <c r="C191" s="615" t="s">
        <v>1157</v>
      </c>
      <c r="D191" s="259" t="s">
        <v>1402</v>
      </c>
      <c r="E191" s="1852" t="s">
        <v>32</v>
      </c>
      <c r="F191" s="2659"/>
      <c r="G191" s="704"/>
      <c r="H191" s="658"/>
      <c r="I191" s="705"/>
      <c r="J191" s="638"/>
      <c r="K191" s="638"/>
      <c r="L191" s="638"/>
      <c r="M191" s="638"/>
      <c r="N191" s="638"/>
      <c r="O191" s="638"/>
      <c r="P191" s="638"/>
      <c r="Q191" s="638"/>
      <c r="R191" s="638"/>
      <c r="S191" s="638"/>
      <c r="T191" s="638"/>
      <c r="U191" s="638"/>
      <c r="V191" s="706"/>
      <c r="W191" s="638"/>
      <c r="X191" s="638"/>
      <c r="Y191" s="638"/>
      <c r="Z191" s="638"/>
      <c r="AA191" s="638"/>
      <c r="AB191" s="638"/>
      <c r="AC191" s="638"/>
      <c r="AD191" s="638"/>
      <c r="AE191" s="638"/>
      <c r="AF191" s="638"/>
      <c r="AG191" s="638"/>
      <c r="AH191" s="638"/>
      <c r="AI191" s="638"/>
      <c r="AJ191" s="638"/>
      <c r="AK191" s="638"/>
      <c r="AL191" s="1302">
        <f t="shared" si="7"/>
        <v>0</v>
      </c>
    </row>
    <row r="192" spans="2:38" ht="24.9" customHeight="1" thickBot="1">
      <c r="B192" s="2629"/>
      <c r="C192" s="615" t="s">
        <v>1158</v>
      </c>
      <c r="D192" s="259" t="s">
        <v>1162</v>
      </c>
      <c r="E192" s="1852" t="s">
        <v>32</v>
      </c>
      <c r="F192" s="2660"/>
      <c r="G192" s="704"/>
      <c r="H192" s="658"/>
      <c r="I192" s="705"/>
      <c r="J192" s="638"/>
      <c r="K192" s="638"/>
      <c r="L192" s="638"/>
      <c r="M192" s="638"/>
      <c r="N192" s="638"/>
      <c r="O192" s="638"/>
      <c r="P192" s="638"/>
      <c r="Q192" s="638"/>
      <c r="R192" s="638"/>
      <c r="S192" s="638"/>
      <c r="T192" s="638"/>
      <c r="U192" s="638"/>
      <c r="V192" s="706"/>
      <c r="W192" s="638"/>
      <c r="X192" s="638"/>
      <c r="Y192" s="638"/>
      <c r="Z192" s="638"/>
      <c r="AA192" s="638"/>
      <c r="AB192" s="638"/>
      <c r="AC192" s="638"/>
      <c r="AD192" s="638"/>
      <c r="AE192" s="638"/>
      <c r="AF192" s="638"/>
      <c r="AG192" s="638"/>
      <c r="AH192" s="638"/>
      <c r="AI192" s="638"/>
      <c r="AJ192" s="638"/>
      <c r="AK192" s="638"/>
      <c r="AL192" s="1302">
        <f t="shared" si="7"/>
        <v>0</v>
      </c>
    </row>
    <row r="193" spans="2:46" ht="24.9" customHeight="1">
      <c r="B193" s="2629"/>
      <c r="C193" s="260" t="s">
        <v>707</v>
      </c>
      <c r="D193" s="259" t="s">
        <v>1164</v>
      </c>
      <c r="E193" s="1852" t="s">
        <v>32</v>
      </c>
      <c r="F193" s="2658" t="s">
        <v>2042</v>
      </c>
      <c r="G193" s="704"/>
      <c r="H193" s="658"/>
      <c r="I193" s="705"/>
      <c r="J193" s="638"/>
      <c r="K193" s="638"/>
      <c r="L193" s="638"/>
      <c r="M193" s="638"/>
      <c r="N193" s="638"/>
      <c r="O193" s="638"/>
      <c r="P193" s="638"/>
      <c r="Q193" s="638"/>
      <c r="R193" s="638"/>
      <c r="S193" s="638"/>
      <c r="T193" s="638"/>
      <c r="U193" s="638"/>
      <c r="V193" s="706"/>
      <c r="W193" s="638"/>
      <c r="X193" s="638"/>
      <c r="Y193" s="638"/>
      <c r="Z193" s="638"/>
      <c r="AA193" s="638"/>
      <c r="AB193" s="638"/>
      <c r="AC193" s="638"/>
      <c r="AD193" s="638"/>
      <c r="AE193" s="638"/>
      <c r="AF193" s="638"/>
      <c r="AG193" s="638"/>
      <c r="AH193" s="638"/>
      <c r="AI193" s="638"/>
      <c r="AJ193" s="638"/>
      <c r="AK193" s="638"/>
      <c r="AL193" s="1302">
        <f t="shared" si="7"/>
        <v>0</v>
      </c>
    </row>
    <row r="194" spans="2:46" ht="24.9" customHeight="1">
      <c r="B194" s="2629"/>
      <c r="C194" s="260" t="s">
        <v>1790</v>
      </c>
      <c r="D194" s="616" t="s">
        <v>1818</v>
      </c>
      <c r="E194" s="1852" t="s">
        <v>32</v>
      </c>
      <c r="F194" s="2659"/>
      <c r="G194" s="704"/>
      <c r="H194" s="658"/>
      <c r="I194" s="705"/>
      <c r="J194" s="638"/>
      <c r="K194" s="638"/>
      <c r="L194" s="638"/>
      <c r="M194" s="638"/>
      <c r="N194" s="638"/>
      <c r="O194" s="638"/>
      <c r="P194" s="638"/>
      <c r="Q194" s="638"/>
      <c r="R194" s="638"/>
      <c r="S194" s="638"/>
      <c r="T194" s="638"/>
      <c r="U194" s="638"/>
      <c r="V194" s="706"/>
      <c r="W194" s="638"/>
      <c r="X194" s="638"/>
      <c r="Y194" s="638"/>
      <c r="Z194" s="638"/>
      <c r="AA194" s="638"/>
      <c r="AB194" s="638"/>
      <c r="AC194" s="638"/>
      <c r="AD194" s="638"/>
      <c r="AE194" s="638"/>
      <c r="AF194" s="638"/>
      <c r="AG194" s="638"/>
      <c r="AH194" s="638"/>
      <c r="AI194" s="638"/>
      <c r="AJ194" s="638"/>
      <c r="AK194" s="638"/>
      <c r="AL194" s="1302">
        <f t="shared" ref="AL194" si="9">SUM(G194:AK194)</f>
        <v>0</v>
      </c>
    </row>
    <row r="195" spans="2:46" ht="24.9" customHeight="1">
      <c r="B195" s="2629"/>
      <c r="C195" s="260" t="s">
        <v>707</v>
      </c>
      <c r="D195" s="259" t="s">
        <v>890</v>
      </c>
      <c r="E195" s="1852" t="s">
        <v>32</v>
      </c>
      <c r="F195" s="2659"/>
      <c r="G195" s="704"/>
      <c r="H195" s="1284"/>
      <c r="I195" s="705"/>
      <c r="J195" s="638"/>
      <c r="K195" s="638"/>
      <c r="L195" s="638"/>
      <c r="M195" s="638"/>
      <c r="N195" s="638"/>
      <c r="O195" s="638"/>
      <c r="P195" s="638"/>
      <c r="Q195" s="638"/>
      <c r="R195" s="638"/>
      <c r="S195" s="638"/>
      <c r="T195" s="638"/>
      <c r="U195" s="638"/>
      <c r="V195" s="706"/>
      <c r="W195" s="638"/>
      <c r="X195" s="638"/>
      <c r="Y195" s="638"/>
      <c r="Z195" s="638"/>
      <c r="AA195" s="638"/>
      <c r="AB195" s="638"/>
      <c r="AC195" s="638"/>
      <c r="AD195" s="638"/>
      <c r="AE195" s="638"/>
      <c r="AF195" s="638"/>
      <c r="AG195" s="638"/>
      <c r="AH195" s="638"/>
      <c r="AI195" s="638"/>
      <c r="AJ195" s="638"/>
      <c r="AK195" s="638"/>
      <c r="AL195" s="1302">
        <f t="shared" si="7"/>
        <v>0</v>
      </c>
      <c r="AM195" s="2647" t="s">
        <v>1197</v>
      </c>
      <c r="AN195" s="2648"/>
      <c r="AO195" s="2648"/>
      <c r="AP195" s="1069"/>
      <c r="AQ195" s="1162"/>
    </row>
    <row r="196" spans="2:46" ht="24.9" customHeight="1">
      <c r="B196" s="2629"/>
      <c r="C196" s="867" t="s">
        <v>707</v>
      </c>
      <c r="D196" s="1196" t="s">
        <v>1258</v>
      </c>
      <c r="E196" s="1853" t="s">
        <v>32</v>
      </c>
      <c r="F196" s="2659"/>
      <c r="G196" s="704"/>
      <c r="H196" s="658"/>
      <c r="I196" s="705"/>
      <c r="J196" s="638"/>
      <c r="K196" s="638"/>
      <c r="L196" s="638"/>
      <c r="M196" s="638"/>
      <c r="N196" s="638">
        <v>280</v>
      </c>
      <c r="O196" s="638"/>
      <c r="P196" s="638"/>
      <c r="Q196" s="638"/>
      <c r="R196" s="638"/>
      <c r="S196" s="638"/>
      <c r="T196" s="638"/>
      <c r="U196" s="2023"/>
      <c r="V196" s="706"/>
      <c r="W196" s="638"/>
      <c r="X196" s="638"/>
      <c r="Y196" s="638"/>
      <c r="Z196" s="638"/>
      <c r="AA196" s="638"/>
      <c r="AB196" s="1882"/>
      <c r="AC196" s="638">
        <v>280</v>
      </c>
      <c r="AD196" s="638"/>
      <c r="AE196" s="638"/>
      <c r="AF196" s="638"/>
      <c r="AG196" s="638"/>
      <c r="AH196" s="638"/>
      <c r="AI196" s="638"/>
      <c r="AJ196" s="638"/>
      <c r="AK196" s="638"/>
      <c r="AL196" s="1303">
        <f t="shared" si="7"/>
        <v>560</v>
      </c>
      <c r="AR196" s="285" t="s">
        <v>1455</v>
      </c>
      <c r="AS196" s="285" t="s">
        <v>1789</v>
      </c>
    </row>
    <row r="197" spans="2:46" ht="24.9" customHeight="1" thickBot="1">
      <c r="B197" s="1311"/>
      <c r="C197" s="1312" t="s">
        <v>1384</v>
      </c>
      <c r="D197" s="1313" t="s">
        <v>1385</v>
      </c>
      <c r="E197" s="1852" t="s">
        <v>32</v>
      </c>
      <c r="F197" s="2660"/>
      <c r="G197" s="1314"/>
      <c r="H197" s="1314"/>
      <c r="I197" s="1429"/>
      <c r="J197" s="652"/>
      <c r="K197" s="652"/>
      <c r="L197" s="652"/>
      <c r="M197" s="652"/>
      <c r="N197" s="652"/>
      <c r="O197" s="652"/>
      <c r="P197" s="652"/>
      <c r="Q197" s="652"/>
      <c r="R197" s="652"/>
      <c r="S197" s="652"/>
      <c r="T197" s="652"/>
      <c r="U197" s="652"/>
      <c r="V197" s="1315"/>
      <c r="W197" s="652"/>
      <c r="X197" s="652"/>
      <c r="Y197" s="652"/>
      <c r="Z197" s="652"/>
      <c r="AA197" s="652"/>
      <c r="AB197" s="652"/>
      <c r="AC197" s="652"/>
      <c r="AD197" s="652"/>
      <c r="AE197" s="652"/>
      <c r="AF197" s="652"/>
      <c r="AG197" s="652"/>
      <c r="AH197" s="652"/>
      <c r="AI197" s="652"/>
      <c r="AJ197" s="652"/>
      <c r="AK197" s="652"/>
      <c r="AL197" s="1316">
        <f t="shared" si="7"/>
        <v>0</v>
      </c>
      <c r="AM197" s="1254" t="s">
        <v>1456</v>
      </c>
      <c r="AN197" s="1370" t="s">
        <v>1457</v>
      </c>
      <c r="AO197" s="1370" t="s">
        <v>1458</v>
      </c>
      <c r="AP197" s="1370" t="s">
        <v>1459</v>
      </c>
      <c r="AQ197" s="1254" t="s">
        <v>1460</v>
      </c>
      <c r="AR197" s="285" t="s">
        <v>1461</v>
      </c>
      <c r="AS197" s="1370" t="s">
        <v>1091</v>
      </c>
    </row>
    <row r="198" spans="2:46" ht="24.9" customHeight="1">
      <c r="B198" s="2654" t="s">
        <v>1262</v>
      </c>
      <c r="C198" s="1293">
        <v>1</v>
      </c>
      <c r="D198" s="1197" t="s">
        <v>570</v>
      </c>
      <c r="E198" s="249" t="s">
        <v>47</v>
      </c>
      <c r="F198" s="1219"/>
      <c r="G198" s="1421"/>
      <c r="H198" s="1198"/>
      <c r="I198" s="1198"/>
      <c r="J198" s="1198"/>
      <c r="K198" s="1198"/>
      <c r="L198" s="1198"/>
      <c r="M198" s="1198"/>
      <c r="N198" s="1198"/>
      <c r="O198" s="1198"/>
      <c r="P198" s="1198"/>
      <c r="Q198" s="1198"/>
      <c r="R198" s="1198"/>
      <c r="S198" s="1198"/>
      <c r="T198" s="1198"/>
      <c r="U198" s="1198"/>
      <c r="V198" s="1198"/>
      <c r="W198" s="1198"/>
      <c r="X198" s="1198"/>
      <c r="Y198" s="1198"/>
      <c r="Z198" s="1198"/>
      <c r="AA198" s="1198"/>
      <c r="AB198" s="1198"/>
      <c r="AC198" s="1198"/>
      <c r="AD198" s="1198"/>
      <c r="AE198" s="1198"/>
      <c r="AF198" s="1198"/>
      <c r="AG198" s="1198"/>
      <c r="AH198" s="1198"/>
      <c r="AI198" s="1198"/>
      <c r="AJ198" s="1198"/>
      <c r="AK198" s="1199"/>
      <c r="AL198" s="1296">
        <f t="shared" si="6"/>
        <v>0</v>
      </c>
      <c r="AM198" s="1328">
        <f>AL198</f>
        <v>0</v>
      </c>
      <c r="AN198" s="1371">
        <v>6</v>
      </c>
      <c r="AO198" s="1371">
        <f>AN198*AM198</f>
        <v>0</v>
      </c>
      <c r="AP198" s="1333">
        <v>11263</v>
      </c>
      <c r="AQ198" s="1329">
        <f>AP198*AN198</f>
        <v>67578</v>
      </c>
      <c r="AR198" s="1329">
        <f>AQ198*AM198</f>
        <v>0</v>
      </c>
      <c r="AS198" s="1333">
        <f>AP198*AO198</f>
        <v>0</v>
      </c>
    </row>
    <row r="199" spans="2:46" ht="24.9" customHeight="1">
      <c r="B199" s="2655"/>
      <c r="C199" s="1294">
        <v>2</v>
      </c>
      <c r="D199" s="242" t="s">
        <v>401</v>
      </c>
      <c r="E199" s="245" t="s">
        <v>47</v>
      </c>
      <c r="F199" s="1210"/>
      <c r="G199" s="1291"/>
      <c r="H199" s="863"/>
      <c r="I199" s="863"/>
      <c r="J199" s="863"/>
      <c r="K199" s="863"/>
      <c r="L199" s="863"/>
      <c r="M199" s="863"/>
      <c r="N199" s="863"/>
      <c r="O199" s="863"/>
      <c r="P199" s="863"/>
      <c r="Q199" s="863"/>
      <c r="R199" s="863"/>
      <c r="S199" s="863"/>
      <c r="T199" s="863"/>
      <c r="U199" s="863"/>
      <c r="V199" s="863"/>
      <c r="W199" s="863"/>
      <c r="X199" s="863"/>
      <c r="Y199" s="863"/>
      <c r="Z199" s="863"/>
      <c r="AA199" s="863"/>
      <c r="AB199" s="863"/>
      <c r="AC199" s="863"/>
      <c r="AD199" s="863"/>
      <c r="AE199" s="863"/>
      <c r="AF199" s="863"/>
      <c r="AG199" s="863"/>
      <c r="AH199" s="863"/>
      <c r="AI199" s="863"/>
      <c r="AJ199" s="863"/>
      <c r="AK199" s="864"/>
      <c r="AL199" s="1299">
        <f t="shared" si="6"/>
        <v>0</v>
      </c>
      <c r="AM199" s="1328">
        <f t="shared" ref="AM199:AM212" si="10">AL199</f>
        <v>0</v>
      </c>
      <c r="AN199" s="1372">
        <v>14</v>
      </c>
      <c r="AO199" s="1371">
        <f>AN199*AM199</f>
        <v>0</v>
      </c>
      <c r="AP199" s="1333">
        <v>37320</v>
      </c>
      <c r="AQ199" s="1329">
        <f t="shared" ref="AQ199:AQ211" si="11">AP199*AN199</f>
        <v>522480</v>
      </c>
      <c r="AR199" s="1329">
        <f>AQ199*AM199</f>
        <v>0</v>
      </c>
      <c r="AS199" s="1333">
        <f>AP199*AO199</f>
        <v>0</v>
      </c>
    </row>
    <row r="200" spans="2:46" ht="24.9" customHeight="1">
      <c r="B200" s="2655"/>
      <c r="C200" s="1294">
        <v>3</v>
      </c>
      <c r="D200" s="242" t="s">
        <v>402</v>
      </c>
      <c r="E200" s="245" t="s">
        <v>47</v>
      </c>
      <c r="F200" s="1210"/>
      <c r="G200" s="1291"/>
      <c r="H200" s="863"/>
      <c r="I200" s="863"/>
      <c r="J200" s="1291"/>
      <c r="K200" s="863"/>
      <c r="L200" s="863"/>
      <c r="M200" s="863"/>
      <c r="N200" s="863"/>
      <c r="O200" s="863"/>
      <c r="P200" s="863"/>
      <c r="Q200" s="863"/>
      <c r="R200" s="863"/>
      <c r="S200" s="863"/>
      <c r="T200" s="863">
        <v>2</v>
      </c>
      <c r="U200" s="863"/>
      <c r="V200" s="863"/>
      <c r="W200" s="863"/>
      <c r="X200" s="863"/>
      <c r="Y200" s="863"/>
      <c r="Z200" s="863"/>
      <c r="AA200" s="863"/>
      <c r="AB200" s="863"/>
      <c r="AC200" s="863"/>
      <c r="AD200" s="863"/>
      <c r="AE200" s="863"/>
      <c r="AF200" s="863"/>
      <c r="AG200" s="863"/>
      <c r="AH200" s="863"/>
      <c r="AI200" s="863"/>
      <c r="AJ200" s="863"/>
      <c r="AK200" s="864"/>
      <c r="AL200" s="1307">
        <f t="shared" si="6"/>
        <v>2</v>
      </c>
      <c r="AM200" s="1328">
        <f t="shared" si="10"/>
        <v>2</v>
      </c>
      <c r="AN200" s="1378">
        <v>0.9</v>
      </c>
      <c r="AO200" s="1371">
        <f t="shared" ref="AO200:AO210" si="12">AN200*AM200</f>
        <v>1.8</v>
      </c>
      <c r="AP200" s="1333">
        <v>48793</v>
      </c>
      <c r="AQ200" s="1329">
        <f t="shared" si="11"/>
        <v>43913.700000000004</v>
      </c>
      <c r="AR200" s="1329">
        <f>AQ200*AM200</f>
        <v>87827.400000000009</v>
      </c>
      <c r="AS200" s="1333">
        <f t="shared" ref="AS200:AS209" si="13">AP200*AO200</f>
        <v>87827.400000000009</v>
      </c>
    </row>
    <row r="201" spans="2:46" ht="24.9" customHeight="1">
      <c r="B201" s="2655"/>
      <c r="C201" s="1294">
        <v>4</v>
      </c>
      <c r="D201" s="242" t="s">
        <v>403</v>
      </c>
      <c r="E201" s="245" t="s">
        <v>47</v>
      </c>
      <c r="F201" s="1210"/>
      <c r="G201" s="1291">
        <v>5</v>
      </c>
      <c r="H201" s="863"/>
      <c r="I201" s="863"/>
      <c r="J201" s="1291"/>
      <c r="K201" s="863"/>
      <c r="L201" s="863"/>
      <c r="M201" s="863"/>
      <c r="N201" s="863"/>
      <c r="O201" s="863"/>
      <c r="P201" s="863"/>
      <c r="Q201" s="863"/>
      <c r="R201" s="863"/>
      <c r="S201" s="1283"/>
      <c r="T201" s="863">
        <v>3</v>
      </c>
      <c r="U201" s="863"/>
      <c r="V201" s="863"/>
      <c r="W201" s="863"/>
      <c r="X201" s="863"/>
      <c r="Y201" s="863"/>
      <c r="Z201" s="863"/>
      <c r="AA201" s="863"/>
      <c r="AB201" s="863"/>
      <c r="AC201" s="863"/>
      <c r="AD201" s="863"/>
      <c r="AE201" s="863"/>
      <c r="AF201" s="863"/>
      <c r="AG201" s="863"/>
      <c r="AH201" s="863"/>
      <c r="AI201" s="863"/>
      <c r="AJ201" s="863"/>
      <c r="AK201" s="864"/>
      <c r="AL201" s="1299">
        <f t="shared" si="6"/>
        <v>8</v>
      </c>
      <c r="AM201" s="1328">
        <f t="shared" si="10"/>
        <v>8</v>
      </c>
      <c r="AN201" s="1373">
        <v>15</v>
      </c>
      <c r="AO201" s="1371">
        <f t="shared" si="12"/>
        <v>120</v>
      </c>
      <c r="AP201" s="1333">
        <v>2133</v>
      </c>
      <c r="AQ201" s="1329">
        <f t="shared" si="11"/>
        <v>31995</v>
      </c>
      <c r="AR201" s="1329">
        <f t="shared" ref="AR201:AR211" si="14">AQ201*AM201</f>
        <v>255960</v>
      </c>
      <c r="AS201" s="1333">
        <f t="shared" si="13"/>
        <v>255960</v>
      </c>
    </row>
    <row r="202" spans="2:46" ht="24.9" customHeight="1">
      <c r="B202" s="2655"/>
      <c r="C202" s="1294">
        <v>5</v>
      </c>
      <c r="D202" s="255" t="s">
        <v>930</v>
      </c>
      <c r="E202" s="245" t="s">
        <v>47</v>
      </c>
      <c r="F202" s="1209"/>
      <c r="G202" s="1291"/>
      <c r="H202" s="863"/>
      <c r="I202" s="863"/>
      <c r="J202" s="1291"/>
      <c r="K202" s="863"/>
      <c r="L202" s="863"/>
      <c r="M202" s="863"/>
      <c r="N202" s="863"/>
      <c r="O202" s="863"/>
      <c r="P202" s="863"/>
      <c r="Q202" s="863"/>
      <c r="R202" s="863"/>
      <c r="S202" s="863"/>
      <c r="T202" s="863"/>
      <c r="U202" s="863"/>
      <c r="V202" s="863"/>
      <c r="W202" s="863"/>
      <c r="X202" s="863"/>
      <c r="Y202" s="863"/>
      <c r="Z202" s="863"/>
      <c r="AA202" s="863"/>
      <c r="AB202" s="863"/>
      <c r="AC202" s="863"/>
      <c r="AD202" s="863"/>
      <c r="AE202" s="863"/>
      <c r="AF202" s="863"/>
      <c r="AG202" s="863"/>
      <c r="AH202" s="863"/>
      <c r="AI202" s="863"/>
      <c r="AJ202" s="863"/>
      <c r="AK202" s="864"/>
      <c r="AL202" s="1299">
        <f t="shared" si="6"/>
        <v>0</v>
      </c>
      <c r="AM202" s="1328">
        <f t="shared" si="10"/>
        <v>0</v>
      </c>
      <c r="AN202" s="1373">
        <v>6</v>
      </c>
      <c r="AO202" s="1371">
        <f t="shared" si="12"/>
        <v>0</v>
      </c>
      <c r="AP202" s="1333">
        <v>8580</v>
      </c>
      <c r="AQ202" s="1329">
        <f>AP202*AN202</f>
        <v>51480</v>
      </c>
      <c r="AR202" s="1329">
        <f t="shared" si="14"/>
        <v>0</v>
      </c>
      <c r="AS202" s="1333">
        <f>AP202*AO202</f>
        <v>0</v>
      </c>
      <c r="AT202" s="235">
        <v>6714900</v>
      </c>
    </row>
    <row r="203" spans="2:46" ht="24.9" customHeight="1">
      <c r="B203" s="2655"/>
      <c r="C203" s="1294">
        <v>6</v>
      </c>
      <c r="D203" s="255" t="s">
        <v>404</v>
      </c>
      <c r="E203" s="245" t="s">
        <v>47</v>
      </c>
      <c r="F203" s="1209"/>
      <c r="G203" s="1291"/>
      <c r="H203" s="863"/>
      <c r="I203" s="863"/>
      <c r="J203" s="863"/>
      <c r="K203" s="863"/>
      <c r="L203" s="863"/>
      <c r="M203" s="863"/>
      <c r="N203" s="863"/>
      <c r="O203" s="863"/>
      <c r="P203" s="863"/>
      <c r="Q203" s="863"/>
      <c r="R203" s="863"/>
      <c r="S203" s="863"/>
      <c r="T203" s="863"/>
      <c r="U203" s="863"/>
      <c r="V203" s="863"/>
      <c r="W203" s="863"/>
      <c r="X203" s="863"/>
      <c r="Y203" s="863"/>
      <c r="Z203" s="863"/>
      <c r="AA203" s="863"/>
      <c r="AB203" s="863"/>
      <c r="AC203" s="863"/>
      <c r="AD203" s="863"/>
      <c r="AE203" s="863"/>
      <c r="AF203" s="863"/>
      <c r="AG203" s="863"/>
      <c r="AH203" s="863"/>
      <c r="AI203" s="863"/>
      <c r="AJ203" s="863"/>
      <c r="AK203" s="864"/>
      <c r="AL203" s="1299">
        <f t="shared" si="6"/>
        <v>0</v>
      </c>
      <c r="AM203" s="1328">
        <f t="shared" si="10"/>
        <v>0</v>
      </c>
      <c r="AN203" s="1373">
        <v>6</v>
      </c>
      <c r="AO203" s="1371">
        <f t="shared" si="12"/>
        <v>0</v>
      </c>
      <c r="AP203" s="1333">
        <v>10583</v>
      </c>
      <c r="AQ203" s="1329">
        <f t="shared" si="11"/>
        <v>63498</v>
      </c>
      <c r="AR203" s="1329">
        <f t="shared" si="14"/>
        <v>0</v>
      </c>
      <c r="AS203" s="1333">
        <f t="shared" si="13"/>
        <v>0</v>
      </c>
    </row>
    <row r="204" spans="2:46" ht="24.9" customHeight="1">
      <c r="B204" s="2655"/>
      <c r="C204" s="1294">
        <v>7</v>
      </c>
      <c r="D204" s="255" t="s">
        <v>405</v>
      </c>
      <c r="E204" s="245" t="s">
        <v>47</v>
      </c>
      <c r="F204" s="1209"/>
      <c r="G204" s="1291"/>
      <c r="H204" s="863"/>
      <c r="I204" s="863"/>
      <c r="J204" s="863"/>
      <c r="K204" s="863"/>
      <c r="L204" s="863"/>
      <c r="M204" s="863"/>
      <c r="N204" s="863"/>
      <c r="O204" s="863"/>
      <c r="P204" s="863"/>
      <c r="Q204" s="863"/>
      <c r="R204" s="863"/>
      <c r="S204" s="863"/>
      <c r="T204" s="863"/>
      <c r="U204" s="863"/>
      <c r="V204" s="863"/>
      <c r="W204" s="863"/>
      <c r="X204" s="863"/>
      <c r="Y204" s="863"/>
      <c r="Z204" s="863"/>
      <c r="AA204" s="863"/>
      <c r="AB204" s="863"/>
      <c r="AC204" s="863"/>
      <c r="AD204" s="863"/>
      <c r="AE204" s="863"/>
      <c r="AF204" s="863"/>
      <c r="AG204" s="863"/>
      <c r="AH204" s="863"/>
      <c r="AI204" s="863"/>
      <c r="AJ204" s="863"/>
      <c r="AK204" s="864"/>
      <c r="AL204" s="1299">
        <f t="shared" si="6"/>
        <v>0</v>
      </c>
      <c r="AM204" s="1328">
        <f t="shared" si="10"/>
        <v>0</v>
      </c>
      <c r="AN204" s="1079"/>
      <c r="AO204" s="1371">
        <f t="shared" si="12"/>
        <v>0</v>
      </c>
      <c r="AP204" s="1333"/>
      <c r="AQ204" s="1329">
        <f t="shared" si="11"/>
        <v>0</v>
      </c>
      <c r="AR204" s="1329">
        <f t="shared" si="14"/>
        <v>0</v>
      </c>
      <c r="AS204" s="1333">
        <f t="shared" si="13"/>
        <v>0</v>
      </c>
    </row>
    <row r="205" spans="2:46" ht="24.9" customHeight="1">
      <c r="B205" s="2655"/>
      <c r="C205" s="1294">
        <v>400219</v>
      </c>
      <c r="D205" s="242" t="s">
        <v>406</v>
      </c>
      <c r="E205" s="245" t="s">
        <v>626</v>
      </c>
      <c r="F205" s="1210"/>
      <c r="G205" s="866"/>
      <c r="H205" s="865"/>
      <c r="I205" s="865"/>
      <c r="J205" s="865"/>
      <c r="K205" s="865"/>
      <c r="L205" s="865"/>
      <c r="M205" s="865"/>
      <c r="N205" s="865"/>
      <c r="O205" s="865"/>
      <c r="P205" s="865"/>
      <c r="Q205" s="865"/>
      <c r="R205" s="865"/>
      <c r="S205" s="865"/>
      <c r="T205" s="865"/>
      <c r="U205" s="865"/>
      <c r="V205" s="865"/>
      <c r="W205" s="865"/>
      <c r="X205" s="865"/>
      <c r="Y205" s="865"/>
      <c r="Z205" s="865"/>
      <c r="AA205" s="865"/>
      <c r="AB205" s="865"/>
      <c r="AC205" s="865"/>
      <c r="AD205" s="865"/>
      <c r="AE205" s="865"/>
      <c r="AF205" s="863"/>
      <c r="AG205" s="863"/>
      <c r="AH205" s="863"/>
      <c r="AI205" s="863"/>
      <c r="AJ205" s="863"/>
      <c r="AK205" s="864"/>
      <c r="AL205" s="1299">
        <f t="shared" si="6"/>
        <v>0</v>
      </c>
      <c r="AM205" s="1328">
        <f t="shared" si="10"/>
        <v>0</v>
      </c>
      <c r="AN205" s="1373">
        <v>10</v>
      </c>
      <c r="AO205" s="1371">
        <f t="shared" si="12"/>
        <v>0</v>
      </c>
      <c r="AP205" s="1333">
        <v>4760</v>
      </c>
      <c r="AQ205" s="1329">
        <f t="shared" si="11"/>
        <v>47600</v>
      </c>
      <c r="AR205" s="1329">
        <f t="shared" si="14"/>
        <v>0</v>
      </c>
      <c r="AS205" s="1333">
        <f t="shared" si="13"/>
        <v>0</v>
      </c>
    </row>
    <row r="206" spans="2:46" ht="24.9" customHeight="1">
      <c r="B206" s="2655"/>
      <c r="C206" s="1294">
        <v>9</v>
      </c>
      <c r="D206" s="242" t="s">
        <v>929</v>
      </c>
      <c r="E206" s="245" t="s">
        <v>47</v>
      </c>
      <c r="F206" s="1210"/>
      <c r="G206" s="640"/>
      <c r="H206" s="865"/>
      <c r="I206" s="865"/>
      <c r="J206" s="865"/>
      <c r="K206" s="865"/>
      <c r="L206" s="865"/>
      <c r="M206" s="865"/>
      <c r="N206" s="865"/>
      <c r="O206" s="865"/>
      <c r="P206" s="865"/>
      <c r="Q206" s="865"/>
      <c r="R206" s="865"/>
      <c r="S206" s="865"/>
      <c r="T206" s="865"/>
      <c r="U206" s="865"/>
      <c r="V206" s="865"/>
      <c r="W206" s="865"/>
      <c r="X206" s="865"/>
      <c r="Y206" s="865"/>
      <c r="Z206" s="865"/>
      <c r="AA206" s="865"/>
      <c r="AB206" s="865"/>
      <c r="AC206" s="865"/>
      <c r="AD206" s="865"/>
      <c r="AE206" s="865"/>
      <c r="AF206" s="865"/>
      <c r="AG206" s="865"/>
      <c r="AH206" s="865"/>
      <c r="AI206" s="865"/>
      <c r="AJ206" s="865"/>
      <c r="AK206" s="865"/>
      <c r="AL206" s="1304">
        <f t="shared" si="6"/>
        <v>0</v>
      </c>
      <c r="AM206" s="1328">
        <f t="shared" si="10"/>
        <v>0</v>
      </c>
      <c r="AN206" s="1378">
        <v>14</v>
      </c>
      <c r="AO206" s="1371">
        <f t="shared" si="12"/>
        <v>0</v>
      </c>
      <c r="AP206" s="1333">
        <v>37320</v>
      </c>
      <c r="AQ206" s="1329">
        <f t="shared" si="11"/>
        <v>522480</v>
      </c>
      <c r="AR206" s="1329">
        <f t="shared" si="14"/>
        <v>0</v>
      </c>
      <c r="AS206" s="1333">
        <f t="shared" si="13"/>
        <v>0</v>
      </c>
    </row>
    <row r="207" spans="2:46" ht="24.9" customHeight="1">
      <c r="B207" s="2655"/>
      <c r="C207" s="1294" t="s">
        <v>1372</v>
      </c>
      <c r="D207" s="242" t="s">
        <v>1444</v>
      </c>
      <c r="E207" s="245" t="s">
        <v>626</v>
      </c>
      <c r="F207" s="1210"/>
      <c r="G207" s="640"/>
      <c r="H207" s="865"/>
      <c r="I207" s="865"/>
      <c r="J207" s="865"/>
      <c r="K207" s="865"/>
      <c r="L207" s="865"/>
      <c r="M207" s="865"/>
      <c r="N207" s="865"/>
      <c r="O207" s="865"/>
      <c r="P207" s="865"/>
      <c r="Q207" s="865"/>
      <c r="R207" s="865"/>
      <c r="S207" s="865"/>
      <c r="T207" s="865"/>
      <c r="U207" s="865"/>
      <c r="V207" s="865"/>
      <c r="W207" s="865"/>
      <c r="X207" s="865"/>
      <c r="Y207" s="865"/>
      <c r="Z207" s="865"/>
      <c r="AA207" s="865"/>
      <c r="AB207" s="865"/>
      <c r="AC207" s="865"/>
      <c r="AD207" s="865"/>
      <c r="AE207" s="865"/>
      <c r="AF207" s="863"/>
      <c r="AG207" s="865"/>
      <c r="AH207" s="865"/>
      <c r="AI207" s="865"/>
      <c r="AJ207" s="865"/>
      <c r="AK207" s="865"/>
      <c r="AL207" s="1304">
        <f t="shared" si="6"/>
        <v>0</v>
      </c>
      <c r="AM207" s="1328">
        <f t="shared" si="10"/>
        <v>0</v>
      </c>
      <c r="AN207" s="1373"/>
      <c r="AO207" s="1371">
        <f t="shared" si="12"/>
        <v>0</v>
      </c>
      <c r="AP207" s="1333">
        <v>11235</v>
      </c>
      <c r="AQ207" s="1329">
        <f t="shared" si="11"/>
        <v>0</v>
      </c>
      <c r="AR207" s="1329">
        <f t="shared" si="14"/>
        <v>0</v>
      </c>
      <c r="AS207" s="1333">
        <f t="shared" si="13"/>
        <v>0</v>
      </c>
    </row>
    <row r="208" spans="2:46" ht="24.9" customHeight="1">
      <c r="B208" s="2655"/>
      <c r="C208" s="1294" t="s">
        <v>1372</v>
      </c>
      <c r="D208" s="242" t="s">
        <v>1366</v>
      </c>
      <c r="E208" s="245" t="s">
        <v>626</v>
      </c>
      <c r="F208" s="1210"/>
      <c r="G208" s="640">
        <v>28</v>
      </c>
      <c r="H208" s="865"/>
      <c r="I208" s="865"/>
      <c r="J208" s="865"/>
      <c r="K208" s="865"/>
      <c r="L208" s="865"/>
      <c r="M208" s="865">
        <v>28</v>
      </c>
      <c r="N208" s="865"/>
      <c r="O208" s="865"/>
      <c r="P208" s="865"/>
      <c r="Q208" s="865"/>
      <c r="R208" s="865"/>
      <c r="S208" s="865"/>
      <c r="T208" s="865">
        <v>20</v>
      </c>
      <c r="U208" s="865"/>
      <c r="V208" s="865"/>
      <c r="W208" s="865"/>
      <c r="X208" s="865"/>
      <c r="Y208" s="865"/>
      <c r="Z208" s="865"/>
      <c r="AA208" s="865">
        <v>25</v>
      </c>
      <c r="AB208" s="865"/>
      <c r="AC208" s="865"/>
      <c r="AD208" s="865">
        <v>43</v>
      </c>
      <c r="AE208" s="865"/>
      <c r="AF208" s="865"/>
      <c r="AG208" s="865"/>
      <c r="AH208" s="865"/>
      <c r="AI208" s="865"/>
      <c r="AJ208" s="865"/>
      <c r="AK208" s="865"/>
      <c r="AL208" s="1304">
        <f t="shared" si="6"/>
        <v>144</v>
      </c>
      <c r="AM208" s="1328">
        <f t="shared" si="10"/>
        <v>144</v>
      </c>
      <c r="AN208" s="1373">
        <v>8</v>
      </c>
      <c r="AO208" s="1371">
        <f t="shared" si="12"/>
        <v>1152</v>
      </c>
      <c r="AP208" s="1333">
        <v>10486</v>
      </c>
      <c r="AQ208" s="1329">
        <f t="shared" si="11"/>
        <v>83888</v>
      </c>
      <c r="AR208" s="1329">
        <f t="shared" si="14"/>
        <v>12079872</v>
      </c>
      <c r="AS208" s="1333">
        <f t="shared" si="13"/>
        <v>12079872</v>
      </c>
    </row>
    <row r="209" spans="2:45" ht="24.9" customHeight="1">
      <c r="B209" s="2655"/>
      <c r="C209" s="1294" t="s">
        <v>1372</v>
      </c>
      <c r="D209" s="242" t="s">
        <v>1368</v>
      </c>
      <c r="E209" s="245" t="s">
        <v>626</v>
      </c>
      <c r="F209" s="1210"/>
      <c r="G209" s="640">
        <v>2</v>
      </c>
      <c r="H209" s="865"/>
      <c r="I209" s="865"/>
      <c r="J209" s="865"/>
      <c r="K209" s="865"/>
      <c r="L209" s="865"/>
      <c r="M209" s="865"/>
      <c r="N209" s="865"/>
      <c r="O209" s="865"/>
      <c r="P209" s="865"/>
      <c r="Q209" s="865"/>
      <c r="R209" s="865"/>
      <c r="S209" s="865"/>
      <c r="T209" s="865">
        <v>4</v>
      </c>
      <c r="U209" s="865"/>
      <c r="V209" s="865"/>
      <c r="W209" s="865"/>
      <c r="X209" s="1578"/>
      <c r="Y209" s="865"/>
      <c r="Z209" s="865"/>
      <c r="AA209" s="865">
        <v>23</v>
      </c>
      <c r="AB209" s="865"/>
      <c r="AC209" s="865"/>
      <c r="AD209" s="865">
        <v>5</v>
      </c>
      <c r="AE209" s="865"/>
      <c r="AF209" s="865"/>
      <c r="AG209" s="865"/>
      <c r="AH209" s="865"/>
      <c r="AI209" s="865"/>
      <c r="AJ209" s="865"/>
      <c r="AK209" s="865"/>
      <c r="AL209" s="1304">
        <f t="shared" si="6"/>
        <v>34</v>
      </c>
      <c r="AM209" s="1328">
        <f t="shared" si="10"/>
        <v>34</v>
      </c>
      <c r="AN209" s="1373">
        <v>1</v>
      </c>
      <c r="AO209" s="1371">
        <f t="shared" si="12"/>
        <v>34</v>
      </c>
      <c r="AP209" s="1333">
        <v>33393</v>
      </c>
      <c r="AQ209" s="1329">
        <f t="shared" si="11"/>
        <v>33393</v>
      </c>
      <c r="AR209" s="1329">
        <f t="shared" si="14"/>
        <v>1135362</v>
      </c>
      <c r="AS209" s="1333">
        <f t="shared" si="13"/>
        <v>1135362</v>
      </c>
    </row>
    <row r="210" spans="2:45" ht="24.9" customHeight="1">
      <c r="B210" s="2655"/>
      <c r="C210" s="1294" t="s">
        <v>1372</v>
      </c>
      <c r="D210" s="242" t="s">
        <v>1370</v>
      </c>
      <c r="E210" s="245" t="s">
        <v>626</v>
      </c>
      <c r="F210" s="1210"/>
      <c r="G210" s="640">
        <v>3</v>
      </c>
      <c r="H210" s="865"/>
      <c r="I210" s="865"/>
      <c r="J210" s="865"/>
      <c r="K210" s="865"/>
      <c r="L210" s="865"/>
      <c r="M210" s="865"/>
      <c r="N210" s="865"/>
      <c r="O210" s="865"/>
      <c r="P210" s="865"/>
      <c r="Q210" s="865"/>
      <c r="R210" s="865"/>
      <c r="S210" s="865"/>
      <c r="T210" s="865">
        <v>15</v>
      </c>
      <c r="U210" s="865"/>
      <c r="V210" s="865"/>
      <c r="W210" s="865"/>
      <c r="X210" s="1578"/>
      <c r="Y210" s="865"/>
      <c r="Z210" s="865"/>
      <c r="AA210" s="865">
        <v>48</v>
      </c>
      <c r="AB210" s="865"/>
      <c r="AC210" s="865"/>
      <c r="AD210" s="865">
        <v>8</v>
      </c>
      <c r="AE210" s="865"/>
      <c r="AF210" s="865"/>
      <c r="AG210" s="865"/>
      <c r="AH210" s="865"/>
      <c r="AI210" s="865"/>
      <c r="AJ210" s="865"/>
      <c r="AK210" s="865"/>
      <c r="AL210" s="1304">
        <f t="shared" si="6"/>
        <v>74</v>
      </c>
      <c r="AM210" s="1328">
        <f t="shared" si="10"/>
        <v>74</v>
      </c>
      <c r="AN210" s="1373">
        <v>6</v>
      </c>
      <c r="AO210" s="1371">
        <f t="shared" si="12"/>
        <v>444</v>
      </c>
      <c r="AP210" s="1333">
        <v>7583</v>
      </c>
      <c r="AQ210" s="1329">
        <f t="shared" si="11"/>
        <v>45498</v>
      </c>
      <c r="AR210" s="1329">
        <f t="shared" si="14"/>
        <v>3366852</v>
      </c>
      <c r="AS210" s="1333">
        <f>AP210*AO210</f>
        <v>3366852</v>
      </c>
    </row>
    <row r="211" spans="2:45" ht="24.9" customHeight="1">
      <c r="B211" s="2655"/>
      <c r="C211" s="1294" t="s">
        <v>1372</v>
      </c>
      <c r="D211" s="242" t="s">
        <v>1518</v>
      </c>
      <c r="E211" s="245" t="s">
        <v>626</v>
      </c>
      <c r="F211" s="1210"/>
      <c r="G211" s="640"/>
      <c r="H211" s="865"/>
      <c r="I211" s="865"/>
      <c r="J211" s="865"/>
      <c r="K211" s="865"/>
      <c r="L211" s="865"/>
      <c r="M211" s="865"/>
      <c r="N211" s="865"/>
      <c r="O211" s="865"/>
      <c r="P211" s="865"/>
      <c r="Q211" s="865"/>
      <c r="R211" s="865"/>
      <c r="S211" s="865"/>
      <c r="T211" s="865"/>
      <c r="U211" s="865"/>
      <c r="V211" s="865"/>
      <c r="W211" s="865"/>
      <c r="X211" s="1578"/>
      <c r="Y211" s="865"/>
      <c r="Z211" s="865"/>
      <c r="AA211" s="865"/>
      <c r="AB211" s="865"/>
      <c r="AC211" s="865"/>
      <c r="AD211" s="865"/>
      <c r="AE211" s="865"/>
      <c r="AF211" s="865"/>
      <c r="AG211" s="865"/>
      <c r="AH211" s="865"/>
      <c r="AI211" s="865"/>
      <c r="AJ211" s="865"/>
      <c r="AK211" s="865"/>
      <c r="AL211" s="1304">
        <f t="shared" si="6"/>
        <v>0</v>
      </c>
      <c r="AM211" s="1328">
        <f t="shared" si="10"/>
        <v>0</v>
      </c>
      <c r="AN211" s="1373">
        <v>8</v>
      </c>
      <c r="AO211" s="1371">
        <f>AN211*AM211</f>
        <v>0</v>
      </c>
      <c r="AP211" s="1333">
        <v>26010</v>
      </c>
      <c r="AQ211" s="1329">
        <f t="shared" si="11"/>
        <v>208080</v>
      </c>
      <c r="AR211" s="1329">
        <f t="shared" si="14"/>
        <v>0</v>
      </c>
      <c r="AS211" s="1333">
        <f>AP211*AO211</f>
        <v>0</v>
      </c>
    </row>
    <row r="212" spans="2:45" ht="24.9" customHeight="1">
      <c r="B212" s="2655"/>
      <c r="C212" s="771" t="s">
        <v>863</v>
      </c>
      <c r="D212" s="617" t="s">
        <v>1484</v>
      </c>
      <c r="E212" s="615" t="s">
        <v>666</v>
      </c>
      <c r="F212" s="1210" t="s">
        <v>1485</v>
      </c>
      <c r="G212" s="640"/>
      <c r="H212" s="865"/>
      <c r="I212" s="865"/>
      <c r="J212" s="865"/>
      <c r="K212" s="865"/>
      <c r="L212" s="865"/>
      <c r="M212" s="865"/>
      <c r="N212" s="865"/>
      <c r="O212" s="865"/>
      <c r="P212" s="865"/>
      <c r="Q212" s="865"/>
      <c r="R212" s="865"/>
      <c r="S212" s="865"/>
      <c r="T212" s="865"/>
      <c r="U212" s="865"/>
      <c r="V212" s="865"/>
      <c r="W212" s="865"/>
      <c r="X212" s="865"/>
      <c r="Y212" s="865"/>
      <c r="Z212" s="865"/>
      <c r="AA212" s="865"/>
      <c r="AB212" s="865"/>
      <c r="AC212" s="865"/>
      <c r="AD212" s="865"/>
      <c r="AE212" s="865"/>
      <c r="AF212" s="865"/>
      <c r="AG212" s="865"/>
      <c r="AH212" s="865"/>
      <c r="AI212" s="865"/>
      <c r="AJ212" s="865"/>
      <c r="AK212" s="865"/>
      <c r="AL212" s="1304">
        <f t="shared" si="6"/>
        <v>0</v>
      </c>
      <c r="AM212" s="1328">
        <f t="shared" si="10"/>
        <v>0</v>
      </c>
      <c r="AN212" s="1373">
        <v>8</v>
      </c>
      <c r="AO212" s="1371">
        <f>AN212*AM212</f>
        <v>0</v>
      </c>
      <c r="AP212" s="1333">
        <v>51360</v>
      </c>
      <c r="AQ212" s="1329">
        <v>384000</v>
      </c>
      <c r="AR212" s="1329">
        <f>AP212*AO212</f>
        <v>0</v>
      </c>
      <c r="AS212" s="1333">
        <f>AR212</f>
        <v>0</v>
      </c>
    </row>
    <row r="213" spans="2:45" ht="24" customHeight="1">
      <c r="B213" s="2655"/>
      <c r="C213" s="1294">
        <v>700230</v>
      </c>
      <c r="D213" s="242" t="s">
        <v>51</v>
      </c>
      <c r="E213" s="245" t="s">
        <v>47</v>
      </c>
      <c r="F213" s="1210" t="s">
        <v>434</v>
      </c>
      <c r="G213" s="670"/>
      <c r="H213" s="612"/>
      <c r="I213" s="612"/>
      <c r="J213" s="612"/>
      <c r="K213" s="612"/>
      <c r="L213" s="612"/>
      <c r="M213" s="612"/>
      <c r="N213" s="612"/>
      <c r="O213" s="612"/>
      <c r="P213" s="612"/>
      <c r="Q213" s="612"/>
      <c r="R213" s="612"/>
      <c r="S213" s="612"/>
      <c r="T213" s="612"/>
      <c r="U213" s="612"/>
      <c r="V213" s="612"/>
      <c r="W213" s="612"/>
      <c r="X213" s="612"/>
      <c r="Y213" s="612"/>
      <c r="Z213" s="612"/>
      <c r="AA213" s="612"/>
      <c r="AB213" s="612"/>
      <c r="AC213" s="612"/>
      <c r="AD213" s="612"/>
      <c r="AE213" s="612"/>
      <c r="AF213" s="612"/>
      <c r="AG213" s="612"/>
      <c r="AH213" s="612"/>
      <c r="AI213" s="612"/>
      <c r="AJ213" s="612"/>
      <c r="AK213" s="612"/>
      <c r="AL213" s="1304">
        <f t="shared" si="6"/>
        <v>0</v>
      </c>
      <c r="AM213" s="1374"/>
      <c r="AN213" s="1374"/>
      <c r="AO213" s="1374"/>
      <c r="AP213" s="1374"/>
      <c r="AQ213" s="1265"/>
      <c r="AR213" s="1375">
        <f>SUM(AR198:AR212)</f>
        <v>16925873.399999999</v>
      </c>
      <c r="AS213" s="1376">
        <f>SUM(AS198:AS212)</f>
        <v>16925873.399999999</v>
      </c>
    </row>
    <row r="214" spans="2:45" ht="24" customHeight="1">
      <c r="B214" s="2655"/>
      <c r="C214" s="1294">
        <v>700237</v>
      </c>
      <c r="D214" s="242" t="s">
        <v>408</v>
      </c>
      <c r="E214" s="245" t="s">
        <v>47</v>
      </c>
      <c r="F214" s="1210" t="s">
        <v>434</v>
      </c>
      <c r="G214" s="640"/>
      <c r="H214" s="668"/>
      <c r="I214" s="668"/>
      <c r="J214" s="668"/>
      <c r="K214" s="668"/>
      <c r="L214" s="668"/>
      <c r="M214" s="668"/>
      <c r="N214" s="668"/>
      <c r="O214" s="668"/>
      <c r="P214" s="668"/>
      <c r="Q214" s="668"/>
      <c r="R214" s="668"/>
      <c r="S214" s="668"/>
      <c r="T214" s="668"/>
      <c r="U214" s="668"/>
      <c r="V214" s="668"/>
      <c r="W214" s="668"/>
      <c r="X214" s="668"/>
      <c r="Y214" s="668"/>
      <c r="Z214" s="668"/>
      <c r="AA214" s="668"/>
      <c r="AB214" s="668"/>
      <c r="AC214" s="668"/>
      <c r="AD214" s="668"/>
      <c r="AE214" s="668"/>
      <c r="AF214" s="668"/>
      <c r="AG214" s="668"/>
      <c r="AH214" s="668"/>
      <c r="AI214" s="668"/>
      <c r="AJ214" s="668"/>
      <c r="AK214" s="669"/>
      <c r="AL214" s="1299">
        <f t="shared" si="6"/>
        <v>0</v>
      </c>
      <c r="AM214" s="1332"/>
      <c r="AN214" s="1332"/>
      <c r="AO214" s="1332"/>
      <c r="AP214" s="1329"/>
      <c r="AQ214" s="1329"/>
      <c r="AR214" s="1329"/>
      <c r="AS214" s="1377"/>
    </row>
    <row r="215" spans="2:45" ht="24" customHeight="1">
      <c r="B215" s="2655"/>
      <c r="C215" s="1294">
        <v>700240</v>
      </c>
      <c r="D215" s="242" t="s">
        <v>409</v>
      </c>
      <c r="E215" s="245" t="s">
        <v>47</v>
      </c>
      <c r="F215" s="1210" t="s">
        <v>434</v>
      </c>
      <c r="G215" s="670"/>
      <c r="H215" s="612"/>
      <c r="I215" s="612"/>
      <c r="J215" s="612"/>
      <c r="K215" s="612"/>
      <c r="L215" s="612"/>
      <c r="M215" s="612"/>
      <c r="N215" s="612"/>
      <c r="O215" s="612"/>
      <c r="P215" s="612"/>
      <c r="Q215" s="612"/>
      <c r="R215" s="612"/>
      <c r="S215" s="612"/>
      <c r="T215" s="612"/>
      <c r="U215" s="612"/>
      <c r="V215" s="612"/>
      <c r="W215" s="612"/>
      <c r="X215" s="612"/>
      <c r="Y215" s="612"/>
      <c r="Z215" s="612"/>
      <c r="AA215" s="612"/>
      <c r="AB215" s="612"/>
      <c r="AC215" s="612"/>
      <c r="AD215" s="612"/>
      <c r="AE215" s="612"/>
      <c r="AF215" s="612"/>
      <c r="AG215" s="612"/>
      <c r="AH215" s="612"/>
      <c r="AI215" s="612"/>
      <c r="AJ215" s="612"/>
      <c r="AK215" s="643"/>
      <c r="AL215" s="1299">
        <f t="shared" si="6"/>
        <v>0</v>
      </c>
      <c r="AM215" s="1079"/>
      <c r="AN215" s="1333"/>
    </row>
    <row r="216" spans="2:45" ht="24" customHeight="1">
      <c r="B216" s="2655"/>
      <c r="C216" s="1294">
        <v>700243</v>
      </c>
      <c r="D216" s="242" t="s">
        <v>410</v>
      </c>
      <c r="E216" s="245" t="s">
        <v>47</v>
      </c>
      <c r="F216" s="1210" t="s">
        <v>434</v>
      </c>
      <c r="G216" s="671"/>
      <c r="H216" s="668"/>
      <c r="I216" s="668"/>
      <c r="J216" s="668"/>
      <c r="K216" s="668"/>
      <c r="L216" s="668"/>
      <c r="M216" s="668"/>
      <c r="N216" s="668"/>
      <c r="O216" s="668"/>
      <c r="P216" s="668"/>
      <c r="Q216" s="668"/>
      <c r="R216" s="668"/>
      <c r="S216" s="668"/>
      <c r="T216" s="668"/>
      <c r="U216" s="668"/>
      <c r="V216" s="668"/>
      <c r="W216" s="668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9"/>
      <c r="AL216" s="1299">
        <f t="shared" si="6"/>
        <v>0</v>
      </c>
    </row>
    <row r="217" spans="2:45" ht="24" customHeight="1" thickBot="1">
      <c r="B217" s="2656"/>
      <c r="C217" s="1295">
        <v>700952</v>
      </c>
      <c r="D217" s="247" t="s">
        <v>411</v>
      </c>
      <c r="E217" s="246" t="s">
        <v>47</v>
      </c>
      <c r="F217" s="1208" t="s">
        <v>438</v>
      </c>
      <c r="G217" s="1292"/>
      <c r="H217" s="672"/>
      <c r="I217" s="672"/>
      <c r="J217" s="672"/>
      <c r="K217" s="672"/>
      <c r="L217" s="672"/>
      <c r="M217" s="672"/>
      <c r="N217" s="672"/>
      <c r="O217" s="672"/>
      <c r="P217" s="672"/>
      <c r="Q217" s="672"/>
      <c r="R217" s="672"/>
      <c r="S217" s="672"/>
      <c r="T217" s="672"/>
      <c r="U217" s="672"/>
      <c r="V217" s="672"/>
      <c r="W217" s="672"/>
      <c r="X217" s="672"/>
      <c r="Y217" s="672"/>
      <c r="Z217" s="672"/>
      <c r="AA217" s="672"/>
      <c r="AB217" s="672"/>
      <c r="AC217" s="672"/>
      <c r="AD217" s="672"/>
      <c r="AE217" s="672"/>
      <c r="AF217" s="672"/>
      <c r="AG217" s="672"/>
      <c r="AH217" s="672"/>
      <c r="AI217" s="672"/>
      <c r="AJ217" s="672"/>
      <c r="AK217" s="2077" t="s">
        <v>2222</v>
      </c>
      <c r="AL217" s="1297">
        <f t="shared" si="6"/>
        <v>0</v>
      </c>
    </row>
    <row r="218" spans="2:45" ht="24.9" customHeight="1">
      <c r="B218" s="2652" t="s">
        <v>917</v>
      </c>
      <c r="C218" s="741">
        <v>42823723</v>
      </c>
      <c r="D218" s="759" t="s">
        <v>918</v>
      </c>
      <c r="E218" s="239" t="s">
        <v>47</v>
      </c>
      <c r="F218" s="1220" t="s">
        <v>917</v>
      </c>
      <c r="G218" s="760"/>
      <c r="H218" s="760">
        <v>2916</v>
      </c>
      <c r="I218" s="760"/>
      <c r="J218" s="760"/>
      <c r="K218" s="760"/>
      <c r="L218" s="760"/>
      <c r="M218" s="760">
        <v>2916</v>
      </c>
      <c r="N218" s="760"/>
      <c r="O218" s="760">
        <v>2916</v>
      </c>
      <c r="P218" s="760"/>
      <c r="Q218" s="760"/>
      <c r="R218" s="760"/>
      <c r="S218" s="760">
        <v>3456</v>
      </c>
      <c r="T218" s="760"/>
      <c r="U218" s="760"/>
      <c r="V218" s="760"/>
      <c r="W218" s="760"/>
      <c r="X218" s="760">
        <v>3456</v>
      </c>
      <c r="Y218" s="760"/>
      <c r="Z218" s="760"/>
      <c r="AA218" s="760"/>
      <c r="AB218" s="760"/>
      <c r="AC218" s="760"/>
      <c r="AD218" s="1444">
        <v>2916</v>
      </c>
      <c r="AE218" s="760"/>
      <c r="AF218" s="760"/>
      <c r="AG218" s="760"/>
      <c r="AH218" s="1444"/>
      <c r="AI218" s="760"/>
      <c r="AJ218" s="760">
        <v>2916</v>
      </c>
      <c r="AK218" s="1444">
        <v>-18</v>
      </c>
      <c r="AL218" s="1305">
        <f t="shared" ref="AL218:AL219" si="15">SUM(G218:AK218)</f>
        <v>21474</v>
      </c>
    </row>
    <row r="219" spans="2:45" ht="24.9" customHeight="1" thickBot="1">
      <c r="B219" s="2653"/>
      <c r="C219" s="1137">
        <v>42823724</v>
      </c>
      <c r="D219" s="1138" t="s">
        <v>919</v>
      </c>
      <c r="E219" s="251" t="s">
        <v>47</v>
      </c>
      <c r="F219" s="1221" t="s">
        <v>917</v>
      </c>
      <c r="G219" s="1139"/>
      <c r="H219" s="1139">
        <v>2916</v>
      </c>
      <c r="I219" s="1139"/>
      <c r="J219" s="1139"/>
      <c r="K219" s="1139"/>
      <c r="L219" s="1139"/>
      <c r="M219" s="1139">
        <v>2916</v>
      </c>
      <c r="N219" s="1139"/>
      <c r="O219" s="1139">
        <v>2916</v>
      </c>
      <c r="P219" s="1139"/>
      <c r="Q219" s="1139"/>
      <c r="R219" s="1139"/>
      <c r="S219" s="1139">
        <v>3456</v>
      </c>
      <c r="T219" s="1139"/>
      <c r="U219" s="1139"/>
      <c r="V219" s="1139"/>
      <c r="W219" s="1139"/>
      <c r="X219" s="1139">
        <v>3456</v>
      </c>
      <c r="Y219" s="1139"/>
      <c r="Z219" s="1139"/>
      <c r="AA219" s="1139"/>
      <c r="AB219" s="1139"/>
      <c r="AC219" s="1139"/>
      <c r="AD219" s="1445">
        <v>2916</v>
      </c>
      <c r="AE219" s="1139"/>
      <c r="AF219" s="1139"/>
      <c r="AG219" s="1139"/>
      <c r="AH219" s="1445"/>
      <c r="AI219" s="1139"/>
      <c r="AJ219" s="1445">
        <v>2916</v>
      </c>
      <c r="AK219" s="1445">
        <v>-5</v>
      </c>
      <c r="AL219" s="1306">
        <f t="shared" si="15"/>
        <v>21487</v>
      </c>
      <c r="AM219" s="253">
        <f>AL219+AL218</f>
        <v>42961</v>
      </c>
      <c r="AS219" s="253"/>
    </row>
    <row r="220" spans="2:45" ht="24.9" customHeight="1">
      <c r="B220" s="2649" t="s">
        <v>438</v>
      </c>
      <c r="C220" s="741" t="s">
        <v>920</v>
      </c>
      <c r="D220" s="759" t="s">
        <v>921</v>
      </c>
      <c r="E220" s="239" t="s">
        <v>47</v>
      </c>
      <c r="F220" s="1592" t="s">
        <v>438</v>
      </c>
      <c r="G220" s="1590"/>
      <c r="H220" s="760">
        <v>33000</v>
      </c>
      <c r="I220" s="760"/>
      <c r="J220" s="760"/>
      <c r="K220" s="760"/>
      <c r="L220" s="760"/>
      <c r="M220" s="760"/>
      <c r="N220" s="760"/>
      <c r="O220" s="760">
        <v>38000</v>
      </c>
      <c r="P220" s="760"/>
      <c r="Q220" s="760"/>
      <c r="R220" s="760"/>
      <c r="S220" s="760"/>
      <c r="T220" s="760"/>
      <c r="U220" s="760"/>
      <c r="V220" s="760">
        <v>35000</v>
      </c>
      <c r="W220" s="760"/>
      <c r="X220" s="760"/>
      <c r="Y220" s="760"/>
      <c r="Z220" s="760"/>
      <c r="AA220" s="760"/>
      <c r="AB220" s="760"/>
      <c r="AC220" s="760">
        <v>30000</v>
      </c>
      <c r="AD220" s="760"/>
      <c r="AE220" s="760"/>
      <c r="AF220" s="760"/>
      <c r="AG220" s="760"/>
      <c r="AH220" s="760"/>
      <c r="AI220" s="760"/>
      <c r="AJ220" s="760">
        <v>20000</v>
      </c>
      <c r="AK220" s="760"/>
      <c r="AL220" s="1305">
        <f t="shared" ref="AL220:AL234" si="16">SUM(G220:AK220)</f>
        <v>156000</v>
      </c>
    </row>
    <row r="221" spans="2:45" ht="24.9" customHeight="1">
      <c r="B221" s="2650"/>
      <c r="C221" s="1140" t="s">
        <v>1215</v>
      </c>
      <c r="D221" s="1141" t="s">
        <v>1006</v>
      </c>
      <c r="E221" s="245" t="s">
        <v>47</v>
      </c>
      <c r="F221" s="1593" t="s">
        <v>438</v>
      </c>
      <c r="G221" s="1427"/>
      <c r="H221" s="761">
        <v>11000</v>
      </c>
      <c r="I221" s="761"/>
      <c r="J221" s="761"/>
      <c r="K221" s="761"/>
      <c r="L221" s="761"/>
      <c r="M221" s="761"/>
      <c r="N221" s="761"/>
      <c r="O221" s="761">
        <v>11000</v>
      </c>
      <c r="P221" s="761"/>
      <c r="Q221" s="761"/>
      <c r="R221" s="761"/>
      <c r="S221" s="761"/>
      <c r="T221" s="761"/>
      <c r="U221" s="761"/>
      <c r="V221" s="761">
        <v>14000</v>
      </c>
      <c r="W221" s="761"/>
      <c r="X221" s="761"/>
      <c r="Y221" s="761"/>
      <c r="Z221" s="761"/>
      <c r="AA221" s="761"/>
      <c r="AB221" s="761"/>
      <c r="AC221" s="761">
        <v>5000</v>
      </c>
      <c r="AD221" s="761"/>
      <c r="AE221" s="761"/>
      <c r="AF221" s="761"/>
      <c r="AG221" s="761"/>
      <c r="AH221" s="761"/>
      <c r="AI221" s="761"/>
      <c r="AJ221" s="761">
        <v>12000</v>
      </c>
      <c r="AK221" s="761"/>
      <c r="AL221" s="1300">
        <f t="shared" si="16"/>
        <v>53000</v>
      </c>
    </row>
    <row r="222" spans="2:45" ht="24.9" customHeight="1">
      <c r="B222" s="2650"/>
      <c r="C222" s="1368"/>
      <c r="D222" s="1369" t="s">
        <v>1447</v>
      </c>
      <c r="E222" s="245" t="s">
        <v>47</v>
      </c>
      <c r="F222" s="1593" t="s">
        <v>438</v>
      </c>
      <c r="G222" s="1517"/>
      <c r="H222" s="1139"/>
      <c r="I222" s="1139"/>
      <c r="J222" s="1139"/>
      <c r="K222" s="1139"/>
      <c r="L222" s="1139"/>
      <c r="M222" s="1139"/>
      <c r="N222" s="1139"/>
      <c r="O222" s="1139"/>
      <c r="P222" s="1139"/>
      <c r="Q222" s="1139"/>
      <c r="R222" s="1139"/>
      <c r="S222" s="1139"/>
      <c r="T222" s="1139"/>
      <c r="U222" s="1139"/>
      <c r="V222" s="1139"/>
      <c r="W222" s="1139"/>
      <c r="X222" s="1139"/>
      <c r="Y222" s="1139"/>
      <c r="Z222" s="1139"/>
      <c r="AA222" s="1139"/>
      <c r="AB222" s="1139"/>
      <c r="AC222" s="1139"/>
      <c r="AD222" s="1139"/>
      <c r="AE222" s="1139"/>
      <c r="AF222" s="1139"/>
      <c r="AG222" s="1139"/>
      <c r="AH222" s="1139"/>
      <c r="AI222" s="1139"/>
      <c r="AJ222" s="1139"/>
      <c r="AK222" s="1139"/>
      <c r="AL222" s="1300">
        <f t="shared" si="16"/>
        <v>0</v>
      </c>
    </row>
    <row r="223" spans="2:45" ht="24.9" customHeight="1" thickBot="1">
      <c r="B223" s="2651"/>
      <c r="C223" s="742" t="s">
        <v>1216</v>
      </c>
      <c r="D223" s="1594" t="s">
        <v>1217</v>
      </c>
      <c r="E223" s="246" t="s">
        <v>47</v>
      </c>
      <c r="F223" s="1595" t="s">
        <v>438</v>
      </c>
      <c r="G223" s="1591"/>
      <c r="H223" s="762"/>
      <c r="I223" s="762"/>
      <c r="J223" s="762"/>
      <c r="K223" s="762"/>
      <c r="L223" s="762"/>
      <c r="M223" s="762"/>
      <c r="N223" s="762"/>
      <c r="O223" s="762"/>
      <c r="P223" s="762"/>
      <c r="Q223" s="762"/>
      <c r="R223" s="762"/>
      <c r="S223" s="762"/>
      <c r="T223" s="762"/>
      <c r="U223" s="762"/>
      <c r="V223" s="762"/>
      <c r="W223" s="762"/>
      <c r="X223" s="762"/>
      <c r="Y223" s="762"/>
      <c r="Z223" s="762"/>
      <c r="AA223" s="762"/>
      <c r="AB223" s="762"/>
      <c r="AC223" s="762"/>
      <c r="AD223" s="762"/>
      <c r="AE223" s="762"/>
      <c r="AF223" s="762"/>
      <c r="AG223" s="762"/>
      <c r="AH223" s="762"/>
      <c r="AI223" s="762"/>
      <c r="AJ223" s="762"/>
      <c r="AK223" s="762"/>
      <c r="AL223" s="1300">
        <f t="shared" si="16"/>
        <v>0</v>
      </c>
    </row>
    <row r="224" spans="2:45" ht="17.399999999999999">
      <c r="B224" s="2642" t="s">
        <v>1928</v>
      </c>
      <c r="C224" s="266" t="s">
        <v>1050</v>
      </c>
      <c r="D224" s="267" t="s">
        <v>1053</v>
      </c>
      <c r="E224" s="266" t="s">
        <v>1057</v>
      </c>
      <c r="F224" s="1696">
        <v>1905</v>
      </c>
      <c r="G224" s="790"/>
      <c r="H224" s="674">
        <v>440</v>
      </c>
      <c r="I224" s="650">
        <v>400</v>
      </c>
      <c r="J224" s="501"/>
      <c r="K224" s="501"/>
      <c r="L224" s="650"/>
      <c r="M224" s="650">
        <v>400</v>
      </c>
      <c r="N224" s="650"/>
      <c r="O224" s="650">
        <v>400</v>
      </c>
      <c r="P224" s="674"/>
      <c r="Q224" s="650"/>
      <c r="R224" s="650"/>
      <c r="S224" s="650">
        <v>400</v>
      </c>
      <c r="T224" s="650"/>
      <c r="U224" s="650">
        <v>400</v>
      </c>
      <c r="V224" s="650">
        <v>400</v>
      </c>
      <c r="W224" s="674">
        <v>400</v>
      </c>
      <c r="X224" s="650"/>
      <c r="Y224" s="674"/>
      <c r="Z224" s="674"/>
      <c r="AA224" s="501"/>
      <c r="AB224" s="501">
        <v>400</v>
      </c>
      <c r="AC224" s="501"/>
      <c r="AD224" s="501">
        <v>400</v>
      </c>
      <c r="AE224" s="501"/>
      <c r="AF224" s="501"/>
      <c r="AG224" s="501">
        <v>400</v>
      </c>
      <c r="AH224" s="674"/>
      <c r="AI224" s="501">
        <v>400</v>
      </c>
      <c r="AJ224" s="674"/>
      <c r="AK224" s="501">
        <v>400</v>
      </c>
      <c r="AL224" s="1697">
        <f t="shared" si="16"/>
        <v>5240</v>
      </c>
      <c r="AM224" s="995">
        <f t="shared" ref="AM224:AM235" si="17">F224*AL224</f>
        <v>9982200</v>
      </c>
      <c r="AN224"/>
    </row>
    <row r="225" spans="2:40" ht="14.25" customHeight="1">
      <c r="B225" s="2643"/>
      <c r="C225" s="264" t="s">
        <v>1048</v>
      </c>
      <c r="D225" s="263" t="s">
        <v>1051</v>
      </c>
      <c r="E225" s="264" t="s">
        <v>1057</v>
      </c>
      <c r="F225" s="1698">
        <v>2300</v>
      </c>
      <c r="G225" s="1699"/>
      <c r="H225" s="673">
        <v>200</v>
      </c>
      <c r="I225" s="612">
        <v>200</v>
      </c>
      <c r="J225" s="502"/>
      <c r="K225" s="502"/>
      <c r="L225" s="612"/>
      <c r="M225" s="612">
        <v>200</v>
      </c>
      <c r="N225" s="612"/>
      <c r="O225" s="612">
        <v>200</v>
      </c>
      <c r="P225" s="673"/>
      <c r="Q225" s="612"/>
      <c r="R225" s="612"/>
      <c r="S225" s="612">
        <v>250</v>
      </c>
      <c r="T225" s="612"/>
      <c r="U225" s="612">
        <v>200</v>
      </c>
      <c r="V225" s="612">
        <v>200</v>
      </c>
      <c r="W225" s="673">
        <v>200</v>
      </c>
      <c r="X225" s="612"/>
      <c r="Y225" s="673"/>
      <c r="Z225" s="673"/>
      <c r="AA225" s="502"/>
      <c r="AB225" s="502">
        <v>200</v>
      </c>
      <c r="AC225" s="502"/>
      <c r="AD225" s="502">
        <v>200</v>
      </c>
      <c r="AE225" s="502"/>
      <c r="AF225" s="502"/>
      <c r="AG225" s="502">
        <v>200</v>
      </c>
      <c r="AH225" s="673"/>
      <c r="AI225" s="502">
        <v>200</v>
      </c>
      <c r="AJ225" s="673"/>
      <c r="AK225" s="502">
        <v>200</v>
      </c>
      <c r="AL225" s="1316">
        <f t="shared" si="16"/>
        <v>2650</v>
      </c>
      <c r="AM225" s="1184">
        <f t="shared" si="17"/>
        <v>6095000</v>
      </c>
      <c r="AN225"/>
    </row>
    <row r="226" spans="2:40" ht="17.399999999999999">
      <c r="B226" s="2643"/>
      <c r="C226" s="264" t="s">
        <v>1049</v>
      </c>
      <c r="D226" s="263" t="s">
        <v>1052</v>
      </c>
      <c r="E226" s="264" t="s">
        <v>1057</v>
      </c>
      <c r="F226" s="1698">
        <v>750</v>
      </c>
      <c r="G226" s="1699"/>
      <c r="H226" s="673">
        <v>200</v>
      </c>
      <c r="I226" s="612">
        <v>200</v>
      </c>
      <c r="J226" s="502"/>
      <c r="K226" s="502"/>
      <c r="L226" s="612"/>
      <c r="M226" s="612">
        <v>200</v>
      </c>
      <c r="N226" s="612"/>
      <c r="O226" s="612">
        <v>200</v>
      </c>
      <c r="P226" s="673"/>
      <c r="Q226" s="612"/>
      <c r="R226" s="612"/>
      <c r="S226" s="612">
        <v>250</v>
      </c>
      <c r="T226" s="612"/>
      <c r="U226" s="612">
        <v>200</v>
      </c>
      <c r="V226" s="612">
        <v>200</v>
      </c>
      <c r="W226" s="673">
        <v>200</v>
      </c>
      <c r="X226" s="612"/>
      <c r="Y226" s="673"/>
      <c r="Z226" s="673"/>
      <c r="AA226" s="502"/>
      <c r="AB226" s="502">
        <v>200</v>
      </c>
      <c r="AC226" s="502"/>
      <c r="AD226" s="502">
        <v>200</v>
      </c>
      <c r="AE226" s="502"/>
      <c r="AF226" s="502"/>
      <c r="AG226" s="502">
        <v>200</v>
      </c>
      <c r="AH226" s="673"/>
      <c r="AI226" s="502">
        <v>200</v>
      </c>
      <c r="AJ226" s="673"/>
      <c r="AK226" s="502">
        <v>200</v>
      </c>
      <c r="AL226" s="1316">
        <f t="shared" si="16"/>
        <v>2650</v>
      </c>
      <c r="AM226" s="1184">
        <f t="shared" si="17"/>
        <v>1987500</v>
      </c>
      <c r="AN226"/>
    </row>
    <row r="227" spans="2:40" ht="17.399999999999999">
      <c r="B227" s="2643"/>
      <c r="C227" s="264" t="s">
        <v>1055</v>
      </c>
      <c r="D227" s="263" t="s">
        <v>1058</v>
      </c>
      <c r="E227" s="264" t="s">
        <v>1057</v>
      </c>
      <c r="F227" s="1698">
        <v>1800</v>
      </c>
      <c r="G227" s="499"/>
      <c r="H227" s="502"/>
      <c r="I227" s="502"/>
      <c r="J227" s="502"/>
      <c r="K227" s="612"/>
      <c r="L227" s="612"/>
      <c r="M227" s="612"/>
      <c r="N227" s="612"/>
      <c r="O227" s="612"/>
      <c r="P227" s="612"/>
      <c r="Q227" s="612"/>
      <c r="R227" s="502"/>
      <c r="S227" s="612"/>
      <c r="T227" s="612"/>
      <c r="U227" s="612"/>
      <c r="V227" s="612"/>
      <c r="W227" s="612"/>
      <c r="X227" s="612"/>
      <c r="Y227" s="612"/>
      <c r="Z227" s="502"/>
      <c r="AA227" s="502"/>
      <c r="AB227" s="502"/>
      <c r="AC227" s="502"/>
      <c r="AD227" s="502"/>
      <c r="AE227" s="502"/>
      <c r="AF227" s="502"/>
      <c r="AG227" s="502"/>
      <c r="AH227" s="673"/>
      <c r="AI227" s="502"/>
      <c r="AJ227" s="502"/>
      <c r="AK227" s="502"/>
      <c r="AL227" s="1316">
        <f t="shared" si="16"/>
        <v>0</v>
      </c>
      <c r="AM227" s="1184">
        <f t="shared" si="17"/>
        <v>0</v>
      </c>
      <c r="AN227"/>
    </row>
    <row r="228" spans="2:40" ht="17.399999999999999">
      <c r="B228" s="2643"/>
      <c r="C228" s="264" t="s">
        <v>1054</v>
      </c>
      <c r="D228" s="263" t="s">
        <v>1059</v>
      </c>
      <c r="E228" s="264" t="s">
        <v>1057</v>
      </c>
      <c r="F228" s="1698">
        <v>6020</v>
      </c>
      <c r="G228" s="499"/>
      <c r="H228" s="502"/>
      <c r="I228" s="502"/>
      <c r="J228" s="502"/>
      <c r="K228" s="612"/>
      <c r="L228" s="612"/>
      <c r="M228" s="612"/>
      <c r="N228" s="612"/>
      <c r="O228" s="612"/>
      <c r="P228" s="612"/>
      <c r="Q228" s="612"/>
      <c r="R228" s="502"/>
      <c r="S228" s="612"/>
      <c r="T228" s="612"/>
      <c r="U228" s="612"/>
      <c r="V228" s="612"/>
      <c r="W228" s="612"/>
      <c r="X228" s="612"/>
      <c r="Y228" s="612"/>
      <c r="Z228" s="502"/>
      <c r="AA228" s="502"/>
      <c r="AB228" s="502"/>
      <c r="AC228" s="502"/>
      <c r="AD228" s="502"/>
      <c r="AE228" s="502"/>
      <c r="AF228" s="502"/>
      <c r="AG228" s="502"/>
      <c r="AH228" s="673"/>
      <c r="AI228" s="502"/>
      <c r="AJ228" s="502"/>
      <c r="AK228" s="502"/>
      <c r="AL228" s="1316">
        <f t="shared" si="16"/>
        <v>0</v>
      </c>
      <c r="AM228" s="1184">
        <f t="shared" si="17"/>
        <v>0</v>
      </c>
      <c r="AN228" t="s">
        <v>1930</v>
      </c>
    </row>
    <row r="229" spans="2:40" ht="18" thickBot="1">
      <c r="B229" s="2644"/>
      <c r="C229" s="269" t="s">
        <v>1056</v>
      </c>
      <c r="D229" s="270" t="s">
        <v>1060</v>
      </c>
      <c r="E229" s="269" t="s">
        <v>1057</v>
      </c>
      <c r="F229" s="1700">
        <v>705</v>
      </c>
      <c r="G229" s="503"/>
      <c r="H229" s="504"/>
      <c r="I229" s="504"/>
      <c r="J229" s="504"/>
      <c r="K229" s="652"/>
      <c r="L229" s="652"/>
      <c r="M229" s="652"/>
      <c r="N229" s="652"/>
      <c r="O229" s="652"/>
      <c r="P229" s="652"/>
      <c r="Q229" s="652"/>
      <c r="R229" s="504"/>
      <c r="S229" s="652"/>
      <c r="T229" s="652"/>
      <c r="U229" s="652"/>
      <c r="V229" s="652"/>
      <c r="W229" s="652"/>
      <c r="X229" s="652"/>
      <c r="Y229" s="652"/>
      <c r="Z229" s="504"/>
      <c r="AA229" s="504"/>
      <c r="AB229" s="504"/>
      <c r="AC229" s="504"/>
      <c r="AD229" s="504"/>
      <c r="AE229" s="504"/>
      <c r="AF229" s="504"/>
      <c r="AG229" s="504"/>
      <c r="AH229" s="2111"/>
      <c r="AI229" s="504"/>
      <c r="AJ229" s="504"/>
      <c r="AK229" s="504"/>
      <c r="AL229" s="1701">
        <f t="shared" si="16"/>
        <v>0</v>
      </c>
      <c r="AM229" s="1185">
        <f t="shared" si="17"/>
        <v>0</v>
      </c>
      <c r="AN229" s="1024">
        <f>SUM(AM224:AM229)</f>
        <v>18064700</v>
      </c>
    </row>
    <row r="230" spans="2:40" ht="20.100000000000001" customHeight="1">
      <c r="B230" s="2645" t="s">
        <v>1929</v>
      </c>
      <c r="C230" s="2107"/>
      <c r="D230" s="2108" t="s">
        <v>1931</v>
      </c>
      <c r="E230" s="533"/>
      <c r="F230" s="566"/>
      <c r="G230" s="1727"/>
      <c r="H230" s="2109"/>
      <c r="I230" s="2109"/>
      <c r="J230" s="515"/>
      <c r="K230" s="647"/>
      <c r="L230" s="647"/>
      <c r="M230" s="647"/>
      <c r="N230" s="2109"/>
      <c r="O230" s="2109"/>
      <c r="P230" s="2109"/>
      <c r="Q230" s="647"/>
      <c r="R230" s="647"/>
      <c r="S230" s="647"/>
      <c r="T230" s="2109"/>
      <c r="U230" s="647"/>
      <c r="V230" s="647"/>
      <c r="W230" s="2109"/>
      <c r="X230" s="2109"/>
      <c r="Y230" s="2109"/>
      <c r="Z230" s="2109"/>
      <c r="AA230" s="515"/>
      <c r="AB230" s="515"/>
      <c r="AC230" s="515"/>
      <c r="AD230" s="2109"/>
      <c r="AE230" s="515"/>
      <c r="AF230" s="515"/>
      <c r="AG230" s="515"/>
      <c r="AH230" s="2109"/>
      <c r="AI230" s="2109"/>
      <c r="AJ230" s="2109"/>
      <c r="AK230" s="515"/>
      <c r="AL230" s="2110">
        <f t="shared" si="16"/>
        <v>0</v>
      </c>
      <c r="AM230" s="1726">
        <f t="shared" si="17"/>
        <v>0</v>
      </c>
      <c r="AN230"/>
    </row>
    <row r="231" spans="2:40" ht="20.100000000000001" customHeight="1">
      <c r="B231" s="2645"/>
      <c r="C231" s="1703"/>
      <c r="D231" s="1704" t="s">
        <v>1932</v>
      </c>
      <c r="E231" s="264"/>
      <c r="F231" s="530"/>
      <c r="G231" s="1699"/>
      <c r="H231" s="673"/>
      <c r="I231" s="673"/>
      <c r="J231" s="502"/>
      <c r="K231" s="612"/>
      <c r="L231" s="612"/>
      <c r="M231" s="612"/>
      <c r="N231" s="673"/>
      <c r="O231" s="673"/>
      <c r="P231" s="673"/>
      <c r="Q231" s="612"/>
      <c r="R231" s="612"/>
      <c r="S231" s="612"/>
      <c r="T231" s="673"/>
      <c r="U231" s="612"/>
      <c r="V231" s="612"/>
      <c r="W231" s="673"/>
      <c r="X231" s="673"/>
      <c r="Y231" s="673"/>
      <c r="Z231" s="673"/>
      <c r="AA231" s="502"/>
      <c r="AB231" s="502"/>
      <c r="AC231" s="502"/>
      <c r="AD231" s="673"/>
      <c r="AE231" s="502"/>
      <c r="AF231" s="502"/>
      <c r="AG231" s="502"/>
      <c r="AH231" s="673"/>
      <c r="AI231" s="673"/>
      <c r="AJ231" s="673"/>
      <c r="AK231" s="502"/>
      <c r="AL231" s="1316">
        <f t="shared" si="16"/>
        <v>0</v>
      </c>
      <c r="AM231" s="1184">
        <f t="shared" si="17"/>
        <v>0</v>
      </c>
      <c r="AN231"/>
    </row>
    <row r="232" spans="2:40" ht="20.100000000000001" customHeight="1">
      <c r="B232" s="2645"/>
      <c r="C232" s="1703"/>
      <c r="D232" s="1704" t="s">
        <v>1933</v>
      </c>
      <c r="E232" s="264"/>
      <c r="F232" s="530"/>
      <c r="G232" s="1699"/>
      <c r="H232" s="673"/>
      <c r="I232" s="673"/>
      <c r="J232" s="502"/>
      <c r="K232" s="612"/>
      <c r="L232" s="612"/>
      <c r="M232" s="612"/>
      <c r="N232" s="673"/>
      <c r="O232" s="673"/>
      <c r="P232" s="673"/>
      <c r="Q232" s="612"/>
      <c r="R232" s="612"/>
      <c r="S232" s="612"/>
      <c r="T232" s="673"/>
      <c r="U232" s="612"/>
      <c r="V232" s="612"/>
      <c r="W232" s="673"/>
      <c r="X232" s="673"/>
      <c r="Y232" s="673"/>
      <c r="Z232" s="673"/>
      <c r="AA232" s="502"/>
      <c r="AB232" s="502"/>
      <c r="AC232" s="502"/>
      <c r="AD232" s="673"/>
      <c r="AE232" s="502"/>
      <c r="AF232" s="502"/>
      <c r="AG232" s="502"/>
      <c r="AH232" s="673"/>
      <c r="AI232" s="673"/>
      <c r="AJ232" s="673"/>
      <c r="AK232" s="502"/>
      <c r="AL232" s="1316">
        <f t="shared" si="16"/>
        <v>0</v>
      </c>
      <c r="AM232" s="1184">
        <f t="shared" si="17"/>
        <v>0</v>
      </c>
      <c r="AN232"/>
    </row>
    <row r="233" spans="2:40" ht="20.100000000000001" customHeight="1">
      <c r="B233" s="2645"/>
      <c r="C233" s="1703"/>
      <c r="D233" s="1704" t="s">
        <v>1934</v>
      </c>
      <c r="E233" s="264"/>
      <c r="F233" s="530"/>
      <c r="G233" s="499"/>
      <c r="H233" s="502"/>
      <c r="I233" s="502"/>
      <c r="J233" s="502"/>
      <c r="K233" s="612"/>
      <c r="L233" s="612"/>
      <c r="M233" s="612"/>
      <c r="N233" s="612"/>
      <c r="O233" s="612"/>
      <c r="P233" s="612"/>
      <c r="Q233" s="612"/>
      <c r="R233" s="502"/>
      <c r="S233" s="612"/>
      <c r="T233" s="612"/>
      <c r="U233" s="612"/>
      <c r="V233" s="612"/>
      <c r="W233" s="612"/>
      <c r="X233" s="612"/>
      <c r="Y233" s="612"/>
      <c r="Z233" s="502"/>
      <c r="AA233" s="502"/>
      <c r="AB233" s="502"/>
      <c r="AC233" s="502"/>
      <c r="AD233" s="502"/>
      <c r="AE233" s="502"/>
      <c r="AF233" s="502"/>
      <c r="AG233" s="502"/>
      <c r="AH233" s="502"/>
      <c r="AI233" s="502"/>
      <c r="AJ233" s="502"/>
      <c r="AK233" s="502"/>
      <c r="AL233" s="1316">
        <f t="shared" si="16"/>
        <v>0</v>
      </c>
      <c r="AM233" s="1184">
        <f t="shared" si="17"/>
        <v>0</v>
      </c>
      <c r="AN233"/>
    </row>
    <row r="234" spans="2:40" ht="20.100000000000001" customHeight="1">
      <c r="B234" s="2645"/>
      <c r="C234" s="1703"/>
      <c r="D234" s="1704" t="s">
        <v>1935</v>
      </c>
      <c r="E234" s="264"/>
      <c r="F234" s="530"/>
      <c r="G234" s="499"/>
      <c r="H234" s="502"/>
      <c r="I234" s="502"/>
      <c r="J234" s="502"/>
      <c r="K234" s="612"/>
      <c r="L234" s="612"/>
      <c r="M234" s="612"/>
      <c r="N234" s="612"/>
      <c r="O234" s="612"/>
      <c r="P234" s="612"/>
      <c r="Q234" s="612"/>
      <c r="R234" s="502"/>
      <c r="S234" s="612"/>
      <c r="T234" s="612"/>
      <c r="U234" s="612"/>
      <c r="V234" s="612"/>
      <c r="W234" s="612"/>
      <c r="X234" s="612"/>
      <c r="Y234" s="612"/>
      <c r="Z234" s="502"/>
      <c r="AA234" s="502"/>
      <c r="AB234" s="502"/>
      <c r="AC234" s="502"/>
      <c r="AD234" s="502"/>
      <c r="AE234" s="502"/>
      <c r="AF234" s="502"/>
      <c r="AG234" s="502"/>
      <c r="AH234" s="502"/>
      <c r="AI234" s="502"/>
      <c r="AJ234" s="502"/>
      <c r="AK234" s="502"/>
      <c r="AL234" s="1316">
        <f t="shared" si="16"/>
        <v>0</v>
      </c>
      <c r="AM234" s="1184">
        <f t="shared" si="17"/>
        <v>0</v>
      </c>
      <c r="AN234"/>
    </row>
    <row r="235" spans="2:40" ht="20.100000000000001" customHeight="1">
      <c r="B235" s="2645"/>
      <c r="C235" s="1705"/>
      <c r="D235" s="1706" t="s">
        <v>1936</v>
      </c>
      <c r="E235" s="527"/>
      <c r="F235" s="564"/>
      <c r="G235" s="509"/>
      <c r="H235" s="510"/>
      <c r="I235" s="510"/>
      <c r="J235" s="510"/>
      <c r="K235" s="638"/>
      <c r="L235" s="638"/>
      <c r="M235" s="638"/>
      <c r="N235" s="638"/>
      <c r="O235" s="638"/>
      <c r="P235" s="638"/>
      <c r="Q235" s="638"/>
      <c r="R235" s="510"/>
      <c r="S235" s="638"/>
      <c r="T235" s="638"/>
      <c r="U235" s="638"/>
      <c r="V235" s="638"/>
      <c r="W235" s="638"/>
      <c r="X235" s="638"/>
      <c r="Y235" s="638"/>
      <c r="Z235" s="510"/>
      <c r="AA235" s="510"/>
      <c r="AB235" s="510"/>
      <c r="AC235" s="510"/>
      <c r="AD235" s="510"/>
      <c r="AE235" s="510"/>
      <c r="AF235" s="510"/>
      <c r="AG235" s="510"/>
      <c r="AH235" s="510"/>
      <c r="AI235" s="510"/>
      <c r="AJ235" s="510"/>
      <c r="AK235" s="510"/>
      <c r="AL235" s="1707"/>
      <c r="AM235" s="1184">
        <f t="shared" si="17"/>
        <v>0</v>
      </c>
      <c r="AN235"/>
    </row>
    <row r="236" spans="2:40" ht="20.100000000000001" customHeight="1" thickBot="1">
      <c r="B236" s="2646"/>
      <c r="C236" s="1708"/>
      <c r="D236" s="1709" t="s">
        <v>1937</v>
      </c>
      <c r="E236" s="269"/>
      <c r="F236" s="1710"/>
      <c r="G236" s="503"/>
      <c r="H236" s="504"/>
      <c r="I236" s="504"/>
      <c r="J236" s="504"/>
      <c r="K236" s="652"/>
      <c r="L236" s="652"/>
      <c r="M236" s="652"/>
      <c r="N236" s="652"/>
      <c r="O236" s="652"/>
      <c r="P236" s="652"/>
      <c r="Q236" s="652"/>
      <c r="R236" s="504"/>
      <c r="S236" s="652"/>
      <c r="T236" s="652"/>
      <c r="U236" s="652"/>
      <c r="V236" s="652"/>
      <c r="W236" s="652"/>
      <c r="X236" s="652"/>
      <c r="Y236" s="652"/>
      <c r="Z236" s="504"/>
      <c r="AA236" s="504"/>
      <c r="AB236" s="504"/>
      <c r="AC236" s="504"/>
      <c r="AD236" s="504"/>
      <c r="AE236" s="504"/>
      <c r="AF236" s="504"/>
      <c r="AG236" s="504"/>
      <c r="AH236" s="504"/>
      <c r="AI236" s="504"/>
      <c r="AJ236" s="504"/>
      <c r="AK236" s="504"/>
      <c r="AL236" s="1701">
        <f>SUM(G236:AK236)</f>
        <v>0</v>
      </c>
      <c r="AM236" s="1185">
        <f>F236*AL236</f>
        <v>0</v>
      </c>
      <c r="AN236" s="1024">
        <f>SUM(AM230:AM236)</f>
        <v>0</v>
      </c>
    </row>
    <row r="237" spans="2:40" ht="17.399999999999999">
      <c r="B237"/>
      <c r="C237"/>
      <c r="H237" s="1430"/>
      <c r="U237" s="701" t="s">
        <v>1044</v>
      </c>
      <c r="AE237" s="1430">
        <f>SUM(AE155:AE222)</f>
        <v>0</v>
      </c>
    </row>
    <row r="238" spans="2:40" ht="14.25" customHeight="1">
      <c r="B238"/>
      <c r="C238"/>
      <c r="U238" s="701" t="s">
        <v>1044</v>
      </c>
    </row>
    <row r="239" spans="2:40" ht="17.399999999999999">
      <c r="B239"/>
      <c r="C239"/>
      <c r="O239" s="701" t="s">
        <v>800</v>
      </c>
    </row>
    <row r="240" spans="2:40" ht="17.399999999999999">
      <c r="B240"/>
      <c r="C240"/>
    </row>
    <row r="241" spans="2:3" ht="17.399999999999999">
      <c r="B241"/>
      <c r="C241"/>
    </row>
    <row r="242" spans="2:3" ht="17.399999999999999">
      <c r="B242"/>
      <c r="C242"/>
    </row>
    <row r="243" spans="2:3" ht="17.399999999999999">
      <c r="B243"/>
      <c r="C243"/>
    </row>
    <row r="244" spans="2:3" ht="17.399999999999999">
      <c r="B244"/>
      <c r="C244"/>
    </row>
    <row r="245" spans="2:3" ht="17.399999999999999">
      <c r="B245"/>
      <c r="C245"/>
    </row>
    <row r="246" spans="2:3" ht="17.399999999999999">
      <c r="B246"/>
      <c r="C246"/>
    </row>
    <row r="247" spans="2:3" ht="17.399999999999999">
      <c r="B247"/>
      <c r="C247"/>
    </row>
    <row r="248" spans="2:3" ht="17.399999999999999">
      <c r="B248"/>
      <c r="C248"/>
    </row>
    <row r="249" spans="2:3" ht="17.399999999999999">
      <c r="B249"/>
      <c r="C249"/>
    </row>
  </sheetData>
  <autoFilter ref="B2:AL238" xr:uid="{00000000-0009-0000-0000-000009000000}"/>
  <customSheetViews>
    <customSheetView guid="{4B6F0EB4-660D-4B5D-BC48-6CB7C10D7F9B}" showGridLines="0">
      <pane xSplit="5" ySplit="2" topLeftCell="F73" activePane="bottomRight" state="frozen"/>
      <selection pane="bottomRight" activeCell="G83" sqref="G83"/>
      <pageMargins left="0.7" right="0.7" top="0.75" bottom="0.75" header="0.3" footer="0.3"/>
      <pageSetup paperSize="9" orientation="portrait" r:id="rId1"/>
      <headerFooter alignWithMargins="0"/>
    </customSheetView>
    <customSheetView guid="{2118503C-FA17-40AD-A92D-3BEB91EE1F01}" showGridLines="0">
      <pane xSplit="5" ySplit="2" topLeftCell="AB94" activePane="bottomRight" state="frozen"/>
      <selection pane="bottomRight" activeCell="AO99" sqref="AO99"/>
      <pageMargins left="0.7" right="0.7" top="0.75" bottom="0.75" header="0.3" footer="0.3"/>
      <pageSetup paperSize="9" orientation="portrait" r:id="rId2"/>
      <headerFooter alignWithMargins="0"/>
    </customSheetView>
    <customSheetView guid="{844B66BD-C499-418A-A656-40E7940347EA}" showGridLines="0">
      <pane xSplit="5" ySplit="2" topLeftCell="N36" activePane="bottomRight" state="frozen"/>
      <selection pane="bottomRight" activeCell="T103" sqref="T103"/>
      <pageMargins left="0.7" right="0.7" top="0.75" bottom="0.75" header="0.3" footer="0.3"/>
      <pageSetup paperSize="9" orientation="portrait" r:id="rId3"/>
      <headerFooter alignWithMargins="0"/>
    </customSheetView>
    <customSheetView guid="{7523CC8F-897F-48BF-94A5-CFFF399736A5}" showGridLines="0">
      <pane xSplit="5" ySplit="2" topLeftCell="F102" activePane="bottomRight" state="frozen"/>
      <selection pane="bottomRight" activeCell="T103" sqref="T103"/>
      <pageMargins left="0.7" right="0.7" top="0.75" bottom="0.75" header="0.3" footer="0.3"/>
      <pageSetup paperSize="9" orientation="portrait" r:id="rId4"/>
      <headerFooter alignWithMargins="0"/>
    </customSheetView>
    <customSheetView guid="{89B07EC3-7982-4908-AB99-54EB5928E5C4}" showGridLines="0">
      <pane xSplit="5" ySplit="2" topLeftCell="F119" activePane="bottomRight" state="frozen"/>
      <selection pane="bottomRight" activeCell="F119" sqref="F119"/>
      <pageMargins left="0.7" right="0.7" top="0.75" bottom="0.75" header="0.3" footer="0.3"/>
      <pageSetup paperSize="9" orientation="portrait" r:id="rId5"/>
      <headerFooter alignWithMargins="0"/>
    </customSheetView>
  </customSheetViews>
  <mergeCells count="17">
    <mergeCell ref="B224:B229"/>
    <mergeCell ref="B230:B236"/>
    <mergeCell ref="AM195:AO195"/>
    <mergeCell ref="B220:B223"/>
    <mergeCell ref="B218:B219"/>
    <mergeCell ref="B198:B217"/>
    <mergeCell ref="B183:B196"/>
    <mergeCell ref="F183:F192"/>
    <mergeCell ref="F193:F197"/>
    <mergeCell ref="B1:J1"/>
    <mergeCell ref="B3:B4"/>
    <mergeCell ref="B149:B159"/>
    <mergeCell ref="B167:B182"/>
    <mergeCell ref="B160:B166"/>
    <mergeCell ref="F138:F141"/>
    <mergeCell ref="F106:F108"/>
    <mergeCell ref="B5:B148"/>
  </mergeCells>
  <phoneticPr fontId="7" type="noConversion"/>
  <pageMargins left="0.7" right="0.7" top="0.75" bottom="0.75" header="0.3" footer="0.3"/>
  <pageSetup paperSize="9" orientation="portrait" r:id="rId6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CC186"/>
  <sheetViews>
    <sheetView workbookViewId="0">
      <pane xSplit="6" ySplit="2" topLeftCell="AJ99" activePane="bottomRight" state="frozen"/>
      <selection pane="topRight" activeCell="G1" sqref="G1"/>
      <selection pane="bottomLeft" activeCell="A3" sqref="A3"/>
      <selection pane="bottomRight" activeCell="AL102" sqref="AL102"/>
    </sheetView>
  </sheetViews>
  <sheetFormatPr defaultColWidth="9" defaultRowHeight="14.4"/>
  <cols>
    <col min="1" max="1" width="7.3984375" style="1798" customWidth="1"/>
    <col min="2" max="2" width="16.8984375" style="1946" customWidth="1"/>
    <col min="3" max="3" width="28.3984375" style="235" customWidth="1"/>
    <col min="4" max="4" width="20.19921875" style="235" customWidth="1"/>
    <col min="5" max="5" width="6.59765625" style="235" customWidth="1"/>
    <col min="6" max="6" width="9.8984375" style="297" customWidth="1"/>
    <col min="7" max="7" width="9.19921875" style="286" customWidth="1"/>
    <col min="8" max="8" width="8.5" style="286" customWidth="1"/>
    <col min="9" max="9" width="9.69921875" style="286" customWidth="1"/>
    <col min="10" max="10" width="7.59765625" style="286" customWidth="1"/>
    <col min="11" max="11" width="9" style="286" customWidth="1"/>
    <col min="12" max="12" width="7.59765625" style="286" customWidth="1"/>
    <col min="13" max="13" width="9.09765625" style="286" customWidth="1"/>
    <col min="14" max="14" width="9.19921875" style="286" customWidth="1"/>
    <col min="15" max="15" width="7.59765625" style="286" customWidth="1"/>
    <col min="16" max="16" width="10.19921875" style="286" customWidth="1"/>
    <col min="17" max="17" width="8.8984375" style="286" customWidth="1"/>
    <col min="18" max="18" width="9.19921875" style="286" customWidth="1"/>
    <col min="19" max="19" width="9.59765625" style="286" customWidth="1"/>
    <col min="20" max="20" width="9.69921875" style="286" customWidth="1"/>
    <col min="21" max="22" width="7.59765625" style="286" customWidth="1"/>
    <col min="23" max="23" width="9" style="286" customWidth="1"/>
    <col min="24" max="25" width="7.59765625" style="286" customWidth="1"/>
    <col min="26" max="26" width="8.09765625" style="286" customWidth="1"/>
    <col min="27" max="37" width="7.59765625" style="286" customWidth="1"/>
    <col min="38" max="38" width="11.69921875" style="280" customWidth="1"/>
    <col min="39" max="39" width="17.09765625" style="532" bestFit="1" customWidth="1"/>
    <col min="40" max="40" width="11.8984375" style="319" bestFit="1" customWidth="1"/>
    <col min="41" max="41" width="11.5" style="319" customWidth="1"/>
    <col min="42" max="16384" width="9" style="319"/>
  </cols>
  <sheetData>
    <row r="1" spans="1:40" ht="41.25" customHeight="1" thickBot="1">
      <c r="B1" s="2623" t="s">
        <v>2177</v>
      </c>
      <c r="C1" s="2623"/>
      <c r="D1" s="2623"/>
      <c r="E1" s="2623"/>
      <c r="F1" s="2623"/>
      <c r="G1" s="2623"/>
      <c r="H1" s="2623"/>
      <c r="I1" s="2623"/>
      <c r="J1" s="2623"/>
    </row>
    <row r="2" spans="1:40" ht="18" customHeight="1" thickBot="1">
      <c r="A2" s="1820"/>
      <c r="B2" s="580" t="s">
        <v>31</v>
      </c>
      <c r="C2" s="237" t="s">
        <v>23</v>
      </c>
      <c r="D2" s="281" t="s">
        <v>24</v>
      </c>
      <c r="E2" s="237" t="s">
        <v>25</v>
      </c>
      <c r="F2" s="287" t="s">
        <v>458</v>
      </c>
      <c r="G2" s="333">
        <v>1</v>
      </c>
      <c r="H2" s="237">
        <v>2</v>
      </c>
      <c r="I2" s="237">
        <v>3</v>
      </c>
      <c r="J2" s="237">
        <v>4</v>
      </c>
      <c r="K2" s="237">
        <v>5</v>
      </c>
      <c r="L2" s="237">
        <v>6</v>
      </c>
      <c r="M2" s="237">
        <v>7</v>
      </c>
      <c r="N2" s="237">
        <v>8</v>
      </c>
      <c r="O2" s="237">
        <v>9</v>
      </c>
      <c r="P2" s="237">
        <v>10</v>
      </c>
      <c r="Q2" s="237">
        <v>11</v>
      </c>
      <c r="R2" s="237">
        <v>12</v>
      </c>
      <c r="S2" s="237">
        <v>13</v>
      </c>
      <c r="T2" s="237">
        <v>14</v>
      </c>
      <c r="U2" s="237">
        <v>15</v>
      </c>
      <c r="V2" s="237">
        <v>16</v>
      </c>
      <c r="W2" s="237">
        <v>17</v>
      </c>
      <c r="X2" s="237">
        <v>18</v>
      </c>
      <c r="Y2" s="237">
        <v>19</v>
      </c>
      <c r="Z2" s="237">
        <v>20</v>
      </c>
      <c r="AA2" s="237">
        <v>21</v>
      </c>
      <c r="AB2" s="237">
        <v>22</v>
      </c>
      <c r="AC2" s="237">
        <v>23</v>
      </c>
      <c r="AD2" s="237">
        <v>24</v>
      </c>
      <c r="AE2" s="237">
        <v>25</v>
      </c>
      <c r="AF2" s="237">
        <v>26</v>
      </c>
      <c r="AG2" s="237">
        <v>27</v>
      </c>
      <c r="AH2" s="237">
        <v>28</v>
      </c>
      <c r="AI2" s="237">
        <v>29</v>
      </c>
      <c r="AJ2" s="237">
        <v>30</v>
      </c>
      <c r="AK2" s="287">
        <v>31</v>
      </c>
      <c r="AL2" s="282" t="s">
        <v>7</v>
      </c>
      <c r="AM2" s="1583" t="s">
        <v>459</v>
      </c>
    </row>
    <row r="3" spans="1:40" ht="18" customHeight="1">
      <c r="A3" s="2704" t="s">
        <v>2009</v>
      </c>
      <c r="B3" s="2714" t="s">
        <v>2007</v>
      </c>
      <c r="C3" s="1800" t="s">
        <v>600</v>
      </c>
      <c r="D3" s="267" t="s">
        <v>515</v>
      </c>
      <c r="E3" s="241" t="s">
        <v>47</v>
      </c>
      <c r="F3" s="1702">
        <v>51200</v>
      </c>
      <c r="G3" s="51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323">
        <f t="shared" ref="AL3:AL137" si="0">SUM(G3:AK3)</f>
        <v>0</v>
      </c>
      <c r="AM3" s="575">
        <f t="shared" ref="AM3:AM137" si="1">F3*AL3</f>
        <v>0</v>
      </c>
      <c r="AN3" s="2696">
        <f>SUM(AM3:AM10)</f>
        <v>0</v>
      </c>
    </row>
    <row r="4" spans="1:40" ht="18.75" customHeight="1">
      <c r="A4" s="2705"/>
      <c r="B4" s="2715"/>
      <c r="C4" s="1799" t="s">
        <v>461</v>
      </c>
      <c r="D4" s="263" t="s">
        <v>846</v>
      </c>
      <c r="E4" s="243" t="s">
        <v>47</v>
      </c>
      <c r="F4" s="530">
        <v>39000</v>
      </c>
      <c r="G4" s="499"/>
      <c r="H4" s="502"/>
      <c r="I4" s="502"/>
      <c r="J4" s="502"/>
      <c r="K4" s="502"/>
      <c r="L4" s="502"/>
      <c r="M4" s="502"/>
      <c r="N4" s="502"/>
      <c r="O4" s="502"/>
      <c r="P4" s="502"/>
      <c r="Q4" s="502"/>
      <c r="R4" s="502"/>
      <c r="S4" s="502"/>
      <c r="T4" s="502"/>
      <c r="U4" s="502"/>
      <c r="V4" s="502"/>
      <c r="W4" s="502"/>
      <c r="X4" s="502"/>
      <c r="Y4" s="502"/>
      <c r="Z4" s="502"/>
      <c r="AA4" s="502"/>
      <c r="AB4" s="502"/>
      <c r="AC4" s="502"/>
      <c r="AD4" s="502"/>
      <c r="AE4" s="502"/>
      <c r="AF4" s="502"/>
      <c r="AG4" s="502"/>
      <c r="AH4" s="502"/>
      <c r="AI4" s="502"/>
      <c r="AJ4" s="502"/>
      <c r="AK4" s="502"/>
      <c r="AL4" s="324">
        <f t="shared" si="0"/>
        <v>0</v>
      </c>
      <c r="AM4" s="531">
        <f t="shared" si="1"/>
        <v>0</v>
      </c>
      <c r="AN4" s="2697"/>
    </row>
    <row r="5" spans="1:40" ht="18.75" customHeight="1">
      <c r="A5" s="2705"/>
      <c r="B5" s="2715"/>
      <c r="C5" s="1799" t="s">
        <v>461</v>
      </c>
      <c r="D5" s="263" t="s">
        <v>655</v>
      </c>
      <c r="E5" s="243" t="s">
        <v>47</v>
      </c>
      <c r="F5" s="530">
        <v>42</v>
      </c>
      <c r="G5" s="499"/>
      <c r="H5" s="502"/>
      <c r="I5" s="502"/>
      <c r="J5" s="502"/>
      <c r="K5" s="502"/>
      <c r="L5" s="502"/>
      <c r="M5" s="502"/>
      <c r="N5" s="502"/>
      <c r="O5" s="502"/>
      <c r="P5" s="502"/>
      <c r="Q5" s="502"/>
      <c r="R5" s="502"/>
      <c r="S5" s="502"/>
      <c r="T5" s="502"/>
      <c r="U5" s="502"/>
      <c r="V5" s="502"/>
      <c r="W5" s="502"/>
      <c r="X5" s="502"/>
      <c r="Y5" s="502"/>
      <c r="Z5" s="502"/>
      <c r="AA5" s="502"/>
      <c r="AB5" s="502"/>
      <c r="AC5" s="502"/>
      <c r="AD5" s="502"/>
      <c r="AE5" s="502"/>
      <c r="AF5" s="502"/>
      <c r="AG5" s="502"/>
      <c r="AH5" s="502"/>
      <c r="AI5" s="502"/>
      <c r="AJ5" s="502"/>
      <c r="AK5" s="502"/>
      <c r="AL5" s="324">
        <f t="shared" si="0"/>
        <v>0</v>
      </c>
      <c r="AM5" s="531">
        <f t="shared" si="1"/>
        <v>0</v>
      </c>
      <c r="AN5" s="2697"/>
    </row>
    <row r="6" spans="1:40" ht="18.75" customHeight="1">
      <c r="A6" s="2705"/>
      <c r="B6" s="2715"/>
      <c r="C6" s="1799" t="s">
        <v>461</v>
      </c>
      <c r="D6" s="263" t="s">
        <v>753</v>
      </c>
      <c r="E6" s="243" t="s">
        <v>47</v>
      </c>
      <c r="F6" s="530">
        <v>120</v>
      </c>
      <c r="G6" s="499"/>
      <c r="H6" s="502"/>
      <c r="I6" s="502"/>
      <c r="J6" s="502"/>
      <c r="K6" s="502"/>
      <c r="L6" s="502"/>
      <c r="M6" s="502"/>
      <c r="N6" s="502"/>
      <c r="O6" s="502"/>
      <c r="P6" s="502"/>
      <c r="Q6" s="502"/>
      <c r="R6" s="502"/>
      <c r="S6" s="502"/>
      <c r="T6" s="502"/>
      <c r="U6" s="502"/>
      <c r="V6" s="502"/>
      <c r="W6" s="502"/>
      <c r="X6" s="502"/>
      <c r="Y6" s="502"/>
      <c r="Z6" s="502"/>
      <c r="AA6" s="502"/>
      <c r="AB6" s="502"/>
      <c r="AC6" s="502"/>
      <c r="AD6" s="502"/>
      <c r="AE6" s="502"/>
      <c r="AF6" s="502"/>
      <c r="AG6" s="502"/>
      <c r="AH6" s="502"/>
      <c r="AI6" s="502"/>
      <c r="AJ6" s="502"/>
      <c r="AK6" s="502"/>
      <c r="AL6" s="324">
        <f t="shared" si="0"/>
        <v>0</v>
      </c>
      <c r="AM6" s="531">
        <f t="shared" si="1"/>
        <v>0</v>
      </c>
      <c r="AN6" s="2697"/>
    </row>
    <row r="7" spans="1:40" ht="18.75" customHeight="1">
      <c r="A7" s="2705"/>
      <c r="B7" s="2715"/>
      <c r="C7" s="1799" t="s">
        <v>813</v>
      </c>
      <c r="D7" s="263" t="s">
        <v>814</v>
      </c>
      <c r="E7" s="243" t="s">
        <v>47</v>
      </c>
      <c r="F7" s="530">
        <v>1490</v>
      </c>
      <c r="G7" s="499"/>
      <c r="H7" s="502"/>
      <c r="I7" s="502"/>
      <c r="J7" s="502"/>
      <c r="K7" s="502"/>
      <c r="L7" s="502"/>
      <c r="M7" s="502"/>
      <c r="N7" s="502"/>
      <c r="O7" s="502"/>
      <c r="P7" s="502"/>
      <c r="Q7" s="502"/>
      <c r="R7" s="502"/>
      <c r="S7" s="502"/>
      <c r="T7" s="502"/>
      <c r="U7" s="502"/>
      <c r="V7" s="502"/>
      <c r="W7" s="502"/>
      <c r="X7" s="502"/>
      <c r="Y7" s="502"/>
      <c r="Z7" s="502"/>
      <c r="AA7" s="502"/>
      <c r="AB7" s="502"/>
      <c r="AC7" s="502"/>
      <c r="AD7" s="502"/>
      <c r="AE7" s="502"/>
      <c r="AF7" s="502"/>
      <c r="AG7" s="502"/>
      <c r="AH7" s="502"/>
      <c r="AI7" s="502"/>
      <c r="AJ7" s="502"/>
      <c r="AK7" s="502"/>
      <c r="AL7" s="324">
        <f t="shared" si="0"/>
        <v>0</v>
      </c>
      <c r="AM7" s="531">
        <f t="shared" si="1"/>
        <v>0</v>
      </c>
      <c r="AN7" s="2697"/>
    </row>
    <row r="8" spans="1:40" ht="18.75" customHeight="1">
      <c r="A8" s="2705"/>
      <c r="B8" s="2715"/>
      <c r="C8" s="1799" t="s">
        <v>461</v>
      </c>
      <c r="D8" s="263" t="s">
        <v>1523</v>
      </c>
      <c r="E8" s="243" t="s">
        <v>47</v>
      </c>
      <c r="F8" s="530">
        <v>390</v>
      </c>
      <c r="G8" s="499"/>
      <c r="H8" s="502"/>
      <c r="I8" s="502"/>
      <c r="J8" s="502"/>
      <c r="K8" s="502"/>
      <c r="L8" s="502"/>
      <c r="M8" s="502"/>
      <c r="N8" s="502"/>
      <c r="O8" s="502"/>
      <c r="P8" s="502"/>
      <c r="Q8" s="502"/>
      <c r="R8" s="502"/>
      <c r="S8" s="502"/>
      <c r="T8" s="502"/>
      <c r="U8" s="502"/>
      <c r="V8" s="502"/>
      <c r="W8" s="502"/>
      <c r="X8" s="502"/>
      <c r="Y8" s="502"/>
      <c r="Z8" s="502"/>
      <c r="AA8" s="502"/>
      <c r="AB8" s="502"/>
      <c r="AC8" s="502"/>
      <c r="AD8" s="502"/>
      <c r="AE8" s="502"/>
      <c r="AF8" s="502"/>
      <c r="AG8" s="502"/>
      <c r="AH8" s="502"/>
      <c r="AI8" s="502"/>
      <c r="AJ8" s="502"/>
      <c r="AK8" s="502"/>
      <c r="AL8" s="324">
        <f t="shared" si="0"/>
        <v>0</v>
      </c>
      <c r="AM8" s="531">
        <f t="shared" si="1"/>
        <v>0</v>
      </c>
      <c r="AN8" s="2697"/>
    </row>
    <row r="9" spans="1:40" ht="17.25" customHeight="1">
      <c r="A9" s="2705"/>
      <c r="B9" s="2715"/>
      <c r="C9" s="1799" t="s">
        <v>514</v>
      </c>
      <c r="D9" s="263" t="s">
        <v>516</v>
      </c>
      <c r="E9" s="243" t="s">
        <v>47</v>
      </c>
      <c r="F9" s="530">
        <v>108000</v>
      </c>
      <c r="G9" s="499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324">
        <f t="shared" si="0"/>
        <v>0</v>
      </c>
      <c r="AM9" s="531">
        <f t="shared" si="1"/>
        <v>0</v>
      </c>
      <c r="AN9" s="2697"/>
    </row>
    <row r="10" spans="1:40" ht="17.25" customHeight="1" thickBot="1">
      <c r="A10" s="2705"/>
      <c r="B10" s="2716"/>
      <c r="C10" s="1803" t="s">
        <v>514</v>
      </c>
      <c r="D10" s="270" t="s">
        <v>625</v>
      </c>
      <c r="E10" s="248" t="s">
        <v>47</v>
      </c>
      <c r="F10" s="330">
        <v>95</v>
      </c>
      <c r="G10" s="503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325">
        <f t="shared" si="0"/>
        <v>0</v>
      </c>
      <c r="AM10" s="570">
        <f t="shared" si="1"/>
        <v>0</v>
      </c>
      <c r="AN10" s="2698"/>
    </row>
    <row r="11" spans="1:40" ht="17.25" customHeight="1" thickBot="1">
      <c r="A11" s="2705"/>
      <c r="B11" s="2714" t="s">
        <v>1616</v>
      </c>
      <c r="C11" s="1800" t="s">
        <v>1140</v>
      </c>
      <c r="D11" s="267" t="s">
        <v>1617</v>
      </c>
      <c r="E11" s="241" t="s">
        <v>573</v>
      </c>
      <c r="F11" s="328">
        <v>8500</v>
      </c>
      <c r="G11" s="511"/>
      <c r="H11" s="501"/>
      <c r="I11" s="501">
        <v>20</v>
      </c>
      <c r="J11" s="501"/>
      <c r="K11" s="501"/>
      <c r="L11" s="501"/>
      <c r="M11" s="501"/>
      <c r="N11" s="501"/>
      <c r="O11" s="501"/>
      <c r="P11" s="501"/>
      <c r="Q11" s="501"/>
      <c r="R11" s="501"/>
      <c r="S11" s="501"/>
      <c r="T11" s="501"/>
      <c r="U11" s="501"/>
      <c r="V11" s="501"/>
      <c r="W11" s="501"/>
      <c r="X11" s="501"/>
      <c r="Y11" s="501"/>
      <c r="Z11" s="501"/>
      <c r="AA11" s="501"/>
      <c r="AB11" s="501">
        <v>20</v>
      </c>
      <c r="AC11" s="501"/>
      <c r="AD11" s="501"/>
      <c r="AE11" s="501"/>
      <c r="AF11" s="501"/>
      <c r="AG11" s="501"/>
      <c r="AH11" s="501"/>
      <c r="AI11" s="501"/>
      <c r="AJ11" s="501"/>
      <c r="AK11" s="501"/>
      <c r="AL11" s="332">
        <f t="shared" si="0"/>
        <v>40</v>
      </c>
      <c r="AM11" s="575">
        <f t="shared" si="1"/>
        <v>340000</v>
      </c>
      <c r="AN11" s="2696">
        <f>SUM(AM11:AM17)</f>
        <v>1690000</v>
      </c>
    </row>
    <row r="12" spans="1:40" ht="17.25" customHeight="1">
      <c r="A12" s="2705"/>
      <c r="B12" s="2715"/>
      <c r="C12" s="1799" t="s">
        <v>1877</v>
      </c>
      <c r="D12" s="263" t="s">
        <v>1850</v>
      </c>
      <c r="E12" s="243" t="s">
        <v>1618</v>
      </c>
      <c r="F12" s="525">
        <v>52500</v>
      </c>
      <c r="G12" s="509"/>
      <c r="H12" s="510"/>
      <c r="I12" s="510">
        <v>20</v>
      </c>
      <c r="J12" s="510"/>
      <c r="K12" s="510"/>
      <c r="L12" s="510"/>
      <c r="M12" s="510"/>
      <c r="N12" s="510"/>
      <c r="O12" s="510"/>
      <c r="P12" s="510"/>
      <c r="Q12" s="510"/>
      <c r="R12" s="510"/>
      <c r="S12" s="510"/>
      <c r="T12" s="510"/>
      <c r="U12" s="510"/>
      <c r="V12" s="510"/>
      <c r="W12" s="510"/>
      <c r="X12" s="510"/>
      <c r="Y12" s="510"/>
      <c r="Z12" s="510"/>
      <c r="AA12" s="510"/>
      <c r="AB12" s="510"/>
      <c r="AC12" s="510"/>
      <c r="AD12" s="510"/>
      <c r="AE12" s="510"/>
      <c r="AF12" s="510"/>
      <c r="AG12" s="510"/>
      <c r="AH12" s="510"/>
      <c r="AI12" s="510"/>
      <c r="AJ12" s="510"/>
      <c r="AK12" s="510"/>
      <c r="AL12" s="528">
        <f t="shared" si="0"/>
        <v>20</v>
      </c>
      <c r="AM12" s="531">
        <f t="shared" si="1"/>
        <v>1050000</v>
      </c>
      <c r="AN12" s="2697"/>
    </row>
    <row r="13" spans="1:40" ht="17.25" customHeight="1">
      <c r="A13" s="2705"/>
      <c r="B13" s="2715"/>
      <c r="C13" s="1799" t="s">
        <v>1878</v>
      </c>
      <c r="D13" s="263" t="s">
        <v>1845</v>
      </c>
      <c r="E13" s="243" t="s">
        <v>1618</v>
      </c>
      <c r="F13" s="525">
        <v>148000</v>
      </c>
      <c r="G13" s="509"/>
      <c r="H13" s="510"/>
      <c r="I13" s="510"/>
      <c r="J13" s="510"/>
      <c r="K13" s="510"/>
      <c r="L13" s="510"/>
      <c r="M13" s="510"/>
      <c r="N13" s="510"/>
      <c r="O13" s="510"/>
      <c r="P13" s="510"/>
      <c r="Q13" s="510"/>
      <c r="R13" s="510"/>
      <c r="S13" s="510"/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9"/>
      <c r="AL13" s="528">
        <f t="shared" si="0"/>
        <v>0</v>
      </c>
      <c r="AM13" s="1233">
        <f t="shared" si="1"/>
        <v>0</v>
      </c>
      <c r="AN13" s="2697"/>
    </row>
    <row r="14" spans="1:40" ht="17.25" customHeight="1">
      <c r="A14" s="2705"/>
      <c r="B14" s="2715"/>
      <c r="C14" s="1799" t="s">
        <v>1878</v>
      </c>
      <c r="D14" s="263" t="s">
        <v>1876</v>
      </c>
      <c r="E14" s="243" t="s">
        <v>1618</v>
      </c>
      <c r="F14" s="525">
        <v>48500</v>
      </c>
      <c r="G14" s="509"/>
      <c r="H14" s="510"/>
      <c r="I14" s="510"/>
      <c r="J14" s="510"/>
      <c r="K14" s="510"/>
      <c r="L14" s="510"/>
      <c r="M14" s="510"/>
      <c r="N14" s="510"/>
      <c r="O14" s="510"/>
      <c r="P14" s="510"/>
      <c r="Q14" s="510"/>
      <c r="R14" s="510"/>
      <c r="S14" s="510"/>
      <c r="T14" s="510"/>
      <c r="U14" s="510"/>
      <c r="V14" s="510"/>
      <c r="W14" s="510"/>
      <c r="X14" s="510"/>
      <c r="Y14" s="510"/>
      <c r="Z14" s="510"/>
      <c r="AA14" s="510"/>
      <c r="AB14" s="510"/>
      <c r="AC14" s="510"/>
      <c r="AD14" s="510"/>
      <c r="AE14" s="510"/>
      <c r="AF14" s="510"/>
      <c r="AG14" s="510"/>
      <c r="AH14" s="510"/>
      <c r="AI14" s="510"/>
      <c r="AJ14" s="510"/>
      <c r="AK14" s="519"/>
      <c r="AL14" s="528">
        <f t="shared" ref="AL14" si="2">SUM(G14:AK14)</f>
        <v>0</v>
      </c>
      <c r="AM14" s="1233">
        <f t="shared" ref="AM14" si="3">F14*AL14</f>
        <v>0</v>
      </c>
      <c r="AN14" s="2697"/>
    </row>
    <row r="15" spans="1:40" ht="17.25" customHeight="1">
      <c r="A15" s="2705"/>
      <c r="B15" s="2715"/>
      <c r="C15" s="524" t="s">
        <v>1619</v>
      </c>
      <c r="D15" s="524" t="s">
        <v>1946</v>
      </c>
      <c r="E15" s="283" t="s">
        <v>32</v>
      </c>
      <c r="F15" s="525">
        <v>68</v>
      </c>
      <c r="G15" s="509"/>
      <c r="H15" s="510"/>
      <c r="I15" s="510"/>
      <c r="J15" s="510"/>
      <c r="K15" s="510"/>
      <c r="L15" s="510"/>
      <c r="M15" s="510"/>
      <c r="N15" s="510"/>
      <c r="O15" s="510"/>
      <c r="P15" s="510"/>
      <c r="Q15" s="510"/>
      <c r="R15" s="510"/>
      <c r="S15" s="510"/>
      <c r="T15" s="510"/>
      <c r="U15" s="510"/>
      <c r="V15" s="510"/>
      <c r="W15" s="510"/>
      <c r="X15" s="510"/>
      <c r="Y15" s="510"/>
      <c r="Z15" s="510"/>
      <c r="AA15" s="510"/>
      <c r="AB15" s="510"/>
      <c r="AC15" s="510"/>
      <c r="AD15" s="510"/>
      <c r="AE15" s="510"/>
      <c r="AF15" s="510"/>
      <c r="AG15" s="510"/>
      <c r="AH15" s="510"/>
      <c r="AI15" s="510"/>
      <c r="AJ15" s="510"/>
      <c r="AK15" s="519"/>
      <c r="AL15" s="528">
        <f t="shared" si="0"/>
        <v>0</v>
      </c>
      <c r="AM15" s="1233">
        <f t="shared" ref="AM15:AM16" si="4">F15*AL15</f>
        <v>0</v>
      </c>
      <c r="AN15" s="2697"/>
    </row>
    <row r="16" spans="1:40" ht="17.25" customHeight="1">
      <c r="A16" s="2705"/>
      <c r="B16" s="2715"/>
      <c r="C16" s="524" t="s">
        <v>600</v>
      </c>
      <c r="D16" s="524" t="s">
        <v>1947</v>
      </c>
      <c r="E16" s="283" t="s">
        <v>32</v>
      </c>
      <c r="F16" s="525">
        <v>300</v>
      </c>
      <c r="G16" s="509"/>
      <c r="H16" s="510"/>
      <c r="I16" s="510"/>
      <c r="J16" s="510"/>
      <c r="K16" s="510"/>
      <c r="L16" s="510"/>
      <c r="M16" s="510"/>
      <c r="N16" s="510"/>
      <c r="O16" s="510"/>
      <c r="P16" s="510"/>
      <c r="Q16" s="510"/>
      <c r="R16" s="510"/>
      <c r="S16" s="510"/>
      <c r="T16" s="510"/>
      <c r="U16" s="510"/>
      <c r="V16" s="510"/>
      <c r="W16" s="510"/>
      <c r="X16" s="510"/>
      <c r="Y16" s="510"/>
      <c r="Z16" s="510"/>
      <c r="AA16" s="510"/>
      <c r="AB16" s="510">
        <v>1000</v>
      </c>
      <c r="AC16" s="510"/>
      <c r="AD16" s="510"/>
      <c r="AE16" s="510"/>
      <c r="AF16" s="510"/>
      <c r="AG16" s="510"/>
      <c r="AH16" s="510"/>
      <c r="AI16" s="510"/>
      <c r="AJ16" s="510"/>
      <c r="AK16" s="519"/>
      <c r="AL16" s="528">
        <f t="shared" si="0"/>
        <v>1000</v>
      </c>
      <c r="AM16" s="1233">
        <f t="shared" si="4"/>
        <v>300000</v>
      </c>
      <c r="AN16" s="2697"/>
    </row>
    <row r="17" spans="1:40" ht="17.25" customHeight="1" thickBot="1">
      <c r="A17" s="2705"/>
      <c r="B17" s="2716"/>
      <c r="C17" s="270" t="s">
        <v>600</v>
      </c>
      <c r="D17" s="270" t="s">
        <v>1948</v>
      </c>
      <c r="E17" s="248" t="s">
        <v>32</v>
      </c>
      <c r="F17" s="330">
        <v>245</v>
      </c>
      <c r="G17" s="503"/>
      <c r="H17" s="504"/>
      <c r="I17" s="504"/>
      <c r="J17" s="504"/>
      <c r="K17" s="504"/>
      <c r="L17" s="504"/>
      <c r="M17" s="504"/>
      <c r="N17" s="504"/>
      <c r="O17" s="504"/>
      <c r="P17" s="504"/>
      <c r="Q17" s="504"/>
      <c r="R17" s="504"/>
      <c r="S17" s="504"/>
      <c r="T17" s="504"/>
      <c r="U17" s="504"/>
      <c r="V17" s="504"/>
      <c r="W17" s="504"/>
      <c r="X17" s="504"/>
      <c r="Y17" s="504"/>
      <c r="Z17" s="504"/>
      <c r="AA17" s="504"/>
      <c r="AB17" s="504"/>
      <c r="AC17" s="504"/>
      <c r="AD17" s="504"/>
      <c r="AE17" s="504"/>
      <c r="AF17" s="504"/>
      <c r="AG17" s="504"/>
      <c r="AH17" s="504"/>
      <c r="AI17" s="504"/>
      <c r="AJ17" s="504"/>
      <c r="AK17" s="1495"/>
      <c r="AL17" s="325">
        <f t="shared" si="0"/>
        <v>0</v>
      </c>
      <c r="AM17" s="570">
        <f t="shared" si="1"/>
        <v>0</v>
      </c>
      <c r="AN17" s="2698"/>
    </row>
    <row r="18" spans="1:40" ht="15.75" customHeight="1" thickBot="1">
      <c r="A18" s="2705"/>
      <c r="B18" s="2710" t="s">
        <v>804</v>
      </c>
      <c r="C18" s="1801" t="s">
        <v>1092</v>
      </c>
      <c r="D18" s="1728" t="s">
        <v>1123</v>
      </c>
      <c r="E18" s="1729" t="s">
        <v>47</v>
      </c>
      <c r="F18" s="1836">
        <v>70</v>
      </c>
      <c r="G18" s="507"/>
      <c r="H18" s="508"/>
      <c r="I18" s="508"/>
      <c r="J18" s="508"/>
      <c r="K18" s="508"/>
      <c r="L18" s="508"/>
      <c r="M18" s="508"/>
      <c r="N18" s="508"/>
      <c r="O18" s="508"/>
      <c r="P18" s="508"/>
      <c r="Q18" s="508"/>
      <c r="R18" s="508"/>
      <c r="S18" s="508"/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508"/>
      <c r="AI18" s="508"/>
      <c r="AJ18" s="508"/>
      <c r="AK18" s="526"/>
      <c r="AL18" s="537">
        <f>SUM(G18:AK18)</f>
        <v>0</v>
      </c>
      <c r="AM18" s="1730">
        <f t="shared" ref="AM18:AM22" si="5">F18*AL18</f>
        <v>0</v>
      </c>
      <c r="AN18" s="2696">
        <f>SUM(AM18:AM21)</f>
        <v>0</v>
      </c>
    </row>
    <row r="19" spans="1:40" ht="15.75" customHeight="1" thickBot="1">
      <c r="A19" s="2705"/>
      <c r="B19" s="2711"/>
      <c r="C19" s="1802" t="s">
        <v>1093</v>
      </c>
      <c r="D19" s="1117" t="s">
        <v>1121</v>
      </c>
      <c r="E19" s="1118" t="s">
        <v>47</v>
      </c>
      <c r="F19" s="1837">
        <v>120</v>
      </c>
      <c r="G19" s="509"/>
      <c r="H19" s="510"/>
      <c r="I19" s="510"/>
      <c r="J19" s="510"/>
      <c r="K19" s="510"/>
      <c r="L19" s="510"/>
      <c r="M19" s="510"/>
      <c r="N19" s="510"/>
      <c r="O19" s="510"/>
      <c r="P19" s="510"/>
      <c r="Q19" s="510"/>
      <c r="R19" s="510"/>
      <c r="S19" s="510"/>
      <c r="T19" s="510"/>
      <c r="U19" s="510"/>
      <c r="V19" s="510"/>
      <c r="W19" s="510"/>
      <c r="X19" s="510"/>
      <c r="Y19" s="510"/>
      <c r="Z19" s="510"/>
      <c r="AA19" s="510"/>
      <c r="AB19" s="510"/>
      <c r="AC19" s="510"/>
      <c r="AD19" s="510"/>
      <c r="AE19" s="510"/>
      <c r="AF19" s="510"/>
      <c r="AG19" s="510"/>
      <c r="AH19" s="510"/>
      <c r="AI19" s="510"/>
      <c r="AJ19" s="510"/>
      <c r="AK19" s="519"/>
      <c r="AL19" s="537">
        <f>SUM(G19:AK19)</f>
        <v>0</v>
      </c>
      <c r="AM19" s="1588">
        <f t="shared" si="5"/>
        <v>0</v>
      </c>
      <c r="AN19" s="2697"/>
    </row>
    <row r="20" spans="1:40" ht="17.25" customHeight="1" thickBot="1">
      <c r="A20" s="2705"/>
      <c r="B20" s="2711"/>
      <c r="C20" s="1802" t="s">
        <v>1171</v>
      </c>
      <c r="D20" s="1117" t="s">
        <v>1122</v>
      </c>
      <c r="E20" s="1119" t="s">
        <v>47</v>
      </c>
      <c r="F20" s="1838">
        <v>140</v>
      </c>
      <c r="G20" s="499"/>
      <c r="H20" s="502"/>
      <c r="I20" s="502"/>
      <c r="J20" s="502"/>
      <c r="K20" s="502"/>
      <c r="L20" s="502"/>
      <c r="M20" s="502"/>
      <c r="N20" s="502"/>
      <c r="O20" s="502"/>
      <c r="P20" s="502"/>
      <c r="Q20" s="502"/>
      <c r="R20" s="502"/>
      <c r="S20" s="502"/>
      <c r="T20" s="502"/>
      <c r="U20" s="502"/>
      <c r="V20" s="502"/>
      <c r="W20" s="502"/>
      <c r="X20" s="502"/>
      <c r="Y20" s="502"/>
      <c r="Z20" s="502"/>
      <c r="AA20" s="502"/>
      <c r="AB20" s="502"/>
      <c r="AC20" s="502"/>
      <c r="AD20" s="502"/>
      <c r="AE20" s="502"/>
      <c r="AF20" s="502"/>
      <c r="AG20" s="502"/>
      <c r="AH20" s="502"/>
      <c r="AI20" s="502"/>
      <c r="AJ20" s="502"/>
      <c r="AK20" s="502"/>
      <c r="AL20" s="537">
        <f>SUM(G20:AK20)</f>
        <v>0</v>
      </c>
      <c r="AM20" s="1584">
        <f t="shared" si="5"/>
        <v>0</v>
      </c>
      <c r="AN20" s="2697"/>
    </row>
    <row r="21" spans="1:40" ht="17.25" customHeight="1" thickBot="1">
      <c r="A21" s="2705"/>
      <c r="B21" s="2712"/>
      <c r="C21" s="1803" t="s">
        <v>627</v>
      </c>
      <c r="D21" s="1731" t="s">
        <v>1207</v>
      </c>
      <c r="E21" s="1732" t="s">
        <v>47</v>
      </c>
      <c r="F21" s="1839">
        <v>260</v>
      </c>
      <c r="G21" s="503"/>
      <c r="H21" s="504"/>
      <c r="I21" s="504"/>
      <c r="J21" s="504"/>
      <c r="K21" s="504"/>
      <c r="L21" s="504"/>
      <c r="M21" s="504"/>
      <c r="N21" s="504"/>
      <c r="O21" s="504"/>
      <c r="P21" s="504"/>
      <c r="Q21" s="504"/>
      <c r="R21" s="504"/>
      <c r="S21" s="504"/>
      <c r="T21" s="504"/>
      <c r="U21" s="504"/>
      <c r="V21" s="504"/>
      <c r="W21" s="504"/>
      <c r="X21" s="504"/>
      <c r="Y21" s="504"/>
      <c r="Z21" s="504"/>
      <c r="AA21" s="504"/>
      <c r="AB21" s="504"/>
      <c r="AC21" s="504"/>
      <c r="AD21" s="504"/>
      <c r="AE21" s="504"/>
      <c r="AF21" s="504"/>
      <c r="AG21" s="504"/>
      <c r="AH21" s="504"/>
      <c r="AI21" s="504"/>
      <c r="AJ21" s="504"/>
      <c r="AK21" s="504"/>
      <c r="AL21" s="1733">
        <f>SUM(G21:AK21)</f>
        <v>0</v>
      </c>
      <c r="AM21" s="570">
        <f t="shared" si="5"/>
        <v>0</v>
      </c>
      <c r="AN21" s="2698"/>
    </row>
    <row r="22" spans="1:40" ht="17.25" customHeight="1">
      <c r="A22" s="2705"/>
      <c r="B22" s="2729" t="s">
        <v>593</v>
      </c>
      <c r="C22" s="1804" t="s">
        <v>1148</v>
      </c>
      <c r="D22" s="1741" t="s">
        <v>592</v>
      </c>
      <c r="E22" s="533" t="s">
        <v>47</v>
      </c>
      <c r="F22" s="1742">
        <v>1650</v>
      </c>
      <c r="G22" s="1727"/>
      <c r="H22" s="515"/>
      <c r="I22" s="515"/>
      <c r="J22" s="515"/>
      <c r="K22" s="515"/>
      <c r="L22" s="515"/>
      <c r="M22" s="515"/>
      <c r="N22" s="515"/>
      <c r="O22" s="515"/>
      <c r="P22" s="515"/>
      <c r="Q22" s="515"/>
      <c r="R22" s="515"/>
      <c r="S22" s="515"/>
      <c r="T22" s="515"/>
      <c r="U22" s="515"/>
      <c r="V22" s="515"/>
      <c r="W22" s="515"/>
      <c r="X22" s="515"/>
      <c r="Y22" s="515"/>
      <c r="Z22" s="515"/>
      <c r="AA22" s="515"/>
      <c r="AB22" s="515"/>
      <c r="AC22" s="515"/>
      <c r="AD22" s="515"/>
      <c r="AE22" s="515"/>
      <c r="AF22" s="515"/>
      <c r="AG22" s="515"/>
      <c r="AH22" s="515"/>
      <c r="AI22" s="515"/>
      <c r="AJ22" s="515"/>
      <c r="AK22" s="515"/>
      <c r="AL22" s="296">
        <f t="shared" ref="AL22" si="6">SUM(G22:AK22)</f>
        <v>0</v>
      </c>
      <c r="AM22" s="1726">
        <f t="shared" si="5"/>
        <v>0</v>
      </c>
      <c r="AN22" s="2696">
        <f>SUM(AM22:AM24)</f>
        <v>0</v>
      </c>
    </row>
    <row r="23" spans="1:40" ht="17.25" customHeight="1">
      <c r="A23" s="2705"/>
      <c r="B23" s="2729"/>
      <c r="C23" s="263" t="s">
        <v>575</v>
      </c>
      <c r="D23" s="263" t="s">
        <v>576</v>
      </c>
      <c r="E23" s="264" t="s">
        <v>47</v>
      </c>
      <c r="F23" s="530">
        <v>308</v>
      </c>
      <c r="G23" s="499"/>
      <c r="H23" s="502"/>
      <c r="I23" s="502"/>
      <c r="J23" s="502"/>
      <c r="K23" s="502"/>
      <c r="L23" s="502"/>
      <c r="M23" s="502"/>
      <c r="N23" s="502"/>
      <c r="O23" s="502"/>
      <c r="P23" s="502"/>
      <c r="Q23" s="502"/>
      <c r="R23" s="502"/>
      <c r="S23" s="502"/>
      <c r="T23" s="502"/>
      <c r="U23" s="502"/>
      <c r="V23" s="502"/>
      <c r="W23" s="502"/>
      <c r="X23" s="502"/>
      <c r="Y23" s="502"/>
      <c r="Z23" s="502"/>
      <c r="AA23" s="502"/>
      <c r="AB23" s="502"/>
      <c r="AC23" s="502"/>
      <c r="AD23" s="502"/>
      <c r="AE23" s="502"/>
      <c r="AF23" s="502"/>
      <c r="AG23" s="502"/>
      <c r="AH23" s="502"/>
      <c r="AI23" s="502"/>
      <c r="AJ23" s="502"/>
      <c r="AK23" s="502"/>
      <c r="AL23" s="324">
        <f>SUM(G23:AK23)</f>
        <v>0</v>
      </c>
      <c r="AM23" s="531">
        <f>F23*AL23</f>
        <v>0</v>
      </c>
      <c r="AN23" s="2697"/>
    </row>
    <row r="24" spans="1:40" ht="17.25" customHeight="1" thickBot="1">
      <c r="A24" s="2706"/>
      <c r="B24" s="2730"/>
      <c r="C24" s="270" t="s">
        <v>575</v>
      </c>
      <c r="D24" s="270" t="s">
        <v>1393</v>
      </c>
      <c r="E24" s="269" t="s">
        <v>47</v>
      </c>
      <c r="F24" s="1710">
        <v>213</v>
      </c>
      <c r="G24" s="503"/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4"/>
      <c r="T24" s="504"/>
      <c r="U24" s="504"/>
      <c r="V24" s="504"/>
      <c r="W24" s="504"/>
      <c r="X24" s="504"/>
      <c r="Y24" s="504"/>
      <c r="Z24" s="504"/>
      <c r="AA24" s="504"/>
      <c r="AB24" s="504"/>
      <c r="AC24" s="504"/>
      <c r="AD24" s="504"/>
      <c r="AE24" s="504"/>
      <c r="AF24" s="504"/>
      <c r="AG24" s="504"/>
      <c r="AH24" s="504"/>
      <c r="AI24" s="504"/>
      <c r="AJ24" s="504"/>
      <c r="AK24" s="504"/>
      <c r="AL24" s="325">
        <f>SUM(G24:AK24)</f>
        <v>0</v>
      </c>
      <c r="AM24" s="570">
        <f>F24*AL24</f>
        <v>0</v>
      </c>
      <c r="AN24" s="2698"/>
    </row>
    <row r="25" spans="1:40" ht="17.25" customHeight="1">
      <c r="A25" s="2670" t="s">
        <v>2010</v>
      </c>
      <c r="B25" s="2717" t="s">
        <v>2008</v>
      </c>
      <c r="C25" s="267" t="s">
        <v>747</v>
      </c>
      <c r="D25" s="267" t="s">
        <v>815</v>
      </c>
      <c r="E25" s="241" t="s">
        <v>716</v>
      </c>
      <c r="F25" s="328">
        <v>25300</v>
      </c>
      <c r="G25" s="511"/>
      <c r="H25" s="501"/>
      <c r="I25" s="501"/>
      <c r="J25" s="501"/>
      <c r="K25" s="501"/>
      <c r="L25" s="501"/>
      <c r="M25" s="501"/>
      <c r="N25" s="501">
        <v>5</v>
      </c>
      <c r="O25" s="501"/>
      <c r="P25" s="501"/>
      <c r="Q25" s="501"/>
      <c r="R25" s="501"/>
      <c r="S25" s="501"/>
      <c r="T25" s="501"/>
      <c r="U25" s="501"/>
      <c r="V25" s="501"/>
      <c r="W25" s="501"/>
      <c r="X25" s="501"/>
      <c r="Y25" s="501"/>
      <c r="Z25" s="501"/>
      <c r="AA25" s="501"/>
      <c r="AB25" s="501"/>
      <c r="AC25" s="501"/>
      <c r="AD25" s="501"/>
      <c r="AE25" s="501"/>
      <c r="AF25" s="501"/>
      <c r="AG25" s="501"/>
      <c r="AH25" s="501"/>
      <c r="AI25" s="501"/>
      <c r="AJ25" s="501"/>
      <c r="AK25" s="512"/>
      <c r="AL25" s="1234">
        <f t="shared" si="0"/>
        <v>5</v>
      </c>
      <c r="AM25" s="575">
        <f t="shared" si="1"/>
        <v>126500</v>
      </c>
      <c r="AN25" s="2696">
        <f>SUM(AM25:AM35)</f>
        <v>237500</v>
      </c>
    </row>
    <row r="26" spans="1:40" ht="17.25" customHeight="1">
      <c r="A26" s="2671"/>
      <c r="B26" s="2718"/>
      <c r="C26" s="263" t="s">
        <v>770</v>
      </c>
      <c r="D26" s="263" t="s">
        <v>816</v>
      </c>
      <c r="E26" s="243" t="s">
        <v>771</v>
      </c>
      <c r="F26" s="329">
        <v>21000</v>
      </c>
      <c r="G26" s="499"/>
      <c r="H26" s="502"/>
      <c r="I26" s="502"/>
      <c r="J26" s="502"/>
      <c r="K26" s="502"/>
      <c r="L26" s="502"/>
      <c r="M26" s="502"/>
      <c r="N26" s="502">
        <v>2</v>
      </c>
      <c r="O26" s="502"/>
      <c r="P26" s="502"/>
      <c r="Q26" s="502"/>
      <c r="R26" s="502"/>
      <c r="S26" s="502"/>
      <c r="T26" s="502"/>
      <c r="U26" s="502"/>
      <c r="V26" s="502"/>
      <c r="W26" s="502"/>
      <c r="X26" s="502"/>
      <c r="Y26" s="502"/>
      <c r="Z26" s="502"/>
      <c r="AA26" s="502"/>
      <c r="AB26" s="502"/>
      <c r="AC26" s="502"/>
      <c r="AD26" s="502"/>
      <c r="AE26" s="502"/>
      <c r="AF26" s="502"/>
      <c r="AG26" s="502"/>
      <c r="AH26" s="502"/>
      <c r="AI26" s="502"/>
      <c r="AJ26" s="502"/>
      <c r="AK26" s="517"/>
      <c r="AL26" s="1157">
        <f t="shared" si="0"/>
        <v>2</v>
      </c>
      <c r="AM26" s="531">
        <f t="shared" si="1"/>
        <v>42000</v>
      </c>
      <c r="AN26" s="2697"/>
    </row>
    <row r="27" spans="1:40" ht="17.25" customHeight="1">
      <c r="A27" s="2671"/>
      <c r="B27" s="2718"/>
      <c r="C27" s="263" t="s">
        <v>821</v>
      </c>
      <c r="D27" s="263" t="s">
        <v>822</v>
      </c>
      <c r="E27" s="243" t="s">
        <v>716</v>
      </c>
      <c r="F27" s="329">
        <v>22000</v>
      </c>
      <c r="G27" s="499"/>
      <c r="H27" s="502"/>
      <c r="I27" s="502"/>
      <c r="J27" s="502"/>
      <c r="K27" s="502"/>
      <c r="L27" s="502"/>
      <c r="M27" s="502"/>
      <c r="N27" s="502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Y27" s="502"/>
      <c r="Z27" s="502"/>
      <c r="AA27" s="502"/>
      <c r="AB27" s="502"/>
      <c r="AC27" s="502"/>
      <c r="AD27" s="502"/>
      <c r="AE27" s="502"/>
      <c r="AF27" s="502"/>
      <c r="AG27" s="502"/>
      <c r="AH27" s="502"/>
      <c r="AI27" s="502"/>
      <c r="AJ27" s="502"/>
      <c r="AK27" s="517"/>
      <c r="AL27" s="1157">
        <f t="shared" si="0"/>
        <v>0</v>
      </c>
      <c r="AM27" s="531">
        <f t="shared" si="1"/>
        <v>0</v>
      </c>
      <c r="AN27" s="2697"/>
    </row>
    <row r="28" spans="1:40" ht="17.25" customHeight="1">
      <c r="A28" s="2671"/>
      <c r="B28" s="2718"/>
      <c r="C28" s="263" t="s">
        <v>1478</v>
      </c>
      <c r="D28" s="263" t="s">
        <v>816</v>
      </c>
      <c r="E28" s="243" t="s">
        <v>716</v>
      </c>
      <c r="F28" s="329">
        <v>23000</v>
      </c>
      <c r="G28" s="499"/>
      <c r="H28" s="502"/>
      <c r="I28" s="502"/>
      <c r="J28" s="502"/>
      <c r="K28" s="502"/>
      <c r="L28" s="502"/>
      <c r="M28" s="502"/>
      <c r="N28" s="502">
        <v>2</v>
      </c>
      <c r="O28" s="502"/>
      <c r="P28" s="502"/>
      <c r="Q28" s="502"/>
      <c r="R28" s="502"/>
      <c r="S28" s="502"/>
      <c r="T28" s="502"/>
      <c r="U28" s="502"/>
      <c r="V28" s="502"/>
      <c r="W28" s="502"/>
      <c r="X28" s="502"/>
      <c r="Y28" s="502"/>
      <c r="Z28" s="502"/>
      <c r="AA28" s="502"/>
      <c r="AB28" s="502"/>
      <c r="AC28" s="502"/>
      <c r="AD28" s="502"/>
      <c r="AE28" s="502"/>
      <c r="AF28" s="502"/>
      <c r="AG28" s="502"/>
      <c r="AH28" s="502"/>
      <c r="AI28" s="502"/>
      <c r="AJ28" s="502"/>
      <c r="AK28" s="517"/>
      <c r="AL28" s="1157">
        <f t="shared" si="0"/>
        <v>2</v>
      </c>
      <c r="AM28" s="531">
        <f>F28*AL28</f>
        <v>46000</v>
      </c>
      <c r="AN28" s="2697"/>
    </row>
    <row r="29" spans="1:40" ht="17.25" customHeight="1">
      <c r="A29" s="2671"/>
      <c r="B29" s="2718"/>
      <c r="C29" s="263" t="s">
        <v>1475</v>
      </c>
      <c r="D29" s="263" t="s">
        <v>1474</v>
      </c>
      <c r="E29" s="243" t="s">
        <v>716</v>
      </c>
      <c r="F29" s="329">
        <v>23000</v>
      </c>
      <c r="G29" s="499"/>
      <c r="H29" s="502"/>
      <c r="I29" s="502"/>
      <c r="J29" s="502"/>
      <c r="K29" s="502"/>
      <c r="L29" s="502"/>
      <c r="M29" s="502"/>
      <c r="N29" s="502">
        <v>1</v>
      </c>
      <c r="O29" s="502"/>
      <c r="P29" s="502"/>
      <c r="Q29" s="502"/>
      <c r="R29" s="502"/>
      <c r="S29" s="502"/>
      <c r="T29" s="502"/>
      <c r="U29" s="502"/>
      <c r="V29" s="502"/>
      <c r="W29" s="502"/>
      <c r="X29" s="502"/>
      <c r="Y29" s="502"/>
      <c r="Z29" s="502"/>
      <c r="AA29" s="502"/>
      <c r="AB29" s="502"/>
      <c r="AC29" s="502"/>
      <c r="AD29" s="502"/>
      <c r="AE29" s="502"/>
      <c r="AF29" s="502"/>
      <c r="AG29" s="502"/>
      <c r="AH29" s="502"/>
      <c r="AI29" s="502"/>
      <c r="AJ29" s="502"/>
      <c r="AK29" s="517"/>
      <c r="AL29" s="1157">
        <f t="shared" si="0"/>
        <v>1</v>
      </c>
      <c r="AM29" s="531">
        <f t="shared" ref="AM29:AM31" si="7">F29*AL29</f>
        <v>23000</v>
      </c>
      <c r="AN29" s="2697"/>
    </row>
    <row r="30" spans="1:40" ht="17.25" customHeight="1">
      <c r="A30" s="2671"/>
      <c r="B30" s="2718"/>
      <c r="C30" s="263" t="s">
        <v>1476</v>
      </c>
      <c r="D30" s="263" t="s">
        <v>1474</v>
      </c>
      <c r="E30" s="243" t="s">
        <v>716</v>
      </c>
      <c r="F30" s="329">
        <v>23000</v>
      </c>
      <c r="G30" s="499"/>
      <c r="H30" s="502"/>
      <c r="I30" s="502"/>
      <c r="J30" s="502"/>
      <c r="K30" s="502"/>
      <c r="L30" s="502"/>
      <c r="M30" s="502"/>
      <c r="N30" s="502"/>
      <c r="O30" s="502"/>
      <c r="P30" s="502"/>
      <c r="Q30" s="502"/>
      <c r="R30" s="502"/>
      <c r="S30" s="502"/>
      <c r="T30" s="502"/>
      <c r="U30" s="502"/>
      <c r="V30" s="502"/>
      <c r="W30" s="502"/>
      <c r="X30" s="502"/>
      <c r="Y30" s="502"/>
      <c r="Z30" s="502"/>
      <c r="AA30" s="502"/>
      <c r="AB30" s="502"/>
      <c r="AC30" s="502"/>
      <c r="AD30" s="502"/>
      <c r="AE30" s="502"/>
      <c r="AF30" s="502"/>
      <c r="AG30" s="502"/>
      <c r="AH30" s="502"/>
      <c r="AI30" s="502"/>
      <c r="AJ30" s="502"/>
      <c r="AK30" s="517"/>
      <c r="AL30" s="1157">
        <f t="shared" si="0"/>
        <v>0</v>
      </c>
      <c r="AM30" s="531">
        <f t="shared" si="7"/>
        <v>0</v>
      </c>
      <c r="AN30" s="2697"/>
    </row>
    <row r="31" spans="1:40" ht="17.25" customHeight="1">
      <c r="A31" s="2671"/>
      <c r="B31" s="2718"/>
      <c r="C31" s="263" t="s">
        <v>1477</v>
      </c>
      <c r="D31" s="263" t="s">
        <v>1474</v>
      </c>
      <c r="E31" s="243" t="s">
        <v>716</v>
      </c>
      <c r="F31" s="329">
        <v>23000</v>
      </c>
      <c r="G31" s="499"/>
      <c r="H31" s="502"/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Y31" s="502"/>
      <c r="Z31" s="502"/>
      <c r="AA31" s="502"/>
      <c r="AB31" s="502"/>
      <c r="AC31" s="502"/>
      <c r="AD31" s="502"/>
      <c r="AE31" s="502"/>
      <c r="AF31" s="502"/>
      <c r="AG31" s="502"/>
      <c r="AH31" s="502"/>
      <c r="AI31" s="502"/>
      <c r="AJ31" s="502"/>
      <c r="AK31" s="517"/>
      <c r="AL31" s="1157">
        <f t="shared" si="0"/>
        <v>0</v>
      </c>
      <c r="AM31" s="531">
        <f t="shared" si="7"/>
        <v>0</v>
      </c>
      <c r="AN31" s="2697"/>
    </row>
    <row r="32" spans="1:40" ht="17.25" customHeight="1">
      <c r="A32" s="2671"/>
      <c r="B32" s="2718"/>
      <c r="C32" s="263" t="s">
        <v>823</v>
      </c>
      <c r="D32" s="263" t="s">
        <v>822</v>
      </c>
      <c r="E32" s="243" t="s">
        <v>716</v>
      </c>
      <c r="F32" s="329">
        <v>23000</v>
      </c>
      <c r="G32" s="499"/>
      <c r="H32" s="502"/>
      <c r="I32" s="502"/>
      <c r="J32" s="502"/>
      <c r="K32" s="502"/>
      <c r="L32" s="502"/>
      <c r="M32" s="502"/>
      <c r="N32" s="502"/>
      <c r="O32" s="502"/>
      <c r="P32" s="502"/>
      <c r="Q32" s="502"/>
      <c r="R32" s="502"/>
      <c r="S32" s="502"/>
      <c r="T32" s="502"/>
      <c r="U32" s="502"/>
      <c r="V32" s="502"/>
      <c r="W32" s="502"/>
      <c r="X32" s="502"/>
      <c r="Y32" s="502"/>
      <c r="Z32" s="502"/>
      <c r="AA32" s="502"/>
      <c r="AB32" s="502"/>
      <c r="AC32" s="502"/>
      <c r="AD32" s="502"/>
      <c r="AE32" s="502"/>
      <c r="AF32" s="502"/>
      <c r="AG32" s="502"/>
      <c r="AH32" s="502"/>
      <c r="AI32" s="502"/>
      <c r="AJ32" s="502"/>
      <c r="AK32" s="517"/>
      <c r="AL32" s="1157">
        <f t="shared" si="0"/>
        <v>0</v>
      </c>
      <c r="AM32" s="531">
        <f t="shared" si="1"/>
        <v>0</v>
      </c>
      <c r="AN32" s="2697"/>
    </row>
    <row r="33" spans="1:40" ht="17.25" customHeight="1">
      <c r="A33" s="2671"/>
      <c r="B33" s="2718"/>
      <c r="C33" s="263" t="s">
        <v>1263</v>
      </c>
      <c r="D33" s="263" t="s">
        <v>816</v>
      </c>
      <c r="E33" s="243" t="s">
        <v>716</v>
      </c>
      <c r="F33" s="329">
        <v>22000</v>
      </c>
      <c r="G33" s="499"/>
      <c r="H33" s="502"/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Y33" s="502"/>
      <c r="Z33" s="502"/>
      <c r="AA33" s="502"/>
      <c r="AB33" s="502"/>
      <c r="AC33" s="502"/>
      <c r="AD33" s="502"/>
      <c r="AE33" s="502"/>
      <c r="AF33" s="502"/>
      <c r="AG33" s="502"/>
      <c r="AH33" s="502"/>
      <c r="AI33" s="502"/>
      <c r="AJ33" s="502"/>
      <c r="AK33" s="517"/>
      <c r="AL33" s="1157">
        <f t="shared" si="0"/>
        <v>0</v>
      </c>
      <c r="AM33" s="531">
        <f t="shared" si="1"/>
        <v>0</v>
      </c>
      <c r="AN33" s="2697"/>
    </row>
    <row r="34" spans="1:40" ht="17.25" customHeight="1">
      <c r="A34" s="2671"/>
      <c r="B34" s="2718"/>
      <c r="C34" s="263" t="s">
        <v>1222</v>
      </c>
      <c r="D34" s="263" t="s">
        <v>815</v>
      </c>
      <c r="E34" s="243" t="s">
        <v>716</v>
      </c>
      <c r="F34" s="329">
        <v>22000</v>
      </c>
      <c r="G34" s="499"/>
      <c r="H34" s="502"/>
      <c r="I34" s="502"/>
      <c r="J34" s="502"/>
      <c r="K34" s="502"/>
      <c r="L34" s="502"/>
      <c r="M34" s="502"/>
      <c r="N34" s="502"/>
      <c r="O34" s="502"/>
      <c r="P34" s="502"/>
      <c r="Q34" s="502"/>
      <c r="R34" s="502"/>
      <c r="S34" s="502"/>
      <c r="T34" s="502"/>
      <c r="U34" s="502"/>
      <c r="V34" s="502"/>
      <c r="W34" s="502"/>
      <c r="X34" s="502"/>
      <c r="Y34" s="502"/>
      <c r="Z34" s="502"/>
      <c r="AA34" s="502"/>
      <c r="AB34" s="502"/>
      <c r="AC34" s="502"/>
      <c r="AD34" s="502"/>
      <c r="AE34" s="502"/>
      <c r="AF34" s="502"/>
      <c r="AG34" s="502"/>
      <c r="AH34" s="502"/>
      <c r="AI34" s="502"/>
      <c r="AJ34" s="502"/>
      <c r="AK34" s="517"/>
      <c r="AL34" s="1157">
        <f t="shared" ref="AL34" si="8">SUM(G34:AK34)</f>
        <v>0</v>
      </c>
      <c r="AM34" s="531">
        <f t="shared" ref="AM34" si="9">F34*AL34</f>
        <v>0</v>
      </c>
      <c r="AN34" s="2697"/>
    </row>
    <row r="35" spans="1:40" ht="17.25" customHeight="1" thickBot="1">
      <c r="A35" s="2671"/>
      <c r="B35" s="2728"/>
      <c r="C35" s="270" t="s">
        <v>1479</v>
      </c>
      <c r="D35" s="270" t="s">
        <v>815</v>
      </c>
      <c r="E35" s="248" t="s">
        <v>716</v>
      </c>
      <c r="F35" s="330">
        <v>23000</v>
      </c>
      <c r="G35" s="503"/>
      <c r="H35" s="504"/>
      <c r="I35" s="504"/>
      <c r="J35" s="504"/>
      <c r="K35" s="504"/>
      <c r="L35" s="504"/>
      <c r="M35" s="504"/>
      <c r="N35" s="504"/>
      <c r="O35" s="504"/>
      <c r="P35" s="504"/>
      <c r="Q35" s="504"/>
      <c r="R35" s="504"/>
      <c r="S35" s="504"/>
      <c r="T35" s="504"/>
      <c r="U35" s="504"/>
      <c r="V35" s="504"/>
      <c r="W35" s="504"/>
      <c r="X35" s="504"/>
      <c r="Y35" s="504"/>
      <c r="Z35" s="504"/>
      <c r="AA35" s="504"/>
      <c r="AB35" s="504"/>
      <c r="AC35" s="504"/>
      <c r="AD35" s="504"/>
      <c r="AE35" s="504"/>
      <c r="AF35" s="504"/>
      <c r="AG35" s="504"/>
      <c r="AH35" s="504"/>
      <c r="AI35" s="504"/>
      <c r="AJ35" s="504"/>
      <c r="AK35" s="513"/>
      <c r="AL35" s="1235">
        <f t="shared" si="0"/>
        <v>0</v>
      </c>
      <c r="AM35" s="570">
        <f t="shared" si="1"/>
        <v>0</v>
      </c>
      <c r="AN35" s="2698"/>
    </row>
    <row r="36" spans="1:40" ht="17.25" customHeight="1" thickBot="1">
      <c r="A36" s="2671"/>
      <c r="B36" s="2719" t="s">
        <v>1303</v>
      </c>
      <c r="C36" s="267" t="s">
        <v>1304</v>
      </c>
      <c r="D36" s="267"/>
      <c r="E36" s="241" t="s">
        <v>47</v>
      </c>
      <c r="F36" s="328">
        <v>17</v>
      </c>
      <c r="G36" s="511"/>
      <c r="H36" s="501"/>
      <c r="I36" s="501"/>
      <c r="J36" s="501"/>
      <c r="K36" s="501"/>
      <c r="L36" s="501"/>
      <c r="M36" s="501"/>
      <c r="N36" s="501"/>
      <c r="O36" s="501"/>
      <c r="P36" s="501"/>
      <c r="Q36" s="501"/>
      <c r="R36" s="501"/>
      <c r="S36" s="501"/>
      <c r="T36" s="501"/>
      <c r="U36" s="501"/>
      <c r="V36" s="501"/>
      <c r="W36" s="501"/>
      <c r="X36" s="501"/>
      <c r="Y36" s="501"/>
      <c r="Z36" s="501"/>
      <c r="AA36" s="501"/>
      <c r="AB36" s="501"/>
      <c r="AC36" s="501"/>
      <c r="AD36" s="501"/>
      <c r="AE36" s="501"/>
      <c r="AF36" s="501"/>
      <c r="AG36" s="501"/>
      <c r="AH36" s="501"/>
      <c r="AI36" s="501"/>
      <c r="AJ36" s="501"/>
      <c r="AK36" s="501"/>
      <c r="AL36" s="1235">
        <f t="shared" si="0"/>
        <v>0</v>
      </c>
      <c r="AM36" s="575">
        <f>F36*AL36</f>
        <v>0</v>
      </c>
      <c r="AN36" s="2696">
        <f>SUM(AM36:AM38)</f>
        <v>0</v>
      </c>
    </row>
    <row r="37" spans="1:40" ht="17.25" customHeight="1">
      <c r="A37" s="2671"/>
      <c r="B37" s="2731"/>
      <c r="C37" s="263" t="s">
        <v>1304</v>
      </c>
      <c r="D37" s="263"/>
      <c r="E37" s="243" t="s">
        <v>47</v>
      </c>
      <c r="F37" s="329"/>
      <c r="G37" s="499"/>
      <c r="H37" s="502"/>
      <c r="I37" s="502"/>
      <c r="J37" s="502"/>
      <c r="K37" s="502"/>
      <c r="L37" s="502"/>
      <c r="M37" s="502"/>
      <c r="N37" s="502"/>
      <c r="O37" s="502"/>
      <c r="P37" s="502"/>
      <c r="Q37" s="502"/>
      <c r="R37" s="502"/>
      <c r="S37" s="502"/>
      <c r="T37" s="502"/>
      <c r="U37" s="502"/>
      <c r="V37" s="502"/>
      <c r="W37" s="502"/>
      <c r="X37" s="502"/>
      <c r="Y37" s="502"/>
      <c r="Z37" s="502"/>
      <c r="AA37" s="502"/>
      <c r="AB37" s="502"/>
      <c r="AC37" s="502"/>
      <c r="AD37" s="502"/>
      <c r="AE37" s="502"/>
      <c r="AF37" s="502"/>
      <c r="AG37" s="502"/>
      <c r="AH37" s="502"/>
      <c r="AI37" s="502"/>
      <c r="AJ37" s="502"/>
      <c r="AK37" s="502"/>
      <c r="AL37" s="324">
        <f t="shared" si="0"/>
        <v>0</v>
      </c>
      <c r="AM37" s="531">
        <f t="shared" si="1"/>
        <v>0</v>
      </c>
      <c r="AN37" s="2697"/>
    </row>
    <row r="38" spans="1:40" ht="17.25" customHeight="1" thickBot="1">
      <c r="A38" s="2672"/>
      <c r="B38" s="2732"/>
      <c r="C38" s="524" t="s">
        <v>1304</v>
      </c>
      <c r="D38" s="524"/>
      <c r="E38" s="283" t="s">
        <v>47</v>
      </c>
      <c r="F38" s="525"/>
      <c r="G38" s="509"/>
      <c r="H38" s="510"/>
      <c r="I38" s="510"/>
      <c r="J38" s="510"/>
      <c r="K38" s="510"/>
      <c r="L38" s="510"/>
      <c r="M38" s="510"/>
      <c r="N38" s="510"/>
      <c r="O38" s="510"/>
      <c r="P38" s="510"/>
      <c r="Q38" s="510"/>
      <c r="R38" s="510"/>
      <c r="S38" s="510"/>
      <c r="T38" s="510"/>
      <c r="U38" s="510"/>
      <c r="V38" s="510"/>
      <c r="W38" s="510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510"/>
      <c r="AL38" s="528">
        <f t="shared" si="0"/>
        <v>0</v>
      </c>
      <c r="AM38" s="1233">
        <f t="shared" si="1"/>
        <v>0</v>
      </c>
      <c r="AN38" s="2698"/>
    </row>
    <row r="39" spans="1:40" ht="17.25" customHeight="1" thickBot="1">
      <c r="A39" s="2676" t="s">
        <v>2011</v>
      </c>
      <c r="B39" s="1932" t="s">
        <v>641</v>
      </c>
      <c r="C39" s="326" t="s">
        <v>642</v>
      </c>
      <c r="D39" s="326" t="s">
        <v>643</v>
      </c>
      <c r="E39" s="257" t="s">
        <v>47</v>
      </c>
      <c r="F39" s="327">
        <v>300000</v>
      </c>
      <c r="G39" s="505"/>
      <c r="H39" s="506"/>
      <c r="I39" s="506"/>
      <c r="J39" s="506"/>
      <c r="K39" s="506"/>
      <c r="L39" s="506"/>
      <c r="M39" s="506"/>
      <c r="N39" s="506"/>
      <c r="O39" s="506"/>
      <c r="P39" s="506"/>
      <c r="Q39" s="506"/>
      <c r="R39" s="506"/>
      <c r="S39" s="506"/>
      <c r="T39" s="506"/>
      <c r="U39" s="506"/>
      <c r="V39" s="506"/>
      <c r="W39" s="506"/>
      <c r="X39" s="506"/>
      <c r="Y39" s="506"/>
      <c r="Z39" s="506"/>
      <c r="AA39" s="506"/>
      <c r="AB39" s="506"/>
      <c r="AC39" s="506"/>
      <c r="AD39" s="506"/>
      <c r="AE39" s="506"/>
      <c r="AF39" s="506"/>
      <c r="AG39" s="506"/>
      <c r="AH39" s="506"/>
      <c r="AI39" s="506"/>
      <c r="AJ39" s="506"/>
      <c r="AK39" s="506"/>
      <c r="AL39" s="1778">
        <f t="shared" si="0"/>
        <v>0</v>
      </c>
      <c r="AM39" s="1779">
        <f t="shared" si="1"/>
        <v>0</v>
      </c>
      <c r="AN39" s="1780">
        <f>AM39</f>
        <v>0</v>
      </c>
    </row>
    <row r="40" spans="1:40" ht="17.25" customHeight="1">
      <c r="A40" s="2677"/>
      <c r="B40" s="2713" t="s">
        <v>601</v>
      </c>
      <c r="C40" s="529" t="s">
        <v>508</v>
      </c>
      <c r="D40" s="529"/>
      <c r="E40" s="254" t="s">
        <v>509</v>
      </c>
      <c r="F40" s="1840">
        <v>495000</v>
      </c>
      <c r="G40" s="514"/>
      <c r="H40" s="515"/>
      <c r="I40" s="515"/>
      <c r="J40" s="515"/>
      <c r="K40" s="515"/>
      <c r="L40" s="515"/>
      <c r="M40" s="515"/>
      <c r="N40" s="515"/>
      <c r="O40" s="515"/>
      <c r="P40" s="515"/>
      <c r="Q40" s="515"/>
      <c r="R40" s="515"/>
      <c r="S40" s="515"/>
      <c r="T40" s="515"/>
      <c r="U40" s="515"/>
      <c r="V40" s="515"/>
      <c r="W40" s="515"/>
      <c r="X40" s="515"/>
      <c r="Y40" s="515"/>
      <c r="Z40" s="515"/>
      <c r="AA40" s="515"/>
      <c r="AB40" s="515"/>
      <c r="AC40" s="515"/>
      <c r="AD40" s="515"/>
      <c r="AE40" s="515"/>
      <c r="AF40" s="515"/>
      <c r="AG40" s="515"/>
      <c r="AH40" s="515"/>
      <c r="AI40" s="515"/>
      <c r="AJ40" s="515"/>
      <c r="AK40" s="515"/>
      <c r="AL40" s="548">
        <f t="shared" ref="AL40:AL56" si="10">SUM(G40:AK40)</f>
        <v>0</v>
      </c>
      <c r="AM40" s="1584">
        <f t="shared" ref="AM40:AM48" si="11">F40*AL40</f>
        <v>0</v>
      </c>
      <c r="AN40" s="1781"/>
    </row>
    <row r="41" spans="1:40" ht="17.25" customHeight="1">
      <c r="A41" s="2677"/>
      <c r="B41" s="2692"/>
      <c r="C41" s="263" t="s">
        <v>719</v>
      </c>
      <c r="D41" s="263" t="s">
        <v>721</v>
      </c>
      <c r="E41" s="245" t="s">
        <v>720</v>
      </c>
      <c r="F41" s="329">
        <v>44000</v>
      </c>
      <c r="G41" s="499"/>
      <c r="H41" s="502"/>
      <c r="I41" s="502"/>
      <c r="J41" s="502"/>
      <c r="K41" s="502"/>
      <c r="L41" s="502"/>
      <c r="M41" s="502"/>
      <c r="N41" s="502"/>
      <c r="O41" s="502"/>
      <c r="P41" s="502"/>
      <c r="Q41" s="502"/>
      <c r="R41" s="502"/>
      <c r="S41" s="502"/>
      <c r="T41" s="502"/>
      <c r="U41" s="502"/>
      <c r="V41" s="502"/>
      <c r="W41" s="502"/>
      <c r="X41" s="502"/>
      <c r="Y41" s="502"/>
      <c r="Z41" s="502"/>
      <c r="AA41" s="502"/>
      <c r="AB41" s="502"/>
      <c r="AC41" s="502"/>
      <c r="AD41" s="502"/>
      <c r="AE41" s="502"/>
      <c r="AF41" s="502"/>
      <c r="AG41" s="502"/>
      <c r="AH41" s="502"/>
      <c r="AI41" s="502"/>
      <c r="AJ41" s="502"/>
      <c r="AK41" s="502"/>
      <c r="AL41" s="324">
        <f t="shared" si="10"/>
        <v>0</v>
      </c>
      <c r="AM41" s="531">
        <f t="shared" si="11"/>
        <v>0</v>
      </c>
      <c r="AN41" s="1782"/>
    </row>
    <row r="42" spans="1:40" ht="17.25" customHeight="1">
      <c r="A42" s="2677"/>
      <c r="B42" s="2692"/>
      <c r="C42" s="263" t="s">
        <v>722</v>
      </c>
      <c r="D42" s="263" t="s">
        <v>723</v>
      </c>
      <c r="E42" s="245"/>
      <c r="F42" s="329">
        <v>96800</v>
      </c>
      <c r="G42" s="499"/>
      <c r="H42" s="502"/>
      <c r="I42" s="502"/>
      <c r="J42" s="502"/>
      <c r="K42" s="502"/>
      <c r="L42" s="502"/>
      <c r="M42" s="502"/>
      <c r="N42" s="502"/>
      <c r="O42" s="502"/>
      <c r="P42" s="502"/>
      <c r="Q42" s="502"/>
      <c r="R42" s="502"/>
      <c r="S42" s="502"/>
      <c r="T42" s="502"/>
      <c r="U42" s="502"/>
      <c r="V42" s="502"/>
      <c r="W42" s="502"/>
      <c r="X42" s="502"/>
      <c r="Y42" s="502"/>
      <c r="Z42" s="502"/>
      <c r="AA42" s="502"/>
      <c r="AB42" s="502"/>
      <c r="AC42" s="502"/>
      <c r="AD42" s="502"/>
      <c r="AE42" s="502"/>
      <c r="AF42" s="502"/>
      <c r="AG42" s="502"/>
      <c r="AH42" s="502"/>
      <c r="AI42" s="502"/>
      <c r="AJ42" s="502"/>
      <c r="AK42" s="502"/>
      <c r="AL42" s="324">
        <f t="shared" si="10"/>
        <v>0</v>
      </c>
      <c r="AM42" s="531">
        <f t="shared" si="11"/>
        <v>0</v>
      </c>
      <c r="AN42" s="1782"/>
    </row>
    <row r="43" spans="1:40" ht="17.25" customHeight="1">
      <c r="A43" s="2677"/>
      <c r="B43" s="2692"/>
      <c r="C43" s="1805" t="s">
        <v>603</v>
      </c>
      <c r="D43" s="263" t="s">
        <v>602</v>
      </c>
      <c r="E43" s="245" t="s">
        <v>604</v>
      </c>
      <c r="F43" s="329">
        <v>320000</v>
      </c>
      <c r="G43" s="499"/>
      <c r="H43" s="502"/>
      <c r="I43" s="502"/>
      <c r="J43" s="502"/>
      <c r="K43" s="502"/>
      <c r="L43" s="502"/>
      <c r="M43" s="502"/>
      <c r="N43" s="502"/>
      <c r="O43" s="502"/>
      <c r="P43" s="502"/>
      <c r="Q43" s="502"/>
      <c r="R43" s="502"/>
      <c r="S43" s="502"/>
      <c r="T43" s="502"/>
      <c r="U43" s="502"/>
      <c r="V43" s="502"/>
      <c r="W43" s="502"/>
      <c r="X43" s="502"/>
      <c r="Y43" s="502"/>
      <c r="Z43" s="502"/>
      <c r="AA43" s="502"/>
      <c r="AB43" s="502"/>
      <c r="AC43" s="502"/>
      <c r="AD43" s="502"/>
      <c r="AE43" s="502"/>
      <c r="AF43" s="502"/>
      <c r="AG43" s="502"/>
      <c r="AH43" s="502"/>
      <c r="AI43" s="502"/>
      <c r="AJ43" s="502"/>
      <c r="AK43" s="502"/>
      <c r="AL43" s="324">
        <f t="shared" si="10"/>
        <v>0</v>
      </c>
      <c r="AM43" s="531">
        <f t="shared" si="11"/>
        <v>0</v>
      </c>
      <c r="AN43" s="1782"/>
    </row>
    <row r="44" spans="1:40" ht="17.25" customHeight="1" thickBot="1">
      <c r="A44" s="2677"/>
      <c r="B44" s="2693"/>
      <c r="C44" s="270" t="s">
        <v>585</v>
      </c>
      <c r="D44" s="270" t="s">
        <v>586</v>
      </c>
      <c r="E44" s="246" t="s">
        <v>587</v>
      </c>
      <c r="F44" s="330">
        <v>88000</v>
      </c>
      <c r="G44" s="503"/>
      <c r="H44" s="504"/>
      <c r="I44" s="504"/>
      <c r="J44" s="504"/>
      <c r="K44" s="504"/>
      <c r="L44" s="504"/>
      <c r="M44" s="504"/>
      <c r="N44" s="504"/>
      <c r="O44" s="504"/>
      <c r="P44" s="504"/>
      <c r="Q44" s="504"/>
      <c r="R44" s="504"/>
      <c r="S44" s="504"/>
      <c r="T44" s="504"/>
      <c r="U44" s="504"/>
      <c r="V44" s="504"/>
      <c r="W44" s="504"/>
      <c r="X44" s="504"/>
      <c r="Y44" s="504"/>
      <c r="Z44" s="504"/>
      <c r="AA44" s="504"/>
      <c r="AB44" s="504"/>
      <c r="AC44" s="504"/>
      <c r="AD44" s="504"/>
      <c r="AE44" s="504"/>
      <c r="AF44" s="504"/>
      <c r="AG44" s="504"/>
      <c r="AH44" s="504"/>
      <c r="AI44" s="504"/>
      <c r="AJ44" s="504"/>
      <c r="AK44" s="504"/>
      <c r="AL44" s="325">
        <f t="shared" si="10"/>
        <v>0</v>
      </c>
      <c r="AM44" s="570">
        <f t="shared" si="11"/>
        <v>0</v>
      </c>
      <c r="AN44" s="1783"/>
    </row>
    <row r="45" spans="1:40" ht="17.25" customHeight="1">
      <c r="A45" s="2677"/>
      <c r="B45" s="2717" t="s">
        <v>1879</v>
      </c>
      <c r="C45" s="267" t="s">
        <v>580</v>
      </c>
      <c r="D45" s="1811" t="s">
        <v>581</v>
      </c>
      <c r="E45" s="538" t="s">
        <v>47</v>
      </c>
      <c r="F45" s="328">
        <v>980000</v>
      </c>
      <c r="G45" s="511"/>
      <c r="H45" s="501"/>
      <c r="I45" s="501"/>
      <c r="J45" s="501"/>
      <c r="K45" s="501"/>
      <c r="L45" s="501"/>
      <c r="M45" s="501"/>
      <c r="N45" s="501"/>
      <c r="O45" s="501"/>
      <c r="P45" s="501"/>
      <c r="Q45" s="501"/>
      <c r="R45" s="501"/>
      <c r="S45" s="501"/>
      <c r="T45" s="501"/>
      <c r="U45" s="501"/>
      <c r="V45" s="501"/>
      <c r="W45" s="501"/>
      <c r="X45" s="501"/>
      <c r="Y45" s="501"/>
      <c r="Z45" s="501"/>
      <c r="AA45" s="501"/>
      <c r="AB45" s="501"/>
      <c r="AC45" s="501"/>
      <c r="AD45" s="501"/>
      <c r="AE45" s="501"/>
      <c r="AF45" s="501"/>
      <c r="AG45" s="501"/>
      <c r="AH45" s="501"/>
      <c r="AI45" s="501"/>
      <c r="AJ45" s="501"/>
      <c r="AK45" s="501"/>
      <c r="AL45" s="914">
        <f t="shared" si="10"/>
        <v>0</v>
      </c>
      <c r="AM45" s="1394">
        <f t="shared" si="11"/>
        <v>0</v>
      </c>
      <c r="AN45" s="2696">
        <f>SUM(AM45:AM48)</f>
        <v>800000</v>
      </c>
    </row>
    <row r="46" spans="1:40" ht="17.25" customHeight="1">
      <c r="A46" s="2677"/>
      <c r="B46" s="2718"/>
      <c r="C46" s="524" t="s">
        <v>580</v>
      </c>
      <c r="D46" s="606" t="s">
        <v>583</v>
      </c>
      <c r="E46" s="283" t="s">
        <v>47</v>
      </c>
      <c r="F46" s="525">
        <v>640000</v>
      </c>
      <c r="G46" s="509"/>
      <c r="H46" s="510"/>
      <c r="I46" s="510"/>
      <c r="J46" s="510"/>
      <c r="K46" s="510"/>
      <c r="L46" s="510"/>
      <c r="M46" s="510"/>
      <c r="N46" s="510"/>
      <c r="O46" s="510"/>
      <c r="P46" s="510"/>
      <c r="Q46" s="510"/>
      <c r="R46" s="510"/>
      <c r="S46" s="510"/>
      <c r="T46" s="510"/>
      <c r="U46" s="510"/>
      <c r="V46" s="510"/>
      <c r="W46" s="510"/>
      <c r="X46" s="510"/>
      <c r="Y46" s="510"/>
      <c r="Z46" s="510"/>
      <c r="AA46" s="510"/>
      <c r="AB46" s="510"/>
      <c r="AC46" s="510"/>
      <c r="AD46" s="510"/>
      <c r="AE46" s="510"/>
      <c r="AF46" s="510"/>
      <c r="AG46" s="510"/>
      <c r="AH46" s="510"/>
      <c r="AI46" s="510"/>
      <c r="AJ46" s="510"/>
      <c r="AK46" s="510"/>
      <c r="AL46" s="528">
        <f t="shared" si="10"/>
        <v>0</v>
      </c>
      <c r="AM46" s="1233">
        <f t="shared" si="11"/>
        <v>0</v>
      </c>
      <c r="AN46" s="2697"/>
    </row>
    <row r="47" spans="1:40" ht="17.25" customHeight="1">
      <c r="A47" s="2677"/>
      <c r="B47" s="2718"/>
      <c r="C47" s="1440" t="s">
        <v>598</v>
      </c>
      <c r="D47" s="1812" t="s">
        <v>1534</v>
      </c>
      <c r="E47" s="283" t="s">
        <v>582</v>
      </c>
      <c r="F47" s="525">
        <v>80000</v>
      </c>
      <c r="G47" s="509"/>
      <c r="H47" s="510"/>
      <c r="I47" s="510">
        <v>10</v>
      </c>
      <c r="J47" s="510"/>
      <c r="K47" s="510"/>
      <c r="L47" s="510"/>
      <c r="M47" s="510"/>
      <c r="N47" s="510"/>
      <c r="O47" s="510"/>
      <c r="P47" s="510"/>
      <c r="Q47" s="510"/>
      <c r="R47" s="510"/>
      <c r="S47" s="510"/>
      <c r="T47" s="510"/>
      <c r="U47" s="510"/>
      <c r="V47" s="510"/>
      <c r="W47" s="510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510"/>
      <c r="AL47" s="528">
        <f t="shared" si="10"/>
        <v>10</v>
      </c>
      <c r="AM47" s="1233">
        <f t="shared" si="11"/>
        <v>800000</v>
      </c>
      <c r="AN47" s="2697"/>
    </row>
    <row r="48" spans="1:40" ht="17.25" customHeight="1" thickBot="1">
      <c r="A48" s="2677"/>
      <c r="B48" s="2718"/>
      <c r="C48" s="1784" t="s">
        <v>584</v>
      </c>
      <c r="D48" s="1813" t="s">
        <v>1533</v>
      </c>
      <c r="E48" s="283" t="s">
        <v>582</v>
      </c>
      <c r="F48" s="525">
        <v>65000</v>
      </c>
      <c r="G48" s="509"/>
      <c r="H48" s="510"/>
      <c r="I48" s="510"/>
      <c r="J48" s="510"/>
      <c r="K48" s="510"/>
      <c r="L48" s="510"/>
      <c r="M48" s="510"/>
      <c r="N48" s="510"/>
      <c r="O48" s="510"/>
      <c r="P48" s="510"/>
      <c r="Q48" s="510"/>
      <c r="R48" s="510"/>
      <c r="S48" s="510"/>
      <c r="T48" s="510"/>
      <c r="U48" s="510"/>
      <c r="V48" s="510"/>
      <c r="W48" s="510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28">
        <f t="shared" si="10"/>
        <v>0</v>
      </c>
      <c r="AM48" s="1233">
        <f t="shared" si="11"/>
        <v>0</v>
      </c>
      <c r="AN48" s="2697"/>
    </row>
    <row r="49" spans="1:44" ht="17.25" customHeight="1">
      <c r="A49" s="2677"/>
      <c r="B49" s="2691" t="s">
        <v>927</v>
      </c>
      <c r="C49" s="267" t="s">
        <v>928</v>
      </c>
      <c r="D49" s="1811"/>
      <c r="E49" s="239" t="s">
        <v>460</v>
      </c>
      <c r="F49" s="1702">
        <v>6205</v>
      </c>
      <c r="G49" s="511"/>
      <c r="H49" s="501"/>
      <c r="I49" s="501"/>
      <c r="J49" s="501"/>
      <c r="K49" s="501"/>
      <c r="L49" s="501"/>
      <c r="M49" s="501"/>
      <c r="N49" s="501"/>
      <c r="O49" s="501"/>
      <c r="P49" s="501"/>
      <c r="Q49" s="501"/>
      <c r="R49" s="501"/>
      <c r="S49" s="501"/>
      <c r="T49" s="501"/>
      <c r="U49" s="501"/>
      <c r="V49" s="501"/>
      <c r="W49" s="501"/>
      <c r="X49" s="501"/>
      <c r="Y49" s="501"/>
      <c r="Z49" s="501"/>
      <c r="AA49" s="501"/>
      <c r="AB49" s="501"/>
      <c r="AC49" s="501"/>
      <c r="AD49" s="501"/>
      <c r="AE49" s="501"/>
      <c r="AF49" s="501"/>
      <c r="AG49" s="501"/>
      <c r="AH49" s="501"/>
      <c r="AI49" s="501"/>
      <c r="AJ49" s="501"/>
      <c r="AK49" s="501"/>
      <c r="AL49" s="323">
        <f t="shared" si="10"/>
        <v>0</v>
      </c>
      <c r="AM49" s="1786">
        <f>AL49*F49</f>
        <v>0</v>
      </c>
      <c r="AN49" s="2699">
        <f>SUM(AM49:AM51)</f>
        <v>0</v>
      </c>
    </row>
    <row r="50" spans="1:44" ht="17.25" customHeight="1">
      <c r="A50" s="2677"/>
      <c r="B50" s="2692"/>
      <c r="C50" s="263" t="s">
        <v>1347</v>
      </c>
      <c r="D50" s="500"/>
      <c r="E50" s="245" t="s">
        <v>1045</v>
      </c>
      <c r="F50" s="530">
        <v>31630</v>
      </c>
      <c r="G50" s="499"/>
      <c r="H50" s="502"/>
      <c r="I50" s="502"/>
      <c r="J50" s="502"/>
      <c r="K50" s="502"/>
      <c r="L50" s="502"/>
      <c r="M50" s="502"/>
      <c r="N50" s="502"/>
      <c r="O50" s="502"/>
      <c r="P50" s="502"/>
      <c r="Q50" s="502"/>
      <c r="R50" s="502"/>
      <c r="S50" s="502"/>
      <c r="T50" s="502"/>
      <c r="U50" s="502"/>
      <c r="V50" s="502"/>
      <c r="W50" s="502"/>
      <c r="X50" s="502"/>
      <c r="Y50" s="502"/>
      <c r="Z50" s="502"/>
      <c r="AA50" s="502"/>
      <c r="AB50" s="502"/>
      <c r="AC50" s="502"/>
      <c r="AD50" s="502"/>
      <c r="AE50" s="502"/>
      <c r="AF50" s="502"/>
      <c r="AG50" s="502"/>
      <c r="AH50" s="502"/>
      <c r="AI50" s="502"/>
      <c r="AJ50" s="502"/>
      <c r="AK50" s="502"/>
      <c r="AL50" s="324">
        <f t="shared" si="10"/>
        <v>0</v>
      </c>
      <c r="AM50" s="1785">
        <f>AL50*F50</f>
        <v>0</v>
      </c>
      <c r="AN50" s="2700"/>
    </row>
    <row r="51" spans="1:44" ht="17.25" customHeight="1" thickBot="1">
      <c r="A51" s="2677"/>
      <c r="B51" s="2693"/>
      <c r="C51" s="270" t="s">
        <v>1506</v>
      </c>
      <c r="D51" s="581"/>
      <c r="E51" s="246"/>
      <c r="F51" s="1710"/>
      <c r="G51" s="503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04"/>
      <c r="X51" s="504"/>
      <c r="Y51" s="504"/>
      <c r="Z51" s="504"/>
      <c r="AA51" s="504"/>
      <c r="AB51" s="504"/>
      <c r="AC51" s="504"/>
      <c r="AD51" s="504"/>
      <c r="AE51" s="504"/>
      <c r="AF51" s="504"/>
      <c r="AG51" s="504"/>
      <c r="AH51" s="504"/>
      <c r="AI51" s="504"/>
      <c r="AJ51" s="504"/>
      <c r="AK51" s="504"/>
      <c r="AL51" s="325">
        <f t="shared" si="10"/>
        <v>0</v>
      </c>
      <c r="AM51" s="1787">
        <f>F51*AL51</f>
        <v>0</v>
      </c>
      <c r="AN51" s="2701"/>
    </row>
    <row r="52" spans="1:44" ht="17.25" customHeight="1">
      <c r="A52" s="2677"/>
      <c r="B52" s="2708" t="s">
        <v>1046</v>
      </c>
      <c r="C52" s="529" t="s">
        <v>1047</v>
      </c>
      <c r="D52" s="2024" t="s">
        <v>1545</v>
      </c>
      <c r="E52" s="254" t="s">
        <v>47</v>
      </c>
      <c r="F52" s="566">
        <v>945400</v>
      </c>
      <c r="G52" s="514"/>
      <c r="H52" s="515"/>
      <c r="I52" s="515"/>
      <c r="J52" s="515"/>
      <c r="K52" s="515"/>
      <c r="L52" s="515">
        <v>2</v>
      </c>
      <c r="M52" s="515"/>
      <c r="N52" s="515"/>
      <c r="O52" s="515"/>
      <c r="P52" s="515"/>
      <c r="Q52" s="515"/>
      <c r="R52" s="515"/>
      <c r="S52" s="515"/>
      <c r="T52" s="515"/>
      <c r="U52" s="515"/>
      <c r="V52" s="515"/>
      <c r="W52" s="515"/>
      <c r="X52" s="515"/>
      <c r="Y52" s="515"/>
      <c r="Z52" s="515"/>
      <c r="AA52" s="515"/>
      <c r="AB52" s="515"/>
      <c r="AC52" s="515"/>
      <c r="AD52" s="515"/>
      <c r="AE52" s="515"/>
      <c r="AF52" s="515"/>
      <c r="AG52" s="515"/>
      <c r="AH52" s="515"/>
      <c r="AI52" s="515"/>
      <c r="AJ52" s="515"/>
      <c r="AK52" s="515"/>
      <c r="AL52" s="548">
        <f t="shared" si="10"/>
        <v>2</v>
      </c>
      <c r="AM52" s="1584">
        <f>F52*AL52</f>
        <v>1890800</v>
      </c>
      <c r="AN52" s="2739">
        <f>SUM(AM52:AM53)</f>
        <v>2610800</v>
      </c>
      <c r="AO52"/>
    </row>
    <row r="53" spans="1:44" ht="17.25" customHeight="1" thickBot="1">
      <c r="A53" s="2677"/>
      <c r="B53" s="2709"/>
      <c r="C53" s="270" t="s">
        <v>1541</v>
      </c>
      <c r="D53" s="581" t="s">
        <v>2040</v>
      </c>
      <c r="E53" s="246" t="s">
        <v>47</v>
      </c>
      <c r="F53" s="330">
        <v>30000</v>
      </c>
      <c r="G53" s="509"/>
      <c r="H53" s="510"/>
      <c r="I53" s="510"/>
      <c r="J53" s="510"/>
      <c r="K53" s="510"/>
      <c r="L53" s="510">
        <v>12</v>
      </c>
      <c r="M53" s="510"/>
      <c r="N53" s="510"/>
      <c r="O53" s="510"/>
      <c r="P53" s="510"/>
      <c r="Q53" s="510"/>
      <c r="R53" s="510"/>
      <c r="S53" s="510"/>
      <c r="T53" s="510">
        <v>12</v>
      </c>
      <c r="U53" s="510"/>
      <c r="V53" s="510"/>
      <c r="W53" s="510"/>
      <c r="X53" s="510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28">
        <f t="shared" si="10"/>
        <v>24</v>
      </c>
      <c r="AM53" s="1233">
        <f>F53*AL53</f>
        <v>720000</v>
      </c>
      <c r="AN53" s="2740"/>
      <c r="AO53"/>
    </row>
    <row r="54" spans="1:44" ht="17.25" customHeight="1" thickBot="1">
      <c r="A54" s="2677"/>
      <c r="B54" s="1935" t="s">
        <v>748</v>
      </c>
      <c r="C54" s="522" t="s">
        <v>749</v>
      </c>
      <c r="D54" s="1815" t="s">
        <v>1284</v>
      </c>
      <c r="E54" s="249" t="s">
        <v>750</v>
      </c>
      <c r="F54" s="523">
        <v>185020</v>
      </c>
      <c r="G54" s="1883"/>
      <c r="H54" s="506"/>
      <c r="I54" s="506"/>
      <c r="J54" s="506"/>
      <c r="K54" s="506"/>
      <c r="L54" s="506"/>
      <c r="M54" s="506"/>
      <c r="N54" s="506"/>
      <c r="O54" s="506"/>
      <c r="P54" s="506"/>
      <c r="Q54" s="506"/>
      <c r="R54" s="506"/>
      <c r="S54" s="506"/>
      <c r="T54" s="506">
        <v>1</v>
      </c>
      <c r="U54" s="506"/>
      <c r="V54" s="506"/>
      <c r="W54" s="506"/>
      <c r="X54" s="506"/>
      <c r="Y54" s="506"/>
      <c r="Z54" s="506"/>
      <c r="AA54" s="506"/>
      <c r="AB54" s="506"/>
      <c r="AC54" s="506"/>
      <c r="AD54" s="506"/>
      <c r="AE54" s="1776"/>
      <c r="AF54" s="1577"/>
      <c r="AG54" s="506"/>
      <c r="AH54" s="506"/>
      <c r="AI54" s="506"/>
      <c r="AJ54" s="506"/>
      <c r="AK54" s="506"/>
      <c r="AL54" s="332">
        <f t="shared" si="10"/>
        <v>1</v>
      </c>
      <c r="AM54" s="1589"/>
      <c r="AN54" s="1582">
        <f>F54*AL54</f>
        <v>185020</v>
      </c>
      <c r="AO54" s="1751" t="s">
        <v>1846</v>
      </c>
      <c r="AP54" s="1751"/>
      <c r="AQ54" s="1751"/>
      <c r="AR54" s="1751"/>
    </row>
    <row r="55" spans="1:44" ht="17.25" customHeight="1" thickBot="1">
      <c r="A55" s="2677"/>
      <c r="B55" s="1794" t="s">
        <v>1498</v>
      </c>
      <c r="C55" s="326" t="s">
        <v>1496</v>
      </c>
      <c r="D55" s="1816" t="s">
        <v>930</v>
      </c>
      <c r="E55" s="331" t="s">
        <v>538</v>
      </c>
      <c r="F55" s="1795" t="s">
        <v>1497</v>
      </c>
      <c r="G55" s="545"/>
      <c r="H55" s="546"/>
      <c r="I55" s="546"/>
      <c r="J55" s="546"/>
      <c r="K55" s="546"/>
      <c r="L55" s="546"/>
      <c r="M55" s="546"/>
      <c r="N55" s="546"/>
      <c r="O55" s="546"/>
      <c r="P55" s="546"/>
      <c r="Q55" s="546"/>
      <c r="R55" s="546"/>
      <c r="S55" s="546"/>
      <c r="T55" s="546"/>
      <c r="U55" s="546"/>
      <c r="V55" s="546"/>
      <c r="W55" s="546"/>
      <c r="X55" s="546"/>
      <c r="Y55" s="546"/>
      <c r="Z55" s="546"/>
      <c r="AA55" s="546"/>
      <c r="AB55" s="546"/>
      <c r="AC55" s="546"/>
      <c r="AD55" s="546"/>
      <c r="AE55" s="546"/>
      <c r="AF55" s="546"/>
      <c r="AG55" s="546"/>
      <c r="AH55" s="546"/>
      <c r="AI55" s="546"/>
      <c r="AJ55" s="546"/>
      <c r="AK55" s="546"/>
      <c r="AL55" s="579">
        <f t="shared" si="10"/>
        <v>0</v>
      </c>
      <c r="AM55" s="1586"/>
      <c r="AN55" s="1777"/>
      <c r="AO55" t="s">
        <v>2278</v>
      </c>
    </row>
    <row r="56" spans="1:44" ht="17.25" customHeight="1" thickBot="1">
      <c r="A56" s="2679"/>
      <c r="B56" s="1793" t="s">
        <v>1750</v>
      </c>
      <c r="C56" s="544" t="s">
        <v>1751</v>
      </c>
      <c r="D56" s="1525" t="s">
        <v>1753</v>
      </c>
      <c r="E56" s="543" t="s">
        <v>1752</v>
      </c>
      <c r="F56" s="563">
        <v>35000</v>
      </c>
      <c r="G56" s="545"/>
      <c r="H56" s="546"/>
      <c r="I56" s="546"/>
      <c r="J56" s="546"/>
      <c r="K56" s="1001"/>
      <c r="L56" s="1001"/>
      <c r="M56" s="1001"/>
      <c r="N56" s="1001"/>
      <c r="O56" s="1001"/>
      <c r="P56" s="1001"/>
      <c r="Q56" s="1001"/>
      <c r="R56" s="1001"/>
      <c r="S56" s="1001"/>
      <c r="T56" s="1001"/>
      <c r="U56" s="1001"/>
      <c r="V56" s="1001"/>
      <c r="W56" s="1001"/>
      <c r="X56" s="1001"/>
      <c r="Y56" s="1001"/>
      <c r="Z56" s="546"/>
      <c r="AA56" s="546"/>
      <c r="AB56" s="546"/>
      <c r="AC56" s="546"/>
      <c r="AD56" s="546"/>
      <c r="AE56" s="546"/>
      <c r="AF56" s="546"/>
      <c r="AG56" s="546"/>
      <c r="AH56" s="546"/>
      <c r="AI56" s="546"/>
      <c r="AJ56" s="546"/>
      <c r="AK56" s="546"/>
      <c r="AL56" s="579">
        <f t="shared" si="10"/>
        <v>0</v>
      </c>
      <c r="AM56" s="1580">
        <f>F56*AL56</f>
        <v>0</v>
      </c>
      <c r="AN56" s="1788"/>
      <c r="AO56"/>
      <c r="AP56"/>
    </row>
    <row r="57" spans="1:44" ht="17.25" customHeight="1" thickBot="1">
      <c r="A57" s="2707" t="s">
        <v>2012</v>
      </c>
      <c r="B57" s="1936" t="s">
        <v>1851</v>
      </c>
      <c r="C57" s="1806" t="s">
        <v>608</v>
      </c>
      <c r="D57" s="1816" t="s">
        <v>1852</v>
      </c>
      <c r="E57" s="257" t="s">
        <v>47</v>
      </c>
      <c r="F57" s="1740">
        <v>80</v>
      </c>
      <c r="G57" s="505"/>
      <c r="H57" s="506"/>
      <c r="I57" s="506"/>
      <c r="J57" s="506"/>
      <c r="K57" s="506"/>
      <c r="L57" s="506">
        <v>3360</v>
      </c>
      <c r="M57" s="506"/>
      <c r="N57" s="506"/>
      <c r="O57" s="506"/>
      <c r="P57" s="506"/>
      <c r="Q57" s="506"/>
      <c r="R57" s="506"/>
      <c r="S57" s="506"/>
      <c r="T57" s="506"/>
      <c r="U57" s="506"/>
      <c r="V57" s="1985"/>
      <c r="W57" s="506"/>
      <c r="X57" s="506"/>
      <c r="Y57" s="506"/>
      <c r="Z57" s="506"/>
      <c r="AA57" s="506"/>
      <c r="AB57" s="506"/>
      <c r="AC57" s="506"/>
      <c r="AD57" s="506"/>
      <c r="AE57" s="506"/>
      <c r="AF57" s="506"/>
      <c r="AG57" s="506"/>
      <c r="AH57" s="506"/>
      <c r="AI57" s="506"/>
      <c r="AJ57" s="506"/>
      <c r="AK57" s="506"/>
      <c r="AL57" s="528">
        <f t="shared" si="0"/>
        <v>3360</v>
      </c>
      <c r="AM57" s="1585">
        <f t="shared" si="1"/>
        <v>268800</v>
      </c>
      <c r="AN57" s="1788"/>
    </row>
    <row r="58" spans="1:44" ht="17.25" customHeight="1" thickBot="1">
      <c r="A58" s="2707"/>
      <c r="B58" s="2726" t="s">
        <v>619</v>
      </c>
      <c r="C58" s="1807" t="s">
        <v>656</v>
      </c>
      <c r="D58" s="1811"/>
      <c r="E58" s="239" t="s">
        <v>657</v>
      </c>
      <c r="F58" s="1702"/>
      <c r="G58" s="511"/>
      <c r="H58" s="501"/>
      <c r="I58" s="501"/>
      <c r="J58" s="501"/>
      <c r="K58" s="501"/>
      <c r="L58" s="501"/>
      <c r="M58" s="501"/>
      <c r="N58" s="501"/>
      <c r="O58" s="501"/>
      <c r="P58" s="501"/>
      <c r="Q58" s="501"/>
      <c r="R58" s="501"/>
      <c r="S58" s="501"/>
      <c r="T58" s="501"/>
      <c r="U58" s="501"/>
      <c r="V58" s="501"/>
      <c r="W58" s="1579"/>
      <c r="X58" s="501"/>
      <c r="Y58" s="501"/>
      <c r="Z58" s="501"/>
      <c r="AA58" s="501"/>
      <c r="AB58" s="501"/>
      <c r="AC58" s="501"/>
      <c r="AD58" s="501"/>
      <c r="AE58" s="501"/>
      <c r="AF58" s="501"/>
      <c r="AG58" s="501"/>
      <c r="AH58" s="501"/>
      <c r="AI58" s="501"/>
      <c r="AJ58" s="501"/>
      <c r="AK58" s="501"/>
      <c r="AL58" s="288">
        <f>SUM(G58:AK58)</f>
        <v>0</v>
      </c>
      <c r="AM58" s="1185">
        <f>F58*AL58</f>
        <v>0</v>
      </c>
      <c r="AN58" s="2702"/>
    </row>
    <row r="59" spans="1:44" ht="17.25" customHeight="1" thickBot="1">
      <c r="A59" s="2707"/>
      <c r="B59" s="2727"/>
      <c r="C59" s="1808" t="s">
        <v>620</v>
      </c>
      <c r="D59" s="581"/>
      <c r="E59" s="246" t="s">
        <v>658</v>
      </c>
      <c r="F59" s="1710">
        <v>180</v>
      </c>
      <c r="G59" s="503"/>
      <c r="H59" s="504"/>
      <c r="I59" s="1457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4"/>
      <c r="AB59" s="504"/>
      <c r="AC59" s="504"/>
      <c r="AD59" s="504"/>
      <c r="AE59" s="504"/>
      <c r="AF59" s="504"/>
      <c r="AG59" s="504"/>
      <c r="AH59" s="504"/>
      <c r="AI59" s="504">
        <v>4080</v>
      </c>
      <c r="AJ59" s="504"/>
      <c r="AK59" s="504"/>
      <c r="AL59" s="1458">
        <f>SUM(G59:AK59)</f>
        <v>4080</v>
      </c>
      <c r="AM59" s="2112">
        <f>F59*AL59</f>
        <v>734400</v>
      </c>
      <c r="AN59" s="2703"/>
    </row>
    <row r="60" spans="1:44" ht="17.25" customHeight="1" thickBot="1">
      <c r="A60" s="2707"/>
      <c r="B60" s="1937" t="s">
        <v>621</v>
      </c>
      <c r="C60" s="1809" t="s">
        <v>622</v>
      </c>
      <c r="D60" s="1815"/>
      <c r="E60" s="249" t="s">
        <v>750</v>
      </c>
      <c r="F60" s="523">
        <v>100</v>
      </c>
      <c r="G60" s="507"/>
      <c r="H60" s="508"/>
      <c r="I60" s="508"/>
      <c r="J60" s="1154"/>
      <c r="K60" s="508"/>
      <c r="L60" s="1154"/>
      <c r="M60" s="508"/>
      <c r="N60" s="1154">
        <v>8860</v>
      </c>
      <c r="O60" s="508"/>
      <c r="P60" s="508"/>
      <c r="Q60" s="1154"/>
      <c r="R60" s="508"/>
      <c r="S60" s="1154"/>
      <c r="T60" s="568"/>
      <c r="U60" s="568"/>
      <c r="V60" s="508"/>
      <c r="W60" s="1154"/>
      <c r="X60" s="1154"/>
      <c r="Y60" s="508"/>
      <c r="Z60" s="1154"/>
      <c r="AA60" s="1154"/>
      <c r="AB60" s="1154"/>
      <c r="AC60" s="508"/>
      <c r="AD60" s="1154"/>
      <c r="AE60" s="508"/>
      <c r="AF60" s="508"/>
      <c r="AG60" s="1154"/>
      <c r="AH60" s="508"/>
      <c r="AI60" s="508"/>
      <c r="AJ60" s="508"/>
      <c r="AK60" s="508"/>
      <c r="AL60" s="597">
        <f>SUM(G60:AK60)</f>
        <v>8860</v>
      </c>
      <c r="AM60" s="1586">
        <f>F60*AL60</f>
        <v>886000</v>
      </c>
      <c r="AN60" s="1788"/>
    </row>
    <row r="61" spans="1:44" ht="17.25" customHeight="1" thickBot="1">
      <c r="A61" s="2707"/>
      <c r="B61" s="1938" t="s">
        <v>1539</v>
      </c>
      <c r="C61" s="1809" t="s">
        <v>1540</v>
      </c>
      <c r="D61" s="1815"/>
      <c r="E61" s="249" t="s">
        <v>750</v>
      </c>
      <c r="F61" s="523">
        <v>0</v>
      </c>
      <c r="G61" s="507"/>
      <c r="H61" s="508"/>
      <c r="I61" s="508"/>
      <c r="J61" s="508"/>
      <c r="K61" s="508"/>
      <c r="L61" s="508"/>
      <c r="M61" s="508"/>
      <c r="N61" s="1154"/>
      <c r="O61" s="508"/>
      <c r="P61" s="508"/>
      <c r="Q61" s="1154"/>
      <c r="R61" s="508"/>
      <c r="S61" s="508"/>
      <c r="T61" s="568"/>
      <c r="U61" s="568"/>
      <c r="V61" s="508"/>
      <c r="W61" s="508"/>
      <c r="X61" s="1154"/>
      <c r="Y61" s="508"/>
      <c r="Z61" s="508"/>
      <c r="AA61" s="1154"/>
      <c r="AB61" s="508"/>
      <c r="AC61" s="508"/>
      <c r="AD61" s="508"/>
      <c r="AE61" s="508"/>
      <c r="AF61" s="508"/>
      <c r="AG61" s="1154"/>
      <c r="AH61" s="508"/>
      <c r="AI61" s="508"/>
      <c r="AJ61" s="508"/>
      <c r="AK61" s="508"/>
      <c r="AL61" s="1443">
        <f>SUM(G61:AK61)</f>
        <v>0</v>
      </c>
      <c r="AM61" s="1580">
        <f>F61*AL61</f>
        <v>0</v>
      </c>
      <c r="AN61" s="1788"/>
    </row>
    <row r="62" spans="1:44" ht="17.25" customHeight="1" thickBot="1">
      <c r="A62" s="2707"/>
      <c r="B62" s="1939" t="s">
        <v>649</v>
      </c>
      <c r="C62" s="1858" t="s">
        <v>1313</v>
      </c>
      <c r="D62" s="1816"/>
      <c r="E62" s="256" t="s">
        <v>47</v>
      </c>
      <c r="F62" s="327">
        <v>700000</v>
      </c>
      <c r="G62" s="505"/>
      <c r="H62" s="506"/>
      <c r="I62" s="506"/>
      <c r="J62" s="506"/>
      <c r="K62" s="506"/>
      <c r="L62" s="506"/>
      <c r="M62" s="506"/>
      <c r="N62" s="506"/>
      <c r="O62" s="506"/>
      <c r="P62" s="506"/>
      <c r="Q62" s="506"/>
      <c r="R62" s="506"/>
      <c r="S62" s="506"/>
      <c r="T62" s="506"/>
      <c r="U62" s="506"/>
      <c r="V62" s="506"/>
      <c r="W62" s="506"/>
      <c r="X62" s="506"/>
      <c r="Y62" s="506"/>
      <c r="Z62" s="506"/>
      <c r="AA62" s="506"/>
      <c r="AB62" s="506"/>
      <c r="AC62" s="506"/>
      <c r="AD62" s="506"/>
      <c r="AE62" s="506"/>
      <c r="AF62" s="506"/>
      <c r="AG62" s="506"/>
      <c r="AH62" s="506"/>
      <c r="AI62" s="506"/>
      <c r="AJ62" s="506"/>
      <c r="AK62" s="1776"/>
      <c r="AL62" s="332">
        <f>SUM(G62:AK62)</f>
        <v>0</v>
      </c>
      <c r="AM62" s="1585">
        <f>F62*AL62</f>
        <v>0</v>
      </c>
      <c r="AN62" s="1789"/>
    </row>
    <row r="63" spans="1:44" ht="17.25" customHeight="1">
      <c r="A63" s="2676" t="s">
        <v>2169</v>
      </c>
      <c r="B63" s="2691" t="s">
        <v>571</v>
      </c>
      <c r="C63" s="1810" t="s">
        <v>667</v>
      </c>
      <c r="D63" s="1814">
        <v>5151</v>
      </c>
      <c r="E63" s="254" t="s">
        <v>32</v>
      </c>
      <c r="F63" s="566">
        <v>346500</v>
      </c>
      <c r="G63" s="514"/>
      <c r="H63" s="515"/>
      <c r="I63" s="515"/>
      <c r="J63" s="515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5"/>
      <c r="AB63" s="515"/>
      <c r="AC63" s="515"/>
      <c r="AD63" s="515"/>
      <c r="AE63" s="515"/>
      <c r="AF63" s="515"/>
      <c r="AG63" s="515"/>
      <c r="AH63" s="515"/>
      <c r="AI63" s="515"/>
      <c r="AJ63" s="515"/>
      <c r="AK63" s="516"/>
      <c r="AL63" s="291">
        <f t="shared" si="0"/>
        <v>0</v>
      </c>
      <c r="AM63" s="1587">
        <f t="shared" si="1"/>
        <v>0</v>
      </c>
      <c r="AN63" s="1735"/>
    </row>
    <row r="64" spans="1:44" ht="17.25" customHeight="1" thickBot="1">
      <c r="A64" s="2677"/>
      <c r="B64" s="2693"/>
      <c r="C64" s="1803" t="s">
        <v>572</v>
      </c>
      <c r="D64" s="581">
        <v>5152</v>
      </c>
      <c r="E64" s="246" t="s">
        <v>47</v>
      </c>
      <c r="F64" s="1710">
        <v>35000</v>
      </c>
      <c r="G64" s="503"/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4"/>
      <c r="AB64" s="504"/>
      <c r="AC64" s="504"/>
      <c r="AD64" s="504"/>
      <c r="AE64" s="504"/>
      <c r="AF64" s="504"/>
      <c r="AG64" s="504"/>
      <c r="AH64" s="504"/>
      <c r="AI64" s="504"/>
      <c r="AJ64" s="504"/>
      <c r="AK64" s="513"/>
      <c r="AL64" s="292">
        <f t="shared" si="0"/>
        <v>0</v>
      </c>
      <c r="AM64" s="1185">
        <f t="shared" si="1"/>
        <v>0</v>
      </c>
      <c r="AN64" s="1737"/>
    </row>
    <row r="65" spans="1:40" ht="17.25" customHeight="1" thickBot="1">
      <c r="A65" s="2677"/>
      <c r="B65" s="2694" t="s">
        <v>606</v>
      </c>
      <c r="C65" s="267" t="s">
        <v>633</v>
      </c>
      <c r="D65" s="1815" t="s">
        <v>634</v>
      </c>
      <c r="E65" s="249" t="s">
        <v>47</v>
      </c>
      <c r="F65" s="1702">
        <v>120000</v>
      </c>
      <c r="G65" s="511"/>
      <c r="H65" s="501"/>
      <c r="I65" s="501"/>
      <c r="J65" s="501"/>
      <c r="K65" s="501"/>
      <c r="L65" s="501"/>
      <c r="M65" s="501"/>
      <c r="N65" s="501"/>
      <c r="O65" s="501"/>
      <c r="P65" s="501"/>
      <c r="Q65" s="501"/>
      <c r="R65" s="501"/>
      <c r="S65" s="501"/>
      <c r="T65" s="501"/>
      <c r="U65" s="501"/>
      <c r="V65" s="501"/>
      <c r="W65" s="501"/>
      <c r="X65" s="501"/>
      <c r="Y65" s="501"/>
      <c r="Z65" s="501"/>
      <c r="AA65" s="501"/>
      <c r="AB65" s="501"/>
      <c r="AC65" s="501"/>
      <c r="AD65" s="501"/>
      <c r="AE65" s="501"/>
      <c r="AF65" s="501"/>
      <c r="AG65" s="501"/>
      <c r="AH65" s="501"/>
      <c r="AI65" s="501"/>
      <c r="AJ65" s="501"/>
      <c r="AK65" s="501"/>
      <c r="AL65" s="323">
        <f t="shared" si="0"/>
        <v>0</v>
      </c>
      <c r="AM65" s="2044">
        <f t="shared" si="1"/>
        <v>0</v>
      </c>
      <c r="AN65" s="2045">
        <f>AM65</f>
        <v>0</v>
      </c>
    </row>
    <row r="66" spans="1:40" ht="17.25" customHeight="1" thickBot="1">
      <c r="A66" s="2677"/>
      <c r="B66" s="2695"/>
      <c r="C66" s="529" t="s">
        <v>1853</v>
      </c>
      <c r="D66" s="500"/>
      <c r="E66" s="245" t="s">
        <v>47</v>
      </c>
      <c r="F66" s="566">
        <v>110000</v>
      </c>
      <c r="G66" s="514"/>
      <c r="H66" s="515"/>
      <c r="I66" s="515"/>
      <c r="J66" s="515"/>
      <c r="K66" s="515"/>
      <c r="L66" s="515"/>
      <c r="M66" s="515"/>
      <c r="N66" s="515"/>
      <c r="O66" s="515">
        <v>2</v>
      </c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5"/>
      <c r="AB66" s="515"/>
      <c r="AC66" s="515"/>
      <c r="AD66" s="515"/>
      <c r="AE66" s="515"/>
      <c r="AF66" s="515"/>
      <c r="AG66" s="515"/>
      <c r="AH66" s="515"/>
      <c r="AI66" s="515"/>
      <c r="AJ66" s="515"/>
      <c r="AK66" s="515"/>
      <c r="AL66" s="323">
        <f t="shared" si="0"/>
        <v>2</v>
      </c>
      <c r="AM66" s="2032">
        <f t="shared" si="1"/>
        <v>220000</v>
      </c>
      <c r="AN66" s="2046" t="s">
        <v>2188</v>
      </c>
    </row>
    <row r="67" spans="1:40" ht="17.25" customHeight="1">
      <c r="A67" s="2677"/>
      <c r="B67" s="2695"/>
      <c r="C67" s="529" t="s">
        <v>769</v>
      </c>
      <c r="D67" s="500" t="s">
        <v>768</v>
      </c>
      <c r="E67" s="245" t="s">
        <v>47</v>
      </c>
      <c r="F67" s="566">
        <v>100000</v>
      </c>
      <c r="G67" s="514"/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5"/>
      <c r="AB67" s="515"/>
      <c r="AC67" s="515"/>
      <c r="AD67" s="515"/>
      <c r="AE67" s="515"/>
      <c r="AF67" s="515"/>
      <c r="AG67" s="515"/>
      <c r="AH67" s="515"/>
      <c r="AI67" s="515"/>
      <c r="AJ67" s="515"/>
      <c r="AK67" s="515"/>
      <c r="AL67" s="323">
        <f t="shared" si="0"/>
        <v>0</v>
      </c>
      <c r="AM67" s="2032">
        <f t="shared" si="1"/>
        <v>0</v>
      </c>
      <c r="AN67" s="2046">
        <f t="shared" ref="AN67:AN70" si="12">AM67</f>
        <v>0</v>
      </c>
    </row>
    <row r="68" spans="1:40" ht="17.25" customHeight="1">
      <c r="A68" s="2677"/>
      <c r="B68" s="2695"/>
      <c r="C68" s="263" t="s">
        <v>635</v>
      </c>
      <c r="D68" s="500" t="s">
        <v>636</v>
      </c>
      <c r="E68" s="245" t="s">
        <v>47</v>
      </c>
      <c r="F68" s="530">
        <v>80000</v>
      </c>
      <c r="G68" s="499"/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  <c r="T68" s="502"/>
      <c r="U68" s="502"/>
      <c r="V68" s="502"/>
      <c r="W68" s="502"/>
      <c r="X68" s="502"/>
      <c r="Y68" s="502"/>
      <c r="Z68" s="502"/>
      <c r="AA68" s="502"/>
      <c r="AB68" s="502"/>
      <c r="AC68" s="502"/>
      <c r="AD68" s="502"/>
      <c r="AE68" s="502"/>
      <c r="AF68" s="502"/>
      <c r="AG68" s="502"/>
      <c r="AH68" s="502"/>
      <c r="AI68" s="502"/>
      <c r="AJ68" s="502"/>
      <c r="AK68" s="502"/>
      <c r="AL68" s="324">
        <f t="shared" si="0"/>
        <v>0</v>
      </c>
      <c r="AM68" s="2032">
        <f t="shared" si="1"/>
        <v>0</v>
      </c>
      <c r="AN68" s="2046">
        <f t="shared" si="12"/>
        <v>0</v>
      </c>
    </row>
    <row r="69" spans="1:40" ht="17.25" customHeight="1">
      <c r="A69" s="2677"/>
      <c r="B69" s="2695"/>
      <c r="C69" s="524" t="s">
        <v>1265</v>
      </c>
      <c r="D69" s="606"/>
      <c r="E69" s="245" t="s">
        <v>47</v>
      </c>
      <c r="F69" s="564">
        <v>30000</v>
      </c>
      <c r="G69" s="509"/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0"/>
      <c r="AB69" s="510"/>
      <c r="AC69" s="510"/>
      <c r="AD69" s="510"/>
      <c r="AE69" s="510"/>
      <c r="AF69" s="510"/>
      <c r="AG69" s="510"/>
      <c r="AH69" s="510"/>
      <c r="AI69" s="510"/>
      <c r="AJ69" s="510"/>
      <c r="AK69" s="510"/>
      <c r="AL69" s="324">
        <f t="shared" si="0"/>
        <v>0</v>
      </c>
      <c r="AM69" s="2032">
        <f t="shared" si="1"/>
        <v>0</v>
      </c>
      <c r="AN69" s="2046">
        <f t="shared" si="12"/>
        <v>0</v>
      </c>
    </row>
    <row r="70" spans="1:40" ht="17.25" customHeight="1" thickBot="1">
      <c r="A70" s="2677"/>
      <c r="B70" s="2721"/>
      <c r="C70" s="270" t="s">
        <v>1361</v>
      </c>
      <c r="D70" s="581" t="s">
        <v>1168</v>
      </c>
      <c r="E70" s="246" t="s">
        <v>32</v>
      </c>
      <c r="F70" s="1710">
        <v>400000</v>
      </c>
      <c r="G70" s="503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04"/>
      <c r="Y70" s="504"/>
      <c r="Z70" s="504"/>
      <c r="AA70" s="504"/>
      <c r="AB70" s="504"/>
      <c r="AC70" s="504"/>
      <c r="AD70" s="504"/>
      <c r="AE70" s="504"/>
      <c r="AF70" s="504"/>
      <c r="AG70" s="504"/>
      <c r="AH70" s="504"/>
      <c r="AI70" s="504"/>
      <c r="AJ70" s="504"/>
      <c r="AK70" s="504"/>
      <c r="AL70" s="325">
        <f t="shared" si="0"/>
        <v>0</v>
      </c>
      <c r="AM70" s="2033">
        <f t="shared" si="1"/>
        <v>0</v>
      </c>
      <c r="AN70" s="2047">
        <f t="shared" si="12"/>
        <v>0</v>
      </c>
    </row>
    <row r="71" spans="1:40" ht="17.25" customHeight="1">
      <c r="A71" s="2677"/>
      <c r="B71" s="2689" t="s">
        <v>741</v>
      </c>
      <c r="C71" s="267" t="s">
        <v>801</v>
      </c>
      <c r="D71" s="1811" t="s">
        <v>802</v>
      </c>
      <c r="E71" s="239" t="s">
        <v>47</v>
      </c>
      <c r="F71" s="328">
        <v>28000</v>
      </c>
      <c r="G71" s="511"/>
      <c r="H71" s="501"/>
      <c r="I71" s="501"/>
      <c r="J71" s="501"/>
      <c r="K71" s="501"/>
      <c r="L71" s="501"/>
      <c r="M71" s="501"/>
      <c r="N71" s="501"/>
      <c r="O71" s="501"/>
      <c r="P71" s="501"/>
      <c r="Q71" s="501"/>
      <c r="R71" s="501"/>
      <c r="S71" s="501"/>
      <c r="T71" s="501"/>
      <c r="U71" s="501"/>
      <c r="V71" s="501"/>
      <c r="W71" s="501"/>
      <c r="X71" s="501"/>
      <c r="Y71" s="501"/>
      <c r="Z71" s="501"/>
      <c r="AA71" s="501"/>
      <c r="AB71" s="501"/>
      <c r="AC71" s="501"/>
      <c r="AD71" s="501"/>
      <c r="AE71" s="501"/>
      <c r="AF71" s="501"/>
      <c r="AG71" s="501"/>
      <c r="AH71" s="501"/>
      <c r="AI71" s="501"/>
      <c r="AJ71" s="501"/>
      <c r="AK71" s="501"/>
      <c r="AL71" s="323">
        <f t="shared" si="0"/>
        <v>0</v>
      </c>
      <c r="AM71" s="575">
        <f t="shared" si="1"/>
        <v>0</v>
      </c>
      <c r="AN71" s="2697">
        <f>SUM(AM71:AM75)</f>
        <v>0</v>
      </c>
    </row>
    <row r="72" spans="1:40" ht="17.25" customHeight="1">
      <c r="A72" s="2677"/>
      <c r="B72" s="2690"/>
      <c r="C72" s="263" t="s">
        <v>801</v>
      </c>
      <c r="D72" s="500" t="s">
        <v>803</v>
      </c>
      <c r="E72" s="245" t="s">
        <v>47</v>
      </c>
      <c r="F72" s="329">
        <v>38000</v>
      </c>
      <c r="G72" s="499"/>
      <c r="H72" s="502"/>
      <c r="I72" s="502"/>
      <c r="J72" s="502"/>
      <c r="K72" s="502"/>
      <c r="L72" s="502"/>
      <c r="M72" s="502"/>
      <c r="N72" s="502"/>
      <c r="O72" s="502"/>
      <c r="P72" s="502"/>
      <c r="Q72" s="502"/>
      <c r="R72" s="502"/>
      <c r="S72" s="502"/>
      <c r="T72" s="502"/>
      <c r="U72" s="502"/>
      <c r="V72" s="502"/>
      <c r="W72" s="502"/>
      <c r="X72" s="502"/>
      <c r="Y72" s="502"/>
      <c r="Z72" s="502"/>
      <c r="AA72" s="502"/>
      <c r="AB72" s="502"/>
      <c r="AC72" s="502"/>
      <c r="AD72" s="502"/>
      <c r="AE72" s="502"/>
      <c r="AF72" s="502"/>
      <c r="AG72" s="502"/>
      <c r="AH72" s="502"/>
      <c r="AI72" s="502"/>
      <c r="AJ72" s="502"/>
      <c r="AK72" s="502"/>
      <c r="AL72" s="324">
        <f t="shared" si="0"/>
        <v>0</v>
      </c>
      <c r="AM72" s="531">
        <f t="shared" ref="AM72:AM73" si="13">F72*AL72</f>
        <v>0</v>
      </c>
      <c r="AN72" s="2697"/>
    </row>
    <row r="73" spans="1:40" ht="17.25" customHeight="1">
      <c r="A73" s="2677"/>
      <c r="B73" s="2690"/>
      <c r="C73" s="263" t="s">
        <v>801</v>
      </c>
      <c r="D73" s="500" t="s">
        <v>1264</v>
      </c>
      <c r="E73" s="245" t="s">
        <v>47</v>
      </c>
      <c r="F73" s="329">
        <v>90000</v>
      </c>
      <c r="G73" s="499"/>
      <c r="H73" s="502"/>
      <c r="I73" s="502"/>
      <c r="J73" s="502"/>
      <c r="K73" s="502"/>
      <c r="L73" s="502"/>
      <c r="M73" s="502"/>
      <c r="N73" s="502"/>
      <c r="O73" s="502"/>
      <c r="P73" s="502"/>
      <c r="Q73" s="502"/>
      <c r="R73" s="502"/>
      <c r="S73" s="502"/>
      <c r="T73" s="502"/>
      <c r="U73" s="502"/>
      <c r="V73" s="502"/>
      <c r="W73" s="502"/>
      <c r="X73" s="502"/>
      <c r="Y73" s="502"/>
      <c r="Z73" s="502"/>
      <c r="AA73" s="502"/>
      <c r="AB73" s="502"/>
      <c r="AC73" s="502"/>
      <c r="AD73" s="502"/>
      <c r="AE73" s="502"/>
      <c r="AF73" s="502"/>
      <c r="AG73" s="502"/>
      <c r="AH73" s="502"/>
      <c r="AI73" s="502"/>
      <c r="AJ73" s="502"/>
      <c r="AK73" s="502"/>
      <c r="AL73" s="324">
        <f t="shared" si="0"/>
        <v>0</v>
      </c>
      <c r="AM73" s="531">
        <f t="shared" si="13"/>
        <v>0</v>
      </c>
      <c r="AN73" s="2697"/>
    </row>
    <row r="74" spans="1:40" ht="17.25" customHeight="1">
      <c r="A74" s="2677"/>
      <c r="B74" s="2690"/>
      <c r="C74" s="263" t="s">
        <v>742</v>
      </c>
      <c r="D74" s="500">
        <v>3</v>
      </c>
      <c r="E74" s="245" t="s">
        <v>47</v>
      </c>
      <c r="F74" s="329">
        <v>3000</v>
      </c>
      <c r="G74" s="499"/>
      <c r="H74" s="502"/>
      <c r="I74" s="502"/>
      <c r="J74" s="502"/>
      <c r="K74" s="502"/>
      <c r="L74" s="502"/>
      <c r="M74" s="502"/>
      <c r="N74" s="502"/>
      <c r="O74" s="502"/>
      <c r="P74" s="502"/>
      <c r="Q74" s="502"/>
      <c r="R74" s="502"/>
      <c r="S74" s="502"/>
      <c r="T74" s="502"/>
      <c r="U74" s="502"/>
      <c r="V74" s="502"/>
      <c r="W74" s="502"/>
      <c r="X74" s="502"/>
      <c r="Y74" s="502"/>
      <c r="Z74" s="502"/>
      <c r="AA74" s="502"/>
      <c r="AB74" s="502"/>
      <c r="AC74" s="502"/>
      <c r="AD74" s="502"/>
      <c r="AE74" s="502"/>
      <c r="AF74" s="502"/>
      <c r="AG74" s="502"/>
      <c r="AH74" s="502"/>
      <c r="AI74" s="502"/>
      <c r="AJ74" s="502"/>
      <c r="AK74" s="502"/>
      <c r="AL74" s="324">
        <f t="shared" si="0"/>
        <v>0</v>
      </c>
      <c r="AM74" s="531">
        <f t="shared" si="1"/>
        <v>0</v>
      </c>
      <c r="AN74" s="2697"/>
    </row>
    <row r="75" spans="1:40" ht="17.25" customHeight="1" thickBot="1">
      <c r="A75" s="2677"/>
      <c r="B75" s="2690"/>
      <c r="C75" s="524" t="s">
        <v>742</v>
      </c>
      <c r="D75" s="1817">
        <v>3.5</v>
      </c>
      <c r="E75" s="251" t="s">
        <v>47</v>
      </c>
      <c r="F75" s="525">
        <v>13000</v>
      </c>
      <c r="G75" s="509"/>
      <c r="H75" s="510"/>
      <c r="I75" s="510"/>
      <c r="J75" s="510"/>
      <c r="K75" s="510"/>
      <c r="L75" s="510"/>
      <c r="M75" s="510"/>
      <c r="N75" s="510"/>
      <c r="O75" s="510"/>
      <c r="P75" s="510"/>
      <c r="Q75" s="510"/>
      <c r="R75" s="510"/>
      <c r="S75" s="510"/>
      <c r="T75" s="510"/>
      <c r="U75" s="510"/>
      <c r="V75" s="510"/>
      <c r="W75" s="510"/>
      <c r="X75" s="510"/>
      <c r="Y75" s="510"/>
      <c r="Z75" s="510"/>
      <c r="AA75" s="510"/>
      <c r="AB75" s="510"/>
      <c r="AC75" s="510"/>
      <c r="AD75" s="510"/>
      <c r="AE75" s="510"/>
      <c r="AF75" s="510"/>
      <c r="AG75" s="510"/>
      <c r="AH75" s="510"/>
      <c r="AI75" s="510"/>
      <c r="AJ75" s="510"/>
      <c r="AK75" s="510"/>
      <c r="AL75" s="528">
        <f t="shared" si="0"/>
        <v>0</v>
      </c>
      <c r="AM75" s="1233">
        <f t="shared" si="1"/>
        <v>0</v>
      </c>
      <c r="AN75" s="2697"/>
    </row>
    <row r="76" spans="1:40" ht="17.25" customHeight="1" thickBot="1">
      <c r="A76" s="2677"/>
      <c r="B76" s="1940" t="s">
        <v>1270</v>
      </c>
      <c r="C76" s="1859" t="s">
        <v>1272</v>
      </c>
      <c r="D76" s="1860" t="s">
        <v>1271</v>
      </c>
      <c r="E76" s="256" t="s">
        <v>47</v>
      </c>
      <c r="F76" s="327">
        <v>223000</v>
      </c>
      <c r="G76" s="505"/>
      <c r="H76" s="506"/>
      <c r="I76" s="506"/>
      <c r="J76" s="506"/>
      <c r="K76" s="506"/>
      <c r="L76" s="506"/>
      <c r="M76" s="506"/>
      <c r="N76" s="506"/>
      <c r="O76" s="506"/>
      <c r="P76" s="506"/>
      <c r="Q76" s="506"/>
      <c r="R76" s="506"/>
      <c r="S76" s="506"/>
      <c r="T76" s="506"/>
      <c r="U76" s="506"/>
      <c r="V76" s="506"/>
      <c r="W76" s="506"/>
      <c r="X76" s="506"/>
      <c r="Y76" s="506"/>
      <c r="Z76" s="506"/>
      <c r="AA76" s="506"/>
      <c r="AB76" s="506"/>
      <c r="AC76" s="506"/>
      <c r="AD76" s="506"/>
      <c r="AE76" s="506"/>
      <c r="AF76" s="506"/>
      <c r="AG76" s="506"/>
      <c r="AH76" s="506"/>
      <c r="AI76" s="506"/>
      <c r="AJ76" s="506"/>
      <c r="AK76" s="506"/>
      <c r="AL76" s="1778">
        <f t="shared" si="0"/>
        <v>0</v>
      </c>
      <c r="AM76" s="1779">
        <f t="shared" si="1"/>
        <v>0</v>
      </c>
      <c r="AN76" s="1789"/>
    </row>
    <row r="77" spans="1:40" ht="17.25" customHeight="1">
      <c r="A77" s="2677"/>
      <c r="B77" s="2690" t="s">
        <v>591</v>
      </c>
      <c r="C77" s="265" t="s">
        <v>1167</v>
      </c>
      <c r="D77" s="1818" t="s">
        <v>462</v>
      </c>
      <c r="E77" s="268" t="s">
        <v>47</v>
      </c>
      <c r="F77" s="1183">
        <v>250000</v>
      </c>
      <c r="G77" s="520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U77" s="521"/>
      <c r="V77" s="521"/>
      <c r="W77" s="521"/>
      <c r="X77" s="521"/>
      <c r="Y77" s="521"/>
      <c r="Z77" s="521"/>
      <c r="AA77" s="521"/>
      <c r="AB77" s="521"/>
      <c r="AC77" s="521"/>
      <c r="AD77" s="521"/>
      <c r="AE77" s="521"/>
      <c r="AF77" s="521"/>
      <c r="AG77" s="521"/>
      <c r="AH77" s="521"/>
      <c r="AI77" s="521"/>
      <c r="AJ77" s="521"/>
      <c r="AK77" s="521"/>
      <c r="AL77" s="567">
        <f t="shared" si="0"/>
        <v>0</v>
      </c>
      <c r="AM77" s="1580">
        <f t="shared" si="1"/>
        <v>0</v>
      </c>
      <c r="AN77" s="1737"/>
    </row>
    <row r="78" spans="1:40" ht="15.75" customHeight="1">
      <c r="A78" s="2677"/>
      <c r="B78" s="2690"/>
      <c r="C78" s="263" t="s">
        <v>1166</v>
      </c>
      <c r="D78" s="500" t="s">
        <v>717</v>
      </c>
      <c r="E78" s="1114" t="s">
        <v>718</v>
      </c>
      <c r="F78" s="530">
        <v>400000</v>
      </c>
      <c r="G78" s="499"/>
      <c r="H78" s="502"/>
      <c r="I78" s="502"/>
      <c r="J78" s="502"/>
      <c r="K78" s="502"/>
      <c r="L78" s="502"/>
      <c r="M78" s="502"/>
      <c r="N78" s="502"/>
      <c r="O78" s="502"/>
      <c r="P78" s="502"/>
      <c r="Q78" s="502"/>
      <c r="R78" s="502"/>
      <c r="S78" s="502"/>
      <c r="T78" s="502"/>
      <c r="U78" s="502"/>
      <c r="V78" s="502"/>
      <c r="W78" s="502"/>
      <c r="X78" s="502"/>
      <c r="Y78" s="502"/>
      <c r="Z78" s="502"/>
      <c r="AA78" s="502"/>
      <c r="AB78" s="502"/>
      <c r="AC78" s="502"/>
      <c r="AD78" s="502"/>
      <c r="AE78" s="502"/>
      <c r="AF78" s="502"/>
      <c r="AG78" s="502"/>
      <c r="AH78" s="502"/>
      <c r="AI78" s="502"/>
      <c r="AJ78" s="502"/>
      <c r="AK78" s="502"/>
      <c r="AL78" s="324">
        <f t="shared" si="0"/>
        <v>0</v>
      </c>
      <c r="AM78" s="531">
        <f t="shared" si="1"/>
        <v>0</v>
      </c>
      <c r="AN78" s="1737"/>
    </row>
    <row r="79" spans="1:40" ht="15.75" customHeight="1">
      <c r="A79" s="2677"/>
      <c r="B79" s="2690"/>
      <c r="C79" s="263" t="s">
        <v>817</v>
      </c>
      <c r="D79" s="500" t="s">
        <v>818</v>
      </c>
      <c r="E79" s="1114" t="s">
        <v>819</v>
      </c>
      <c r="F79" s="530">
        <v>2000000</v>
      </c>
      <c r="G79" s="499"/>
      <c r="H79" s="502"/>
      <c r="I79" s="502"/>
      <c r="J79" s="502"/>
      <c r="K79" s="502"/>
      <c r="L79" s="502"/>
      <c r="M79" s="502"/>
      <c r="N79" s="502"/>
      <c r="O79" s="502"/>
      <c r="P79" s="502"/>
      <c r="Q79" s="502"/>
      <c r="R79" s="502"/>
      <c r="S79" s="502"/>
      <c r="T79" s="502"/>
      <c r="U79" s="502"/>
      <c r="V79" s="502"/>
      <c r="W79" s="502"/>
      <c r="X79" s="502"/>
      <c r="Y79" s="502"/>
      <c r="Z79" s="502"/>
      <c r="AA79" s="502"/>
      <c r="AB79" s="502"/>
      <c r="AC79" s="502"/>
      <c r="AD79" s="502"/>
      <c r="AE79" s="502"/>
      <c r="AF79" s="502"/>
      <c r="AG79" s="502"/>
      <c r="AH79" s="502"/>
      <c r="AI79" s="502"/>
      <c r="AJ79" s="502"/>
      <c r="AK79" s="502"/>
      <c r="AL79" s="324">
        <f t="shared" si="0"/>
        <v>0</v>
      </c>
      <c r="AM79" s="531">
        <f t="shared" si="1"/>
        <v>0</v>
      </c>
      <c r="AN79" s="1737"/>
    </row>
    <row r="80" spans="1:40" ht="17.25" customHeight="1" thickBot="1">
      <c r="A80" s="2677"/>
      <c r="B80" s="2722"/>
      <c r="C80" s="544" t="s">
        <v>644</v>
      </c>
      <c r="D80" s="1525" t="s">
        <v>645</v>
      </c>
      <c r="E80" s="543" t="s">
        <v>47</v>
      </c>
      <c r="F80" s="563">
        <v>2500000</v>
      </c>
      <c r="G80" s="545"/>
      <c r="H80" s="546"/>
      <c r="I80" s="546"/>
      <c r="J80" s="546"/>
      <c r="K80" s="546"/>
      <c r="L80" s="546"/>
      <c r="M80" s="546"/>
      <c r="N80" s="546"/>
      <c r="O80" s="546"/>
      <c r="P80" s="546"/>
      <c r="Q80" s="546"/>
      <c r="R80" s="546"/>
      <c r="S80" s="546"/>
      <c r="T80" s="546"/>
      <c r="U80" s="546"/>
      <c r="V80" s="546"/>
      <c r="W80" s="546"/>
      <c r="X80" s="546"/>
      <c r="Y80" s="546"/>
      <c r="Z80" s="546"/>
      <c r="AA80" s="546"/>
      <c r="AB80" s="546"/>
      <c r="AC80" s="546"/>
      <c r="AD80" s="546"/>
      <c r="AE80" s="546"/>
      <c r="AF80" s="546"/>
      <c r="AG80" s="546"/>
      <c r="AH80" s="546"/>
      <c r="AI80" s="546"/>
      <c r="AJ80" s="546"/>
      <c r="AK80" s="546"/>
      <c r="AL80" s="548">
        <f t="shared" si="0"/>
        <v>0</v>
      </c>
      <c r="AM80" s="1586">
        <f t="shared" si="1"/>
        <v>0</v>
      </c>
      <c r="AN80" s="1396">
        <f>SUM(AM77:AM80)</f>
        <v>0</v>
      </c>
    </row>
    <row r="81" spans="1:81" ht="17.25" customHeight="1">
      <c r="A81" s="2677"/>
      <c r="B81" s="2694" t="s">
        <v>1949</v>
      </c>
      <c r="C81" s="1801" t="s">
        <v>965</v>
      </c>
      <c r="D81" s="1811" t="s">
        <v>2091</v>
      </c>
      <c r="E81" s="239" t="s">
        <v>47</v>
      </c>
      <c r="F81" s="328">
        <v>145000</v>
      </c>
      <c r="G81" s="507"/>
      <c r="H81" s="508"/>
      <c r="I81" s="508"/>
      <c r="J81" s="508"/>
      <c r="K81" s="508"/>
      <c r="L81" s="508"/>
      <c r="M81" s="508"/>
      <c r="N81" s="508"/>
      <c r="O81" s="508"/>
      <c r="P81" s="508"/>
      <c r="Q81" s="508"/>
      <c r="R81" s="508"/>
      <c r="S81" s="508"/>
      <c r="T81" s="508"/>
      <c r="U81" s="508">
        <v>10</v>
      </c>
      <c r="V81" s="508"/>
      <c r="W81" s="508"/>
      <c r="X81" s="508"/>
      <c r="Y81" s="508"/>
      <c r="Z81" s="508"/>
      <c r="AA81" s="508"/>
      <c r="AB81" s="508"/>
      <c r="AC81" s="508"/>
      <c r="AD81" s="508"/>
      <c r="AE81" s="508"/>
      <c r="AF81" s="508"/>
      <c r="AG81" s="508"/>
      <c r="AH81" s="508"/>
      <c r="AI81" s="508"/>
      <c r="AJ81" s="508"/>
      <c r="AK81" s="526"/>
      <c r="AL81" s="1734">
        <f t="shared" si="0"/>
        <v>10</v>
      </c>
      <c r="AM81" s="575">
        <f t="shared" si="1"/>
        <v>1450000</v>
      </c>
      <c r="AN81" s="1735"/>
    </row>
    <row r="82" spans="1:81" ht="17.25" customHeight="1">
      <c r="A82" s="2677"/>
      <c r="B82" s="2695"/>
      <c r="C82" s="1802" t="s">
        <v>1950</v>
      </c>
      <c r="D82" s="500"/>
      <c r="E82" s="245" t="s">
        <v>47</v>
      </c>
      <c r="F82" s="329">
        <v>20000</v>
      </c>
      <c r="G82" s="509"/>
      <c r="H82" s="510"/>
      <c r="I82" s="510"/>
      <c r="J82" s="510"/>
      <c r="K82" s="510"/>
      <c r="L82" s="510"/>
      <c r="M82" s="510"/>
      <c r="N82" s="510"/>
      <c r="O82" s="510"/>
      <c r="P82" s="510"/>
      <c r="Q82" s="510"/>
      <c r="R82" s="510"/>
      <c r="S82" s="510"/>
      <c r="T82" s="510"/>
      <c r="U82" s="510"/>
      <c r="V82" s="510"/>
      <c r="W82" s="510"/>
      <c r="X82" s="510"/>
      <c r="Y82" s="510"/>
      <c r="Z82" s="510"/>
      <c r="AA82" s="510"/>
      <c r="AB82" s="510"/>
      <c r="AC82" s="510"/>
      <c r="AD82" s="510"/>
      <c r="AE82" s="510"/>
      <c r="AF82" s="510"/>
      <c r="AG82" s="510"/>
      <c r="AH82" s="510"/>
      <c r="AI82" s="510"/>
      <c r="AJ82" s="510"/>
      <c r="AK82" s="519"/>
      <c r="AL82" s="1736">
        <f t="shared" si="0"/>
        <v>0</v>
      </c>
      <c r="AM82" s="531">
        <f t="shared" si="1"/>
        <v>0</v>
      </c>
      <c r="AN82" s="1737"/>
    </row>
    <row r="83" spans="1:81" ht="17.25" customHeight="1" thickBot="1">
      <c r="A83" s="2677"/>
      <c r="B83" s="2695"/>
      <c r="C83" s="1802" t="s">
        <v>1951</v>
      </c>
      <c r="D83" s="606"/>
      <c r="E83" s="251" t="s">
        <v>47</v>
      </c>
      <c r="F83" s="525">
        <v>2000</v>
      </c>
      <c r="G83" s="509"/>
      <c r="H83" s="510"/>
      <c r="I83" s="510"/>
      <c r="J83" s="510"/>
      <c r="K83" s="510"/>
      <c r="L83" s="510"/>
      <c r="M83" s="510"/>
      <c r="N83" s="510"/>
      <c r="O83" s="510"/>
      <c r="P83" s="510"/>
      <c r="Q83" s="510"/>
      <c r="R83" s="510"/>
      <c r="S83" s="510"/>
      <c r="T83" s="510"/>
      <c r="U83" s="510"/>
      <c r="V83" s="510"/>
      <c r="W83" s="510"/>
      <c r="X83" s="510"/>
      <c r="Y83" s="510"/>
      <c r="Z83" s="510"/>
      <c r="AA83" s="510"/>
      <c r="AB83" s="510"/>
      <c r="AC83" s="510"/>
      <c r="AD83" s="510"/>
      <c r="AE83" s="510"/>
      <c r="AF83" s="510"/>
      <c r="AG83" s="510"/>
      <c r="AH83" s="510"/>
      <c r="AI83" s="510"/>
      <c r="AJ83" s="510"/>
      <c r="AK83" s="519"/>
      <c r="AL83" s="293">
        <f t="shared" si="0"/>
        <v>0</v>
      </c>
      <c r="AM83" s="1726">
        <f t="shared" si="1"/>
        <v>0</v>
      </c>
      <c r="AN83" s="1738" t="s">
        <v>1880</v>
      </c>
    </row>
    <row r="84" spans="1:81" ht="16.5" customHeight="1">
      <c r="A84" s="2677"/>
      <c r="B84" s="2723" t="s">
        <v>588</v>
      </c>
      <c r="C84" s="267" t="s">
        <v>1131</v>
      </c>
      <c r="D84" s="1811">
        <v>380</v>
      </c>
      <c r="E84" s="239" t="s">
        <v>47</v>
      </c>
      <c r="F84" s="328">
        <v>70000</v>
      </c>
      <c r="G84" s="511"/>
      <c r="H84" s="501"/>
      <c r="I84" s="501"/>
      <c r="J84" s="501"/>
      <c r="K84" s="501"/>
      <c r="L84" s="501"/>
      <c r="M84" s="501"/>
      <c r="N84" s="501"/>
      <c r="O84" s="501"/>
      <c r="P84" s="501"/>
      <c r="Q84" s="501"/>
      <c r="R84" s="501"/>
      <c r="S84" s="501"/>
      <c r="T84" s="501"/>
      <c r="U84" s="501"/>
      <c r="V84" s="501"/>
      <c r="W84" s="501"/>
      <c r="X84" s="501"/>
      <c r="Y84" s="501"/>
      <c r="Z84" s="501"/>
      <c r="AA84" s="501"/>
      <c r="AB84" s="501"/>
      <c r="AC84" s="501"/>
      <c r="AD84" s="501"/>
      <c r="AE84" s="501"/>
      <c r="AF84" s="501"/>
      <c r="AG84" s="501"/>
      <c r="AH84" s="501"/>
      <c r="AI84" s="501"/>
      <c r="AJ84" s="501"/>
      <c r="AK84" s="501"/>
      <c r="AL84" s="323">
        <f t="shared" si="0"/>
        <v>0</v>
      </c>
      <c r="AM84" s="575">
        <f t="shared" si="1"/>
        <v>0</v>
      </c>
      <c r="AN84" s="2687">
        <f>SUM(AM84:AM86)</f>
        <v>0</v>
      </c>
    </row>
    <row r="85" spans="1:81" ht="16.5" customHeight="1">
      <c r="A85" s="2677"/>
      <c r="B85" s="2724"/>
      <c r="C85" s="263" t="s">
        <v>1131</v>
      </c>
      <c r="D85" s="500">
        <v>220</v>
      </c>
      <c r="E85" s="245" t="s">
        <v>47</v>
      </c>
      <c r="F85" s="329">
        <v>62000</v>
      </c>
      <c r="G85" s="499"/>
      <c r="H85" s="502"/>
      <c r="I85" s="502"/>
      <c r="J85" s="502"/>
      <c r="K85" s="502"/>
      <c r="L85" s="502"/>
      <c r="M85" s="502"/>
      <c r="N85" s="502"/>
      <c r="O85" s="502"/>
      <c r="P85" s="502"/>
      <c r="Q85" s="502"/>
      <c r="R85" s="502"/>
      <c r="S85" s="502"/>
      <c r="T85" s="502"/>
      <c r="U85" s="502"/>
      <c r="V85" s="502"/>
      <c r="W85" s="502"/>
      <c r="X85" s="502"/>
      <c r="Y85" s="502"/>
      <c r="Z85" s="502"/>
      <c r="AA85" s="502"/>
      <c r="AB85" s="502"/>
      <c r="AC85" s="502"/>
      <c r="AD85" s="502"/>
      <c r="AE85" s="502"/>
      <c r="AF85" s="502"/>
      <c r="AG85" s="502"/>
      <c r="AH85" s="502"/>
      <c r="AI85" s="502"/>
      <c r="AJ85" s="502"/>
      <c r="AK85" s="502"/>
      <c r="AL85" s="324">
        <f t="shared" ref="AL85" si="14">SUM(G85:AK85)</f>
        <v>0</v>
      </c>
      <c r="AM85" s="531">
        <f t="shared" ref="AM85" si="15">F85*AL85</f>
        <v>0</v>
      </c>
      <c r="AN85" s="2688"/>
    </row>
    <row r="86" spans="1:81" ht="18" customHeight="1" thickBot="1">
      <c r="A86" s="2677"/>
      <c r="B86" s="2725"/>
      <c r="C86" s="524" t="s">
        <v>589</v>
      </c>
      <c r="D86" s="606" t="s">
        <v>590</v>
      </c>
      <c r="E86" s="251" t="s">
        <v>47</v>
      </c>
      <c r="F86" s="525">
        <v>247500</v>
      </c>
      <c r="G86" s="509"/>
      <c r="H86" s="510"/>
      <c r="I86" s="510"/>
      <c r="J86" s="510"/>
      <c r="K86" s="510"/>
      <c r="L86" s="510"/>
      <c r="M86" s="510"/>
      <c r="N86" s="510"/>
      <c r="O86" s="510"/>
      <c r="P86" s="510"/>
      <c r="Q86" s="510"/>
      <c r="R86" s="510"/>
      <c r="S86" s="510"/>
      <c r="T86" s="510"/>
      <c r="U86" s="510"/>
      <c r="V86" s="510"/>
      <c r="W86" s="510"/>
      <c r="X86" s="510"/>
      <c r="Y86" s="510"/>
      <c r="Z86" s="510"/>
      <c r="AA86" s="510"/>
      <c r="AB86" s="510"/>
      <c r="AC86" s="510"/>
      <c r="AD86" s="510"/>
      <c r="AE86" s="510"/>
      <c r="AF86" s="510"/>
      <c r="AG86" s="510"/>
      <c r="AH86" s="510"/>
      <c r="AI86" s="510"/>
      <c r="AJ86" s="510"/>
      <c r="AK86" s="510"/>
      <c r="AL86" s="528">
        <f t="shared" si="0"/>
        <v>0</v>
      </c>
      <c r="AM86" s="1233">
        <f t="shared" si="1"/>
        <v>0</v>
      </c>
      <c r="AN86" s="2688"/>
    </row>
    <row r="87" spans="1:81" ht="18" customHeight="1" thickBot="1">
      <c r="A87" s="2677"/>
      <c r="B87" s="2682" t="s">
        <v>1132</v>
      </c>
      <c r="C87" s="267" t="s">
        <v>1952</v>
      </c>
      <c r="D87" s="1811" t="s">
        <v>1954</v>
      </c>
      <c r="E87" s="239" t="s">
        <v>47</v>
      </c>
      <c r="F87" s="328">
        <v>210000</v>
      </c>
      <c r="G87" s="511"/>
      <c r="H87" s="501"/>
      <c r="I87" s="501"/>
      <c r="J87" s="501"/>
      <c r="K87" s="501"/>
      <c r="L87" s="501"/>
      <c r="M87" s="501"/>
      <c r="N87" s="501"/>
      <c r="O87" s="501"/>
      <c r="P87" s="501"/>
      <c r="Q87" s="501"/>
      <c r="R87" s="501"/>
      <c r="S87" s="501"/>
      <c r="T87" s="501"/>
      <c r="U87" s="501"/>
      <c r="V87" s="501"/>
      <c r="W87" s="501"/>
      <c r="X87" s="501"/>
      <c r="Y87" s="501"/>
      <c r="Z87" s="501"/>
      <c r="AA87" s="501"/>
      <c r="AB87" s="501"/>
      <c r="AC87" s="501"/>
      <c r="AD87" s="501"/>
      <c r="AE87" s="501"/>
      <c r="AF87" s="501"/>
      <c r="AG87" s="501"/>
      <c r="AH87" s="501"/>
      <c r="AI87" s="501"/>
      <c r="AJ87" s="501"/>
      <c r="AK87" s="501"/>
      <c r="AL87" s="323">
        <f t="shared" si="0"/>
        <v>0</v>
      </c>
      <c r="AM87" s="2031">
        <f t="shared" si="1"/>
        <v>0</v>
      </c>
      <c r="AN87" s="2696">
        <f>SUM(AM87:AM89)</f>
        <v>0</v>
      </c>
    </row>
    <row r="88" spans="1:81" ht="18" customHeight="1" thickBot="1">
      <c r="A88" s="2677"/>
      <c r="B88" s="2683"/>
      <c r="C88" s="263" t="s">
        <v>1953</v>
      </c>
      <c r="D88" s="500" t="s">
        <v>1955</v>
      </c>
      <c r="E88" s="245" t="s">
        <v>47</v>
      </c>
      <c r="F88" s="329">
        <v>130000</v>
      </c>
      <c r="G88" s="520"/>
      <c r="H88" s="521"/>
      <c r="I88" s="521"/>
      <c r="J88" s="521"/>
      <c r="K88" s="521"/>
      <c r="L88" s="521"/>
      <c r="M88" s="521"/>
      <c r="N88" s="521"/>
      <c r="O88" s="521"/>
      <c r="P88" s="521"/>
      <c r="Q88" s="521"/>
      <c r="R88" s="521"/>
      <c r="S88" s="521"/>
      <c r="T88" s="521"/>
      <c r="U88" s="521"/>
      <c r="V88" s="521"/>
      <c r="W88" s="521"/>
      <c r="X88" s="521"/>
      <c r="Y88" s="521"/>
      <c r="Z88" s="521"/>
      <c r="AA88" s="521"/>
      <c r="AB88" s="521"/>
      <c r="AC88" s="521"/>
      <c r="AD88" s="521"/>
      <c r="AE88" s="521"/>
      <c r="AF88" s="521"/>
      <c r="AG88" s="521"/>
      <c r="AH88" s="521"/>
      <c r="AI88" s="521"/>
      <c r="AJ88" s="521"/>
      <c r="AK88" s="521"/>
      <c r="AL88" s="914"/>
      <c r="AM88" s="2032">
        <f t="shared" si="1"/>
        <v>0</v>
      </c>
      <c r="AN88" s="2697"/>
    </row>
    <row r="89" spans="1:81" ht="18" customHeight="1" thickBot="1">
      <c r="A89" s="2677"/>
      <c r="B89" s="2684"/>
      <c r="C89" s="1743" t="s">
        <v>1500</v>
      </c>
      <c r="D89" s="1240"/>
      <c r="E89" s="776" t="s">
        <v>47</v>
      </c>
      <c r="F89" s="1841">
        <v>40000</v>
      </c>
      <c r="G89" s="503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04"/>
      <c r="X89" s="504"/>
      <c r="Y89" s="504"/>
      <c r="Z89" s="504"/>
      <c r="AA89" s="504"/>
      <c r="AB89" s="504"/>
      <c r="AC89" s="504"/>
      <c r="AD89" s="504"/>
      <c r="AE89" s="504"/>
      <c r="AF89" s="504"/>
      <c r="AG89" s="504"/>
      <c r="AH89" s="504"/>
      <c r="AI89" s="504"/>
      <c r="AJ89" s="504"/>
      <c r="AK89" s="504"/>
      <c r="AL89" s="332">
        <f t="shared" si="0"/>
        <v>0</v>
      </c>
      <c r="AM89" s="2033">
        <f t="shared" si="1"/>
        <v>0</v>
      </c>
      <c r="AN89" s="2737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</row>
    <row r="90" spans="1:81" ht="18" customHeight="1" thickBot="1">
      <c r="A90" s="2677"/>
      <c r="B90" s="2736" t="s">
        <v>1956</v>
      </c>
      <c r="C90" s="1694" t="s">
        <v>1957</v>
      </c>
      <c r="D90" s="2028" t="s">
        <v>1958</v>
      </c>
      <c r="E90" s="1111" t="s">
        <v>47</v>
      </c>
      <c r="F90" s="2029">
        <v>710000</v>
      </c>
      <c r="G90" s="514"/>
      <c r="H90" s="515"/>
      <c r="I90" s="515"/>
      <c r="J90" s="515"/>
      <c r="K90" s="515"/>
      <c r="L90" s="515"/>
      <c r="M90" s="515"/>
      <c r="N90" s="515"/>
      <c r="O90" s="515"/>
      <c r="P90" s="515"/>
      <c r="Q90" s="515"/>
      <c r="R90" s="515"/>
      <c r="S90" s="515"/>
      <c r="T90" s="515"/>
      <c r="U90" s="515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2030">
        <f t="shared" si="0"/>
        <v>0</v>
      </c>
      <c r="AM90" s="1587">
        <f t="shared" si="1"/>
        <v>0</v>
      </c>
      <c r="AN90" s="2688">
        <f>SUM(AM90:AM93)</f>
        <v>0</v>
      </c>
    </row>
    <row r="91" spans="1:81" ht="18" customHeight="1" thickBot="1">
      <c r="A91" s="2677"/>
      <c r="B91" s="2724"/>
      <c r="C91" s="1442"/>
      <c r="D91" s="749"/>
      <c r="E91" s="773"/>
      <c r="F91" s="1842"/>
      <c r="G91" s="499"/>
      <c r="H91" s="502"/>
      <c r="I91" s="502"/>
      <c r="J91" s="502"/>
      <c r="K91" s="502"/>
      <c r="L91" s="502"/>
      <c r="M91" s="502"/>
      <c r="N91" s="502"/>
      <c r="O91" s="502"/>
      <c r="P91" s="502"/>
      <c r="Q91" s="502"/>
      <c r="R91" s="502"/>
      <c r="S91" s="502"/>
      <c r="T91" s="502"/>
      <c r="U91" s="502"/>
      <c r="V91" s="502"/>
      <c r="W91" s="502"/>
      <c r="X91" s="502"/>
      <c r="Y91" s="502"/>
      <c r="Z91" s="502"/>
      <c r="AA91" s="502"/>
      <c r="AB91" s="502"/>
      <c r="AC91" s="502"/>
      <c r="AD91" s="502"/>
      <c r="AE91" s="502"/>
      <c r="AF91" s="502"/>
      <c r="AG91" s="502"/>
      <c r="AH91" s="502"/>
      <c r="AI91" s="502"/>
      <c r="AJ91" s="502"/>
      <c r="AK91" s="502"/>
      <c r="AL91" s="1739">
        <f t="shared" si="0"/>
        <v>0</v>
      </c>
      <c r="AM91" s="1588">
        <f t="shared" si="1"/>
        <v>0</v>
      </c>
      <c r="AN91" s="2688"/>
    </row>
    <row r="92" spans="1:81" ht="18" customHeight="1" thickBot="1">
      <c r="A92" s="2677"/>
      <c r="B92" s="2724"/>
      <c r="C92" s="1442"/>
      <c r="D92" s="749"/>
      <c r="E92" s="773"/>
      <c r="F92" s="1842"/>
      <c r="G92" s="499"/>
      <c r="H92" s="502"/>
      <c r="I92" s="502"/>
      <c r="J92" s="502"/>
      <c r="K92" s="502"/>
      <c r="L92" s="502"/>
      <c r="M92" s="502"/>
      <c r="N92" s="502"/>
      <c r="O92" s="502"/>
      <c r="P92" s="502"/>
      <c r="Q92" s="502"/>
      <c r="R92" s="502"/>
      <c r="S92" s="502"/>
      <c r="T92" s="502"/>
      <c r="U92" s="502"/>
      <c r="V92" s="502"/>
      <c r="W92" s="502"/>
      <c r="X92" s="502"/>
      <c r="Y92" s="502"/>
      <c r="Z92" s="502"/>
      <c r="AA92" s="502"/>
      <c r="AB92" s="502"/>
      <c r="AC92" s="502"/>
      <c r="AD92" s="502"/>
      <c r="AE92" s="502"/>
      <c r="AF92" s="502"/>
      <c r="AG92" s="502"/>
      <c r="AH92" s="502"/>
      <c r="AI92" s="502"/>
      <c r="AJ92" s="502"/>
      <c r="AK92" s="502"/>
      <c r="AL92" s="1739">
        <f t="shared" si="0"/>
        <v>0</v>
      </c>
      <c r="AM92" s="1588">
        <f t="shared" si="1"/>
        <v>0</v>
      </c>
      <c r="AN92" s="2688"/>
    </row>
    <row r="93" spans="1:81" ht="18" customHeight="1" thickBot="1">
      <c r="A93" s="2677"/>
      <c r="B93" s="2725"/>
      <c r="C93" s="524"/>
      <c r="D93" s="606"/>
      <c r="E93" s="527" t="s">
        <v>47</v>
      </c>
      <c r="F93" s="564"/>
      <c r="G93" s="509"/>
      <c r="H93" s="510"/>
      <c r="I93" s="510"/>
      <c r="J93" s="510"/>
      <c r="K93" s="510"/>
      <c r="L93" s="510"/>
      <c r="M93" s="510"/>
      <c r="N93" s="510"/>
      <c r="O93" s="510"/>
      <c r="P93" s="510"/>
      <c r="Q93" s="510"/>
      <c r="R93" s="510"/>
      <c r="S93" s="510"/>
      <c r="T93" s="510"/>
      <c r="U93" s="510"/>
      <c r="V93" s="510"/>
      <c r="W93" s="510"/>
      <c r="X93" s="510"/>
      <c r="Y93" s="510"/>
      <c r="Z93" s="510"/>
      <c r="AA93" s="510"/>
      <c r="AB93" s="510"/>
      <c r="AC93" s="510"/>
      <c r="AD93" s="510"/>
      <c r="AE93" s="510"/>
      <c r="AF93" s="510"/>
      <c r="AG93" s="510"/>
      <c r="AH93" s="510"/>
      <c r="AI93" s="510"/>
      <c r="AJ93" s="510"/>
      <c r="AK93" s="510"/>
      <c r="AL93" s="1861">
        <f t="shared" si="0"/>
        <v>0</v>
      </c>
      <c r="AM93" s="1184">
        <f t="shared" si="1"/>
        <v>0</v>
      </c>
      <c r="AN93" s="2738"/>
    </row>
    <row r="94" spans="1:81" ht="17.25" customHeight="1" thickBot="1">
      <c r="A94" s="2677"/>
      <c r="B94" s="2667" t="s">
        <v>578</v>
      </c>
      <c r="C94" s="522" t="s">
        <v>623</v>
      </c>
      <c r="D94" s="1815" t="s">
        <v>624</v>
      </c>
      <c r="E94" s="249" t="s">
        <v>462</v>
      </c>
      <c r="F94" s="523">
        <v>80000</v>
      </c>
      <c r="G94" s="507"/>
      <c r="H94" s="508"/>
      <c r="I94" s="508"/>
      <c r="J94" s="508"/>
      <c r="K94" s="508"/>
      <c r="L94" s="508"/>
      <c r="M94" s="508"/>
      <c r="N94" s="508"/>
      <c r="O94" s="508"/>
      <c r="P94" s="508"/>
      <c r="Q94" s="508"/>
      <c r="R94" s="508"/>
      <c r="S94" s="508"/>
      <c r="T94" s="508"/>
      <c r="U94" s="508"/>
      <c r="V94" s="508"/>
      <c r="W94" s="508"/>
      <c r="X94" s="508"/>
      <c r="Y94" s="508"/>
      <c r="Z94" s="508"/>
      <c r="AA94" s="508"/>
      <c r="AB94" s="508"/>
      <c r="AC94" s="508"/>
      <c r="AD94" s="508"/>
      <c r="AE94" s="508"/>
      <c r="AF94" s="508"/>
      <c r="AG94" s="508"/>
      <c r="AH94" s="508"/>
      <c r="AI94" s="508"/>
      <c r="AJ94" s="508"/>
      <c r="AK94" s="508"/>
      <c r="AL94" s="914">
        <f t="shared" ref="AL94:AL109" si="16">SUM(G94:AK94)</f>
        <v>0</v>
      </c>
      <c r="AM94" s="1585">
        <f>F94*AL94</f>
        <v>0</v>
      </c>
      <c r="AN94" s="1781"/>
      <c r="AO94"/>
    </row>
    <row r="95" spans="1:81" ht="17.25" customHeight="1">
      <c r="A95" s="2677"/>
      <c r="B95" s="2668"/>
      <c r="C95" s="263" t="s">
        <v>638</v>
      </c>
      <c r="D95" s="500"/>
      <c r="E95" s="245" t="s">
        <v>462</v>
      </c>
      <c r="F95" s="329">
        <v>150000</v>
      </c>
      <c r="G95" s="499"/>
      <c r="H95" s="502"/>
      <c r="I95" s="502"/>
      <c r="J95" s="502"/>
      <c r="K95" s="502"/>
      <c r="L95" s="502"/>
      <c r="M95" s="502"/>
      <c r="N95" s="502"/>
      <c r="O95" s="502"/>
      <c r="P95" s="502"/>
      <c r="Q95" s="502"/>
      <c r="R95" s="502"/>
      <c r="S95" s="502"/>
      <c r="T95" s="502"/>
      <c r="U95" s="502"/>
      <c r="V95" s="502"/>
      <c r="W95" s="502"/>
      <c r="X95" s="502"/>
      <c r="Y95" s="502"/>
      <c r="Z95" s="502"/>
      <c r="AA95" s="502"/>
      <c r="AB95" s="502"/>
      <c r="AC95" s="502"/>
      <c r="AD95" s="502"/>
      <c r="AE95" s="502"/>
      <c r="AF95" s="502"/>
      <c r="AG95" s="502"/>
      <c r="AH95" s="502"/>
      <c r="AI95" s="502"/>
      <c r="AJ95" s="502"/>
      <c r="AK95" s="502"/>
      <c r="AL95" s="528">
        <f t="shared" si="16"/>
        <v>0</v>
      </c>
      <c r="AM95" s="1233">
        <f>F95*AL95</f>
        <v>0</v>
      </c>
      <c r="AN95" s="1782"/>
      <c r="AO95"/>
    </row>
    <row r="96" spans="1:81" ht="17.25" customHeight="1">
      <c r="A96" s="2677"/>
      <c r="B96" s="2668"/>
      <c r="C96" s="263" t="s">
        <v>639</v>
      </c>
      <c r="D96" s="500"/>
      <c r="E96" s="245" t="s">
        <v>462</v>
      </c>
      <c r="F96" s="329">
        <v>50000</v>
      </c>
      <c r="G96" s="499"/>
      <c r="H96" s="502"/>
      <c r="I96" s="502"/>
      <c r="J96" s="502"/>
      <c r="K96" s="502"/>
      <c r="L96" s="502"/>
      <c r="M96" s="502"/>
      <c r="N96" s="502"/>
      <c r="O96" s="502"/>
      <c r="P96" s="502"/>
      <c r="Q96" s="502"/>
      <c r="R96" s="502"/>
      <c r="S96" s="502"/>
      <c r="T96" s="502"/>
      <c r="U96" s="502"/>
      <c r="V96" s="502"/>
      <c r="W96" s="502"/>
      <c r="X96" s="502"/>
      <c r="Y96" s="502"/>
      <c r="Z96" s="502"/>
      <c r="AA96" s="502"/>
      <c r="AB96" s="502"/>
      <c r="AC96" s="502"/>
      <c r="AD96" s="502"/>
      <c r="AE96" s="502"/>
      <c r="AF96" s="502"/>
      <c r="AG96" s="502"/>
      <c r="AH96" s="502"/>
      <c r="AI96" s="502"/>
      <c r="AJ96" s="502"/>
      <c r="AK96" s="502"/>
      <c r="AL96" s="528">
        <f t="shared" si="16"/>
        <v>0</v>
      </c>
      <c r="AM96" s="1233">
        <f>F96*AL96</f>
        <v>0</v>
      </c>
      <c r="AN96" s="1782"/>
      <c r="AO96"/>
    </row>
    <row r="97" spans="1:81" ht="17.25" customHeight="1">
      <c r="A97" s="2677"/>
      <c r="B97" s="2668"/>
      <c r="C97" s="263" t="s">
        <v>640</v>
      </c>
      <c r="D97" s="500"/>
      <c r="E97" s="245">
        <v>1</v>
      </c>
      <c r="F97" s="329">
        <v>100000</v>
      </c>
      <c r="G97" s="499"/>
      <c r="H97" s="502"/>
      <c r="I97" s="502"/>
      <c r="J97" s="502"/>
      <c r="K97" s="502"/>
      <c r="L97" s="502"/>
      <c r="M97" s="502"/>
      <c r="N97" s="502"/>
      <c r="O97" s="502"/>
      <c r="P97" s="502"/>
      <c r="Q97" s="502"/>
      <c r="R97" s="502"/>
      <c r="S97" s="502"/>
      <c r="T97" s="502"/>
      <c r="U97" s="502"/>
      <c r="V97" s="502"/>
      <c r="W97" s="502"/>
      <c r="X97" s="502"/>
      <c r="Y97" s="502"/>
      <c r="Z97" s="502"/>
      <c r="AA97" s="502"/>
      <c r="AB97" s="502"/>
      <c r="AC97" s="502"/>
      <c r="AD97" s="502"/>
      <c r="AE97" s="502"/>
      <c r="AF97" s="502"/>
      <c r="AG97" s="502"/>
      <c r="AH97" s="502"/>
      <c r="AI97" s="502"/>
      <c r="AJ97" s="502"/>
      <c r="AK97" s="502"/>
      <c r="AL97" s="528">
        <f t="shared" si="16"/>
        <v>0</v>
      </c>
      <c r="AM97" s="1233">
        <f>F97*AL97</f>
        <v>0</v>
      </c>
      <c r="AN97" s="1782"/>
      <c r="AO97"/>
    </row>
    <row r="98" spans="1:81" ht="17.25" customHeight="1" thickBot="1">
      <c r="A98" s="2677"/>
      <c r="B98" s="2669"/>
      <c r="C98" s="544" t="s">
        <v>579</v>
      </c>
      <c r="D98" s="1525"/>
      <c r="E98" s="271" t="s">
        <v>462</v>
      </c>
      <c r="F98" s="547">
        <v>1200000</v>
      </c>
      <c r="G98" s="545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46"/>
      <c r="AB98" s="546"/>
      <c r="AC98" s="546"/>
      <c r="AD98" s="546"/>
      <c r="AE98" s="546"/>
      <c r="AF98" s="546"/>
      <c r="AG98" s="546"/>
      <c r="AH98" s="546"/>
      <c r="AI98" s="546"/>
      <c r="AJ98" s="546"/>
      <c r="AK98" s="546"/>
      <c r="AL98" s="325">
        <f t="shared" si="16"/>
        <v>0</v>
      </c>
      <c r="AM98" s="570">
        <f>F98*AL98</f>
        <v>0</v>
      </c>
      <c r="AN98" s="1783"/>
      <c r="AO98"/>
      <c r="AP98" s="319" t="s">
        <v>712</v>
      </c>
    </row>
    <row r="99" spans="1:81" s="532" customFormat="1" ht="17.25" customHeight="1" thickBot="1">
      <c r="A99" s="2677"/>
      <c r="B99" s="2034" t="s">
        <v>1213</v>
      </c>
      <c r="C99" s="265" t="s">
        <v>1214</v>
      </c>
      <c r="D99" s="1818"/>
      <c r="E99" s="268" t="s">
        <v>32</v>
      </c>
      <c r="F99" s="1183">
        <v>3000</v>
      </c>
      <c r="G99" s="520"/>
      <c r="H99" s="521"/>
      <c r="I99" s="521"/>
      <c r="J99" s="521"/>
      <c r="K99" s="1518"/>
      <c r="L99" s="1518"/>
      <c r="M99" s="1518"/>
      <c r="N99" s="1518"/>
      <c r="O99" s="1518"/>
      <c r="P99" s="1518"/>
      <c r="Q99" s="1518"/>
      <c r="R99" s="1518"/>
      <c r="S99" s="1518"/>
      <c r="T99" s="1518"/>
      <c r="U99" s="1518"/>
      <c r="V99" s="1518"/>
      <c r="W99" s="1518"/>
      <c r="X99" s="1518"/>
      <c r="Y99" s="1518"/>
      <c r="Z99" s="521"/>
      <c r="AA99" s="521"/>
      <c r="AB99" s="521"/>
      <c r="AC99" s="521"/>
      <c r="AD99" s="521"/>
      <c r="AE99" s="521"/>
      <c r="AF99" s="521"/>
      <c r="AG99" s="521"/>
      <c r="AH99" s="521"/>
      <c r="AI99" s="521"/>
      <c r="AJ99" s="521"/>
      <c r="AK99" s="521"/>
      <c r="AL99" s="567">
        <f t="shared" si="16"/>
        <v>0</v>
      </c>
      <c r="AM99" s="2035">
        <f>AL99*F99</f>
        <v>0</v>
      </c>
      <c r="AN99" s="1783"/>
      <c r="AO99"/>
    </row>
    <row r="100" spans="1:81" ht="17.25" customHeight="1">
      <c r="A100" s="2678"/>
      <c r="B100" s="2691" t="s">
        <v>1287</v>
      </c>
      <c r="C100" s="267" t="s">
        <v>1288</v>
      </c>
      <c r="D100" s="1811" t="s">
        <v>1289</v>
      </c>
      <c r="E100" s="239" t="s">
        <v>659</v>
      </c>
      <c r="F100" s="328">
        <v>2040000</v>
      </c>
      <c r="G100" s="511"/>
      <c r="H100" s="501"/>
      <c r="I100" s="501"/>
      <c r="J100" s="501"/>
      <c r="K100" s="501"/>
      <c r="L100" s="501"/>
      <c r="M100" s="501"/>
      <c r="N100" s="501"/>
      <c r="O100" s="501"/>
      <c r="P100" s="501"/>
      <c r="Q100" s="501"/>
      <c r="R100" s="501"/>
      <c r="S100" s="501"/>
      <c r="T100" s="501"/>
      <c r="U100" s="501"/>
      <c r="V100" s="501"/>
      <c r="W100" s="501"/>
      <c r="X100" s="501"/>
      <c r="Y100" s="501"/>
      <c r="Z100" s="501"/>
      <c r="AA100" s="501"/>
      <c r="AB100" s="501"/>
      <c r="AC100" s="501"/>
      <c r="AD100" s="501"/>
      <c r="AE100" s="501"/>
      <c r="AF100" s="501"/>
      <c r="AG100" s="501"/>
      <c r="AH100" s="501"/>
      <c r="AI100" s="501"/>
      <c r="AJ100" s="501"/>
      <c r="AK100" s="501"/>
      <c r="AL100" s="323">
        <f t="shared" si="16"/>
        <v>0</v>
      </c>
      <c r="AM100" s="575">
        <f t="shared" ref="AM100:AM109" si="17">F100*AL100</f>
        <v>0</v>
      </c>
      <c r="AN100" s="2673">
        <f>SUM(AM100:AM102)</f>
        <v>0</v>
      </c>
      <c r="AO100"/>
    </row>
    <row r="101" spans="1:81" ht="17.25" customHeight="1">
      <c r="A101" s="2678"/>
      <c r="B101" s="2692"/>
      <c r="C101" s="263" t="s">
        <v>2004</v>
      </c>
      <c r="D101" s="500" t="s">
        <v>2005</v>
      </c>
      <c r="E101" s="245" t="s">
        <v>573</v>
      </c>
      <c r="F101" s="329">
        <v>40000</v>
      </c>
      <c r="G101" s="499"/>
      <c r="H101" s="502"/>
      <c r="I101" s="502"/>
      <c r="J101" s="502"/>
      <c r="K101" s="502"/>
      <c r="L101" s="502"/>
      <c r="M101" s="502"/>
      <c r="N101" s="502"/>
      <c r="O101" s="502"/>
      <c r="P101" s="502"/>
      <c r="Q101" s="502"/>
      <c r="R101" s="502"/>
      <c r="S101" s="502"/>
      <c r="T101" s="502"/>
      <c r="U101" s="502"/>
      <c r="V101" s="502"/>
      <c r="W101" s="502"/>
      <c r="X101" s="502"/>
      <c r="Y101" s="502"/>
      <c r="Z101" s="502"/>
      <c r="AA101" s="502"/>
      <c r="AB101" s="502"/>
      <c r="AC101" s="502"/>
      <c r="AD101" s="502"/>
      <c r="AE101" s="502"/>
      <c r="AF101" s="502"/>
      <c r="AG101" s="502"/>
      <c r="AH101" s="502"/>
      <c r="AI101" s="502"/>
      <c r="AJ101" s="502"/>
      <c r="AK101" s="502"/>
      <c r="AL101" s="324">
        <f t="shared" si="16"/>
        <v>0</v>
      </c>
      <c r="AM101" s="531">
        <f t="shared" si="17"/>
        <v>0</v>
      </c>
      <c r="AN101" s="2674"/>
      <c r="AO101"/>
    </row>
    <row r="102" spans="1:81" ht="17.25" customHeight="1" thickBot="1">
      <c r="A102" s="2678"/>
      <c r="B102" s="2693"/>
      <c r="C102" s="270" t="s">
        <v>2004</v>
      </c>
      <c r="D102" s="581" t="s">
        <v>2006</v>
      </c>
      <c r="E102" s="246" t="s">
        <v>659</v>
      </c>
      <c r="F102" s="330">
        <v>500000</v>
      </c>
      <c r="G102" s="503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04"/>
      <c r="X102" s="504"/>
      <c r="Y102" s="504"/>
      <c r="Z102" s="504"/>
      <c r="AA102" s="504"/>
      <c r="AB102" s="50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325">
        <f t="shared" si="16"/>
        <v>0</v>
      </c>
      <c r="AM102" s="570">
        <f t="shared" si="17"/>
        <v>0</v>
      </c>
      <c r="AN102" s="2675"/>
      <c r="AO102"/>
    </row>
    <row r="103" spans="1:81" ht="17.25" customHeight="1" thickBot="1">
      <c r="A103" s="2677"/>
      <c r="B103" s="1941" t="s">
        <v>1290</v>
      </c>
      <c r="C103" s="265" t="s">
        <v>1291</v>
      </c>
      <c r="D103" s="1818" t="s">
        <v>1292</v>
      </c>
      <c r="E103" s="2036" t="s">
        <v>659</v>
      </c>
      <c r="F103" s="987">
        <v>1950000</v>
      </c>
      <c r="G103" s="520"/>
      <c r="H103" s="521"/>
      <c r="I103" s="521"/>
      <c r="J103" s="521"/>
      <c r="K103" s="521"/>
      <c r="L103" s="521"/>
      <c r="M103" s="521"/>
      <c r="N103" s="521"/>
      <c r="O103" s="521"/>
      <c r="P103" s="521"/>
      <c r="Q103" s="521"/>
      <c r="R103" s="521"/>
      <c r="S103" s="521"/>
      <c r="T103" s="521"/>
      <c r="U103" s="521"/>
      <c r="V103" s="521"/>
      <c r="W103" s="521"/>
      <c r="X103" s="521"/>
      <c r="Y103" s="521"/>
      <c r="Z103" s="521"/>
      <c r="AA103" s="521"/>
      <c r="AB103" s="521"/>
      <c r="AC103" s="521"/>
      <c r="AD103" s="521"/>
      <c r="AE103" s="521"/>
      <c r="AF103" s="521"/>
      <c r="AG103" s="521"/>
      <c r="AH103" s="521"/>
      <c r="AI103" s="521"/>
      <c r="AJ103" s="521"/>
      <c r="AK103" s="521"/>
      <c r="AL103" s="567">
        <f t="shared" si="16"/>
        <v>0</v>
      </c>
      <c r="AM103" s="1580">
        <f t="shared" si="17"/>
        <v>0</v>
      </c>
      <c r="AN103" s="1788"/>
      <c r="AO103"/>
    </row>
    <row r="104" spans="1:81" ht="17.25" customHeight="1" thickBot="1">
      <c r="A104" s="2677"/>
      <c r="B104" s="1943" t="s">
        <v>759</v>
      </c>
      <c r="C104" s="326" t="s">
        <v>760</v>
      </c>
      <c r="D104" s="1816" t="s">
        <v>761</v>
      </c>
      <c r="E104" s="256" t="s">
        <v>673</v>
      </c>
      <c r="F104" s="327">
        <v>400000</v>
      </c>
      <c r="G104" s="505"/>
      <c r="H104" s="506"/>
      <c r="I104" s="506"/>
      <c r="J104" s="506"/>
      <c r="K104" s="506"/>
      <c r="L104" s="506"/>
      <c r="M104" s="506"/>
      <c r="N104" s="506"/>
      <c r="O104" s="506"/>
      <c r="P104" s="506"/>
      <c r="Q104" s="506"/>
      <c r="R104" s="506"/>
      <c r="S104" s="506"/>
      <c r="T104" s="506"/>
      <c r="U104" s="506"/>
      <c r="V104" s="506"/>
      <c r="W104" s="506"/>
      <c r="X104" s="506"/>
      <c r="Y104" s="506"/>
      <c r="Z104" s="506"/>
      <c r="AA104" s="506"/>
      <c r="AB104" s="506"/>
      <c r="AC104" s="506"/>
      <c r="AD104" s="506"/>
      <c r="AE104" s="506"/>
      <c r="AF104" s="506"/>
      <c r="AG104" s="506"/>
      <c r="AH104" s="506"/>
      <c r="AI104" s="506"/>
      <c r="AJ104" s="506"/>
      <c r="AK104" s="506"/>
      <c r="AL104" s="332">
        <f t="shared" si="16"/>
        <v>0</v>
      </c>
      <c r="AM104" s="1585">
        <f t="shared" si="17"/>
        <v>0</v>
      </c>
      <c r="AN104" s="1788"/>
      <c r="AO104"/>
    </row>
    <row r="105" spans="1:81" s="1581" customFormat="1" ht="18" customHeight="1" thickBot="1">
      <c r="A105" s="2677"/>
      <c r="B105" s="2685" t="s">
        <v>1847</v>
      </c>
      <c r="C105" s="1862" t="s">
        <v>1849</v>
      </c>
      <c r="D105" s="1863" t="s">
        <v>1848</v>
      </c>
      <c r="E105" s="239" t="s">
        <v>47</v>
      </c>
      <c r="F105" s="1702">
        <v>115000</v>
      </c>
      <c r="G105" s="511"/>
      <c r="H105" s="501"/>
      <c r="I105" s="501"/>
      <c r="J105" s="501"/>
      <c r="K105" s="501"/>
      <c r="L105" s="501"/>
      <c r="M105" s="501"/>
      <c r="N105" s="501"/>
      <c r="O105" s="501"/>
      <c r="P105" s="501"/>
      <c r="Q105" s="501"/>
      <c r="R105" s="501"/>
      <c r="S105" s="501"/>
      <c r="T105" s="501"/>
      <c r="U105" s="501"/>
      <c r="V105" s="501"/>
      <c r="W105" s="501"/>
      <c r="X105" s="501"/>
      <c r="Y105" s="501"/>
      <c r="Z105" s="501"/>
      <c r="AA105" s="501"/>
      <c r="AB105" s="501"/>
      <c r="AC105" s="501"/>
      <c r="AD105" s="501"/>
      <c r="AE105" s="501"/>
      <c r="AF105" s="501"/>
      <c r="AG105" s="501"/>
      <c r="AH105" s="501"/>
      <c r="AI105" s="501"/>
      <c r="AJ105" s="501"/>
      <c r="AK105" s="501"/>
      <c r="AL105" s="914">
        <f t="shared" si="16"/>
        <v>0</v>
      </c>
      <c r="AM105" s="575">
        <f t="shared" si="17"/>
        <v>0</v>
      </c>
      <c r="AN105" s="2673">
        <f>SUM(AM105:AM106)</f>
        <v>0</v>
      </c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</row>
    <row r="106" spans="1:81" s="1581" customFormat="1" ht="18" customHeight="1" thickBot="1">
      <c r="A106" s="2677"/>
      <c r="B106" s="2686"/>
      <c r="C106" s="1864" t="s">
        <v>1849</v>
      </c>
      <c r="D106" s="1865" t="s">
        <v>1848</v>
      </c>
      <c r="E106" s="246" t="s">
        <v>47</v>
      </c>
      <c r="F106" s="1710">
        <v>100000</v>
      </c>
      <c r="G106" s="503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04"/>
      <c r="X106" s="504"/>
      <c r="Y106" s="504"/>
      <c r="Z106" s="504"/>
      <c r="AA106" s="504"/>
      <c r="AB106" s="50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332">
        <f t="shared" si="16"/>
        <v>0</v>
      </c>
      <c r="AM106" s="570">
        <f t="shared" si="17"/>
        <v>0</v>
      </c>
      <c r="AN106" s="2675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</row>
    <row r="107" spans="1:81" ht="16.5" customHeight="1" thickBot="1">
      <c r="A107" s="2677"/>
      <c r="B107" s="2667" t="s">
        <v>662</v>
      </c>
      <c r="C107" s="267" t="s">
        <v>679</v>
      </c>
      <c r="D107" s="1811"/>
      <c r="E107" s="239" t="s">
        <v>680</v>
      </c>
      <c r="F107" s="328">
        <v>1200000</v>
      </c>
      <c r="G107" s="511"/>
      <c r="H107" s="501"/>
      <c r="I107" s="501"/>
      <c r="J107" s="501"/>
      <c r="K107" s="501"/>
      <c r="L107" s="501"/>
      <c r="M107" s="501"/>
      <c r="N107" s="501"/>
      <c r="O107" s="501"/>
      <c r="P107" s="501"/>
      <c r="Q107" s="501"/>
      <c r="R107" s="501"/>
      <c r="S107" s="501"/>
      <c r="T107" s="571"/>
      <c r="U107" s="501"/>
      <c r="V107" s="501"/>
      <c r="W107" s="501"/>
      <c r="X107" s="501"/>
      <c r="Y107" s="501"/>
      <c r="Z107" s="501"/>
      <c r="AA107" s="501"/>
      <c r="AB107" s="501"/>
      <c r="AC107" s="501"/>
      <c r="AD107" s="501"/>
      <c r="AE107" s="501"/>
      <c r="AF107" s="501"/>
      <c r="AG107" s="501"/>
      <c r="AH107" s="501"/>
      <c r="AI107" s="501"/>
      <c r="AJ107" s="501"/>
      <c r="AK107" s="501"/>
      <c r="AL107" s="528">
        <f t="shared" si="16"/>
        <v>0</v>
      </c>
      <c r="AM107" s="575">
        <f t="shared" si="17"/>
        <v>0</v>
      </c>
      <c r="AN107" s="1781"/>
      <c r="AO107"/>
    </row>
    <row r="108" spans="1:81" ht="16.5" customHeight="1">
      <c r="A108" s="2677"/>
      <c r="B108" s="2668"/>
      <c r="C108" s="265" t="s">
        <v>697</v>
      </c>
      <c r="D108" s="1818" t="s">
        <v>698</v>
      </c>
      <c r="E108" s="239" t="s">
        <v>573</v>
      </c>
      <c r="F108" s="987">
        <v>870000</v>
      </c>
      <c r="G108" s="520"/>
      <c r="H108" s="521"/>
      <c r="I108" s="521"/>
      <c r="J108" s="521"/>
      <c r="K108" s="521"/>
      <c r="L108" s="521"/>
      <c r="M108" s="521"/>
      <c r="N108" s="521"/>
      <c r="O108" s="521"/>
      <c r="P108" s="521"/>
      <c r="Q108" s="521"/>
      <c r="R108" s="521"/>
      <c r="S108" s="521"/>
      <c r="T108" s="574"/>
      <c r="U108" s="521"/>
      <c r="V108" s="521"/>
      <c r="W108" s="521"/>
      <c r="X108" s="521"/>
      <c r="Y108" s="521"/>
      <c r="Z108" s="521"/>
      <c r="AA108" s="521"/>
      <c r="AB108" s="521"/>
      <c r="AC108" s="521"/>
      <c r="AD108" s="521"/>
      <c r="AE108" s="521"/>
      <c r="AF108" s="521"/>
      <c r="AG108" s="521"/>
      <c r="AH108" s="521"/>
      <c r="AI108" s="521"/>
      <c r="AJ108" s="521"/>
      <c r="AK108" s="521"/>
      <c r="AL108" s="528">
        <f t="shared" si="16"/>
        <v>0</v>
      </c>
      <c r="AM108" s="531">
        <f t="shared" si="17"/>
        <v>0</v>
      </c>
      <c r="AN108" s="1782"/>
      <c r="AO108"/>
    </row>
    <row r="109" spans="1:81" ht="17.25" customHeight="1" thickBot="1">
      <c r="A109" s="2679"/>
      <c r="B109" s="2669"/>
      <c r="C109" s="270" t="s">
        <v>663</v>
      </c>
      <c r="D109" s="581" t="s">
        <v>664</v>
      </c>
      <c r="E109" s="246"/>
      <c r="F109" s="330">
        <v>1400000</v>
      </c>
      <c r="G109" s="503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69"/>
      <c r="U109" s="504"/>
      <c r="V109" s="504"/>
      <c r="W109" s="504"/>
      <c r="X109" s="504"/>
      <c r="Y109" s="504"/>
      <c r="Z109" s="504"/>
      <c r="AA109" s="504"/>
      <c r="AB109" s="50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62">
        <f t="shared" si="16"/>
        <v>0</v>
      </c>
      <c r="AM109" s="570">
        <f t="shared" si="17"/>
        <v>0</v>
      </c>
      <c r="AN109" s="1783"/>
      <c r="AO109"/>
    </row>
    <row r="110" spans="1:81" ht="17.25" customHeight="1">
      <c r="A110" s="2661" t="s">
        <v>2170</v>
      </c>
      <c r="B110" s="2680" t="s">
        <v>1745</v>
      </c>
      <c r="C110" s="267" t="s">
        <v>1746</v>
      </c>
      <c r="D110" s="1811" t="s">
        <v>2161</v>
      </c>
      <c r="E110" s="239" t="s">
        <v>750</v>
      </c>
      <c r="F110" s="328">
        <v>35000</v>
      </c>
      <c r="G110" s="511"/>
      <c r="H110" s="501"/>
      <c r="I110" s="501"/>
      <c r="J110" s="501"/>
      <c r="K110" s="501"/>
      <c r="L110" s="501"/>
      <c r="M110" s="501"/>
      <c r="N110" s="501"/>
      <c r="O110" s="501"/>
      <c r="P110" s="501"/>
      <c r="Q110" s="501"/>
      <c r="R110" s="501"/>
      <c r="S110" s="501"/>
      <c r="T110" s="501"/>
      <c r="U110" s="501"/>
      <c r="V110" s="501"/>
      <c r="W110" s="501"/>
      <c r="X110" s="501"/>
      <c r="Y110" s="501"/>
      <c r="Z110" s="501"/>
      <c r="AA110" s="501"/>
      <c r="AB110" s="501"/>
      <c r="AC110" s="501"/>
      <c r="AD110" s="501"/>
      <c r="AE110" s="501"/>
      <c r="AF110" s="501"/>
      <c r="AG110" s="501"/>
      <c r="AH110" s="501">
        <v>60</v>
      </c>
      <c r="AI110" s="501"/>
      <c r="AJ110" s="501"/>
      <c r="AK110" s="501"/>
      <c r="AL110" s="323">
        <f t="shared" ref="AL110:AL112" si="18">SUM(G110:AK110)</f>
        <v>60</v>
      </c>
      <c r="AM110" s="575">
        <f t="shared" ref="AM110:AM112" si="19">F110*AL110</f>
        <v>2100000</v>
      </c>
      <c r="AN110" s="1781"/>
      <c r="AO110"/>
    </row>
    <row r="111" spans="1:81" ht="17.25" customHeight="1" thickBot="1">
      <c r="A111" s="2662"/>
      <c r="B111" s="2681"/>
      <c r="C111" s="270"/>
      <c r="D111" s="581" t="s">
        <v>2162</v>
      </c>
      <c r="E111" s="246"/>
      <c r="F111" s="330"/>
      <c r="G111" s="503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04"/>
      <c r="X111" s="504"/>
      <c r="Y111" s="504"/>
      <c r="Z111" s="504"/>
      <c r="AA111" s="504"/>
      <c r="AB111" s="50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325">
        <f t="shared" si="18"/>
        <v>0</v>
      </c>
      <c r="AM111" s="570">
        <f t="shared" si="19"/>
        <v>0</v>
      </c>
      <c r="AN111" s="1783"/>
      <c r="AO111"/>
    </row>
    <row r="112" spans="1:81" ht="17.25" customHeight="1" thickBot="1">
      <c r="A112" s="2663"/>
      <c r="B112" s="1944" t="s">
        <v>1747</v>
      </c>
      <c r="C112" s="326" t="s">
        <v>1748</v>
      </c>
      <c r="D112" s="1816" t="s">
        <v>1749</v>
      </c>
      <c r="E112" s="256" t="s">
        <v>716</v>
      </c>
      <c r="F112" s="327">
        <v>130800</v>
      </c>
      <c r="G112" s="505"/>
      <c r="H112" s="506"/>
      <c r="I112" s="506"/>
      <c r="J112" s="506"/>
      <c r="K112" s="506"/>
      <c r="L112" s="506"/>
      <c r="M112" s="506"/>
      <c r="N112" s="506"/>
      <c r="O112" s="506"/>
      <c r="P112" s="506"/>
      <c r="Q112" s="506"/>
      <c r="R112" s="506"/>
      <c r="S112" s="506"/>
      <c r="T112" s="506"/>
      <c r="U112" s="506"/>
      <c r="V112" s="506"/>
      <c r="W112" s="506"/>
      <c r="X112" s="506"/>
      <c r="Y112" s="506"/>
      <c r="Z112" s="506"/>
      <c r="AA112" s="506"/>
      <c r="AB112" s="506"/>
      <c r="AC112" s="506"/>
      <c r="AD112" s="506"/>
      <c r="AE112" s="506"/>
      <c r="AF112" s="506"/>
      <c r="AG112" s="506"/>
      <c r="AH112" s="506"/>
      <c r="AI112" s="506"/>
      <c r="AJ112" s="506"/>
      <c r="AK112" s="506"/>
      <c r="AL112" s="325">
        <f t="shared" si="18"/>
        <v>0</v>
      </c>
      <c r="AM112" s="570">
        <f t="shared" si="19"/>
        <v>0</v>
      </c>
      <c r="AN112" s="1788"/>
      <c r="AO112"/>
    </row>
    <row r="113" spans="1:42" ht="17.25" customHeight="1">
      <c r="A113" s="2664" t="s">
        <v>1527</v>
      </c>
      <c r="B113" s="2733" t="s">
        <v>1481</v>
      </c>
      <c r="C113" s="267" t="s">
        <v>1544</v>
      </c>
      <c r="D113" s="1811" t="s">
        <v>2045</v>
      </c>
      <c r="E113" s="239" t="s">
        <v>47</v>
      </c>
      <c r="F113" s="328">
        <v>1</v>
      </c>
      <c r="G113" s="511"/>
      <c r="H113" s="501"/>
      <c r="I113" s="501"/>
      <c r="J113" s="501"/>
      <c r="K113" s="501"/>
      <c r="L113" s="501"/>
      <c r="M113" s="501"/>
      <c r="N113" s="501"/>
      <c r="O113" s="501"/>
      <c r="P113" s="501"/>
      <c r="Q113" s="501"/>
      <c r="R113" s="501"/>
      <c r="S113" s="501"/>
      <c r="T113" s="501"/>
      <c r="U113" s="501"/>
      <c r="V113" s="501"/>
      <c r="W113" s="501"/>
      <c r="X113" s="501"/>
      <c r="Y113" s="501"/>
      <c r="Z113" s="501"/>
      <c r="AA113" s="501"/>
      <c r="AB113" s="501"/>
      <c r="AC113" s="501"/>
      <c r="AD113" s="501"/>
      <c r="AE113" s="501"/>
      <c r="AF113" s="501"/>
      <c r="AG113" s="501"/>
      <c r="AH113" s="501"/>
      <c r="AI113" s="501"/>
      <c r="AJ113" s="501"/>
      <c r="AK113" s="501"/>
      <c r="AL113" s="323">
        <f>SUM(G113:AK113)</f>
        <v>0</v>
      </c>
      <c r="AM113" s="575">
        <f>F113*AL113</f>
        <v>0</v>
      </c>
      <c r="AN113" s="1781"/>
      <c r="AO113"/>
    </row>
    <row r="114" spans="1:42" ht="17.25" customHeight="1" thickBot="1">
      <c r="A114" s="2665"/>
      <c r="B114" s="2734"/>
      <c r="C114" s="524" t="s">
        <v>1482</v>
      </c>
      <c r="D114" s="606" t="s">
        <v>1483</v>
      </c>
      <c r="E114" s="251" t="s">
        <v>47</v>
      </c>
      <c r="F114" s="525">
        <v>3000</v>
      </c>
      <c r="G114" s="509"/>
      <c r="H114" s="510"/>
      <c r="I114" s="510"/>
      <c r="J114" s="510"/>
      <c r="K114" s="510"/>
      <c r="L114" s="510"/>
      <c r="M114" s="510"/>
      <c r="N114" s="510"/>
      <c r="O114" s="510"/>
      <c r="P114" s="510"/>
      <c r="Q114" s="510"/>
      <c r="R114" s="510"/>
      <c r="S114" s="510"/>
      <c r="T114" s="510"/>
      <c r="U114" s="510"/>
      <c r="V114" s="510"/>
      <c r="W114" s="510"/>
      <c r="X114" s="510"/>
      <c r="Y114" s="510"/>
      <c r="Z114" s="510"/>
      <c r="AA114" s="510"/>
      <c r="AB114" s="510"/>
      <c r="AC114" s="510"/>
      <c r="AD114" s="510"/>
      <c r="AE114" s="510"/>
      <c r="AF114" s="510"/>
      <c r="AG114" s="510"/>
      <c r="AH114" s="510"/>
      <c r="AI114" s="510"/>
      <c r="AJ114" s="510"/>
      <c r="AK114" s="510"/>
      <c r="AL114" s="528">
        <f>SUM(G114:AK114)</f>
        <v>0</v>
      </c>
      <c r="AM114" s="1233">
        <f>F114*AL114</f>
        <v>0</v>
      </c>
      <c r="AN114" s="1783"/>
      <c r="AO114"/>
    </row>
    <row r="115" spans="1:42" ht="17.25" customHeight="1" thickBot="1">
      <c r="A115" s="2666"/>
      <c r="B115" s="2735"/>
      <c r="C115" s="524" t="s">
        <v>2280</v>
      </c>
      <c r="D115" s="524" t="s">
        <v>2281</v>
      </c>
      <c r="E115" s="256" t="s">
        <v>716</v>
      </c>
      <c r="F115" s="2288">
        <v>3192.5</v>
      </c>
      <c r="G115" s="509"/>
      <c r="H115" s="510">
        <v>150</v>
      </c>
      <c r="I115" s="510"/>
      <c r="J115" s="510"/>
      <c r="K115" s="510"/>
      <c r="L115" s="510"/>
      <c r="M115" s="510"/>
      <c r="N115" s="510"/>
      <c r="O115" s="510"/>
      <c r="P115" s="510"/>
      <c r="Q115" s="510"/>
      <c r="R115" s="510"/>
      <c r="S115" s="510"/>
      <c r="T115" s="510"/>
      <c r="U115" s="510"/>
      <c r="V115" s="510"/>
      <c r="W115" s="510"/>
      <c r="X115" s="510"/>
      <c r="Y115" s="510"/>
      <c r="Z115" s="510"/>
      <c r="AA115" s="510"/>
      <c r="AB115" s="510"/>
      <c r="AC115" s="510"/>
      <c r="AD115" s="510"/>
      <c r="AE115" s="510"/>
      <c r="AF115" s="510"/>
      <c r="AG115" s="510"/>
      <c r="AH115" s="510"/>
      <c r="AI115" s="510"/>
      <c r="AJ115" s="510"/>
      <c r="AK115" s="510"/>
      <c r="AL115" s="528">
        <f>SUM(G115:AK115)</f>
        <v>150</v>
      </c>
      <c r="AM115" s="1233">
        <f>F115*AL115</f>
        <v>478875</v>
      </c>
      <c r="AN115" s="1783"/>
      <c r="AO115"/>
    </row>
    <row r="116" spans="1:42" ht="17.25" customHeight="1">
      <c r="A116" s="2670" t="s">
        <v>2015</v>
      </c>
      <c r="B116" s="1934" t="s">
        <v>670</v>
      </c>
      <c r="C116" s="267" t="s">
        <v>671</v>
      </c>
      <c r="D116" s="1811" t="s">
        <v>672</v>
      </c>
      <c r="E116" s="239" t="s">
        <v>630</v>
      </c>
      <c r="F116" s="328">
        <v>1369000</v>
      </c>
      <c r="G116" s="511"/>
      <c r="H116" s="501"/>
      <c r="I116" s="501"/>
      <c r="J116" s="501"/>
      <c r="K116" s="501"/>
      <c r="L116" s="501"/>
      <c r="M116" s="501"/>
      <c r="N116" s="501"/>
      <c r="O116" s="501"/>
      <c r="P116" s="501"/>
      <c r="Q116" s="501"/>
      <c r="R116" s="501"/>
      <c r="S116" s="501"/>
      <c r="T116" s="501"/>
      <c r="U116" s="501"/>
      <c r="V116" s="501"/>
      <c r="W116" s="501"/>
      <c r="X116" s="501"/>
      <c r="Y116" s="501"/>
      <c r="Z116" s="501"/>
      <c r="AA116" s="501"/>
      <c r="AB116" s="501"/>
      <c r="AC116" s="501"/>
      <c r="AD116" s="501"/>
      <c r="AE116" s="501"/>
      <c r="AF116" s="501"/>
      <c r="AG116" s="501"/>
      <c r="AH116" s="501"/>
      <c r="AI116" s="501"/>
      <c r="AJ116" s="501"/>
      <c r="AK116" s="501"/>
      <c r="AL116" s="323">
        <f t="shared" si="0"/>
        <v>0</v>
      </c>
      <c r="AM116" s="575">
        <f t="shared" si="1"/>
        <v>0</v>
      </c>
      <c r="AN116" s="1781"/>
      <c r="AO116"/>
    </row>
    <row r="117" spans="1:42" ht="17.25" customHeight="1" thickBot="1">
      <c r="A117" s="2671"/>
      <c r="B117" s="1933" t="s">
        <v>2014</v>
      </c>
      <c r="C117" s="270" t="s">
        <v>677</v>
      </c>
      <c r="D117" s="581" t="s">
        <v>678</v>
      </c>
      <c r="E117" s="246" t="s">
        <v>630</v>
      </c>
      <c r="F117" s="330">
        <v>160000</v>
      </c>
      <c r="G117" s="503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04"/>
      <c r="X117" s="504"/>
      <c r="Y117" s="504"/>
      <c r="Z117" s="504"/>
      <c r="AA117" s="504"/>
      <c r="AB117" s="50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325">
        <f t="shared" si="0"/>
        <v>0</v>
      </c>
      <c r="AM117" s="570">
        <f t="shared" si="1"/>
        <v>0</v>
      </c>
      <c r="AN117" s="1783"/>
      <c r="AO117"/>
    </row>
    <row r="118" spans="1:42" ht="17.25" customHeight="1" thickBot="1">
      <c r="A118" s="2671"/>
      <c r="B118" s="1942" t="s">
        <v>668</v>
      </c>
      <c r="C118" s="544" t="s">
        <v>669</v>
      </c>
      <c r="D118" s="1525"/>
      <c r="E118" s="271"/>
      <c r="F118" s="547">
        <v>890800</v>
      </c>
      <c r="G118" s="545"/>
      <c r="H118" s="546"/>
      <c r="I118" s="546"/>
      <c r="J118" s="546"/>
      <c r="K118" s="546"/>
      <c r="L118" s="546"/>
      <c r="M118" s="546"/>
      <c r="N118" s="546"/>
      <c r="O118" s="546"/>
      <c r="P118" s="546"/>
      <c r="Q118" s="546"/>
      <c r="R118" s="546"/>
      <c r="S118" s="546"/>
      <c r="T118" s="546"/>
      <c r="U118" s="546"/>
      <c r="V118" s="546"/>
      <c r="W118" s="546"/>
      <c r="X118" s="546"/>
      <c r="Y118" s="546"/>
      <c r="Z118" s="546"/>
      <c r="AA118" s="546"/>
      <c r="AB118" s="546"/>
      <c r="AC118" s="546"/>
      <c r="AD118" s="546"/>
      <c r="AE118" s="546"/>
      <c r="AF118" s="546"/>
      <c r="AG118" s="546"/>
      <c r="AH118" s="546"/>
      <c r="AI118" s="546"/>
      <c r="AJ118" s="546"/>
      <c r="AK118" s="546"/>
      <c r="AL118" s="567">
        <f t="shared" ref="AL118:AL127" si="20">SUM(G118:AK118)</f>
        <v>0</v>
      </c>
      <c r="AM118" s="1586">
        <f t="shared" ref="AM118:AM123" si="21">F118*AL118</f>
        <v>0</v>
      </c>
      <c r="AN118" s="1788"/>
      <c r="AO118"/>
    </row>
    <row r="119" spans="1:42" ht="21" customHeight="1" thickBot="1">
      <c r="A119" s="2671"/>
      <c r="B119" s="1931" t="s">
        <v>595</v>
      </c>
      <c r="C119" s="326" t="s">
        <v>596</v>
      </c>
      <c r="D119" s="1816" t="s">
        <v>597</v>
      </c>
      <c r="E119" s="257"/>
      <c r="F119" s="327">
        <v>100000</v>
      </c>
      <c r="G119" s="505"/>
      <c r="H119" s="506"/>
      <c r="I119" s="506"/>
      <c r="J119" s="506"/>
      <c r="K119" s="506"/>
      <c r="L119" s="506"/>
      <c r="M119" s="506"/>
      <c r="N119" s="506"/>
      <c r="O119" s="506"/>
      <c r="P119" s="506"/>
      <c r="Q119" s="506"/>
      <c r="R119" s="506"/>
      <c r="S119" s="506"/>
      <c r="T119" s="506"/>
      <c r="U119" s="506"/>
      <c r="V119" s="506"/>
      <c r="W119" s="506"/>
      <c r="X119" s="506"/>
      <c r="Y119" s="506"/>
      <c r="Z119" s="506"/>
      <c r="AA119" s="506"/>
      <c r="AB119" s="506"/>
      <c r="AC119" s="506"/>
      <c r="AD119" s="506"/>
      <c r="AE119" s="506"/>
      <c r="AF119" s="506"/>
      <c r="AG119" s="506"/>
      <c r="AH119" s="506"/>
      <c r="AI119" s="506"/>
      <c r="AJ119" s="506"/>
      <c r="AK119" s="506"/>
      <c r="AL119" s="332">
        <f t="shared" si="20"/>
        <v>0</v>
      </c>
      <c r="AM119" s="1585">
        <f t="shared" si="21"/>
        <v>0</v>
      </c>
      <c r="AN119" s="1788"/>
    </row>
    <row r="120" spans="1:42" ht="17.25" customHeight="1" thickBot="1">
      <c r="A120" s="2671"/>
      <c r="B120" s="1945" t="s">
        <v>1063</v>
      </c>
      <c r="C120" s="544" t="s">
        <v>652</v>
      </c>
      <c r="D120" s="1525" t="s">
        <v>651</v>
      </c>
      <c r="E120" s="271" t="s">
        <v>653</v>
      </c>
      <c r="F120" s="1202">
        <v>14000</v>
      </c>
      <c r="G120" s="545"/>
      <c r="H120" s="546"/>
      <c r="I120" s="546"/>
      <c r="J120" s="546"/>
      <c r="K120" s="546"/>
      <c r="L120" s="546"/>
      <c r="M120" s="546"/>
      <c r="N120" s="546"/>
      <c r="O120" s="546"/>
      <c r="P120" s="546"/>
      <c r="Q120" s="546"/>
      <c r="R120" s="546"/>
      <c r="S120" s="546"/>
      <c r="T120" s="546"/>
      <c r="U120" s="546"/>
      <c r="V120" s="546"/>
      <c r="W120" s="546"/>
      <c r="X120" s="546"/>
      <c r="Y120" s="546"/>
      <c r="Z120" s="546"/>
      <c r="AA120" s="546"/>
      <c r="AB120" s="546"/>
      <c r="AC120" s="546"/>
      <c r="AD120" s="546"/>
      <c r="AE120" s="546"/>
      <c r="AF120" s="546"/>
      <c r="AG120" s="546"/>
      <c r="AH120" s="546"/>
      <c r="AI120" s="546"/>
      <c r="AJ120" s="546"/>
      <c r="AK120" s="561"/>
      <c r="AL120" s="296">
        <f t="shared" si="20"/>
        <v>0</v>
      </c>
      <c r="AM120" s="998">
        <f t="shared" si="21"/>
        <v>0</v>
      </c>
      <c r="AN120" s="1236">
        <f>AM120</f>
        <v>0</v>
      </c>
    </row>
    <row r="121" spans="1:42" ht="17.25" customHeight="1" thickBot="1">
      <c r="A121" s="2671"/>
      <c r="B121" s="1796" t="s">
        <v>1494</v>
      </c>
      <c r="C121" s="326" t="s">
        <v>2013</v>
      </c>
      <c r="D121" s="1816" t="s">
        <v>1495</v>
      </c>
      <c r="E121" s="331" t="s">
        <v>573</v>
      </c>
      <c r="F121" s="1740">
        <v>30000</v>
      </c>
      <c r="G121" s="505"/>
      <c r="H121" s="506"/>
      <c r="I121" s="506">
        <v>10</v>
      </c>
      <c r="J121" s="506"/>
      <c r="K121" s="1797"/>
      <c r="L121" s="1797"/>
      <c r="M121" s="1797"/>
      <c r="N121" s="1797"/>
      <c r="O121" s="1797"/>
      <c r="P121" s="1797"/>
      <c r="Q121" s="1797"/>
      <c r="R121" s="1797"/>
      <c r="S121" s="1797"/>
      <c r="T121" s="1797"/>
      <c r="U121" s="1797"/>
      <c r="V121" s="1797"/>
      <c r="W121" s="1797"/>
      <c r="X121" s="1797"/>
      <c r="Y121" s="1797"/>
      <c r="Z121" s="506"/>
      <c r="AA121" s="506"/>
      <c r="AB121" s="506"/>
      <c r="AC121" s="506"/>
      <c r="AD121" s="506"/>
      <c r="AE121" s="506"/>
      <c r="AF121" s="506"/>
      <c r="AG121" s="506"/>
      <c r="AH121" s="506"/>
      <c r="AI121" s="506"/>
      <c r="AJ121" s="506"/>
      <c r="AK121" s="506"/>
      <c r="AL121" s="332">
        <f t="shared" si="20"/>
        <v>10</v>
      </c>
      <c r="AM121" s="1585">
        <f t="shared" si="21"/>
        <v>300000</v>
      </c>
      <c r="AN121" s="1236">
        <f>AM121</f>
        <v>300000</v>
      </c>
      <c r="AO121"/>
      <c r="AP121"/>
    </row>
    <row r="122" spans="1:42" ht="17.25" customHeight="1">
      <c r="A122" s="2671"/>
      <c r="B122" s="2719" t="s">
        <v>612</v>
      </c>
      <c r="C122" s="267" t="s">
        <v>613</v>
      </c>
      <c r="D122" s="1811" t="s">
        <v>614</v>
      </c>
      <c r="E122" s="241" t="s">
        <v>574</v>
      </c>
      <c r="F122" s="328">
        <v>67000</v>
      </c>
      <c r="G122" s="511"/>
      <c r="H122" s="501"/>
      <c r="I122" s="501"/>
      <c r="J122" s="501"/>
      <c r="K122" s="501"/>
      <c r="L122" s="501"/>
      <c r="M122" s="501"/>
      <c r="N122" s="501"/>
      <c r="O122" s="501"/>
      <c r="P122" s="501"/>
      <c r="Q122" s="501"/>
      <c r="R122" s="501"/>
      <c r="S122" s="501"/>
      <c r="T122" s="501"/>
      <c r="U122" s="501"/>
      <c r="V122" s="501"/>
      <c r="W122" s="501"/>
      <c r="X122" s="501"/>
      <c r="Y122" s="501"/>
      <c r="Z122" s="501"/>
      <c r="AA122" s="501"/>
      <c r="AB122" s="501"/>
      <c r="AC122" s="501"/>
      <c r="AD122" s="501"/>
      <c r="AE122" s="501"/>
      <c r="AF122" s="501"/>
      <c r="AG122" s="501"/>
      <c r="AH122" s="501"/>
      <c r="AI122" s="501"/>
      <c r="AJ122" s="501"/>
      <c r="AK122" s="501"/>
      <c r="AL122" s="323">
        <f t="shared" si="20"/>
        <v>0</v>
      </c>
      <c r="AM122" s="575">
        <f t="shared" si="21"/>
        <v>0</v>
      </c>
      <c r="AN122" s="1781"/>
    </row>
    <row r="123" spans="1:42" ht="17.25" customHeight="1" thickBot="1">
      <c r="A123" s="2671"/>
      <c r="B123" s="2720"/>
      <c r="C123" s="270" t="s">
        <v>615</v>
      </c>
      <c r="D123" s="581"/>
      <c r="E123" s="248" t="s">
        <v>574</v>
      </c>
      <c r="F123" s="330">
        <v>12000</v>
      </c>
      <c r="G123" s="503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04"/>
      <c r="X123" s="504"/>
      <c r="Y123" s="504"/>
      <c r="Z123" s="504"/>
      <c r="AA123" s="504"/>
      <c r="AB123" s="50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325">
        <f t="shared" si="20"/>
        <v>0</v>
      </c>
      <c r="AM123" s="570">
        <f t="shared" si="21"/>
        <v>0</v>
      </c>
      <c r="AN123" s="1783"/>
    </row>
    <row r="124" spans="1:42" ht="17.25" customHeight="1" thickBot="1">
      <c r="A124" s="2671"/>
      <c r="B124" s="1942" t="s">
        <v>700</v>
      </c>
      <c r="C124" s="544" t="s">
        <v>701</v>
      </c>
      <c r="D124" s="1819" t="s">
        <v>702</v>
      </c>
      <c r="E124" s="271" t="s">
        <v>659</v>
      </c>
      <c r="F124" s="559">
        <v>300000</v>
      </c>
      <c r="G124" s="545"/>
      <c r="H124" s="546"/>
      <c r="I124" s="546"/>
      <c r="J124" s="546"/>
      <c r="K124" s="1001"/>
      <c r="L124" s="1001"/>
      <c r="M124" s="1001"/>
      <c r="N124" s="1001"/>
      <c r="O124" s="1001"/>
      <c r="P124" s="1001"/>
      <c r="Q124" s="1001"/>
      <c r="R124" s="1001"/>
      <c r="S124" s="1001"/>
      <c r="T124" s="1001"/>
      <c r="U124" s="1001"/>
      <c r="V124" s="1001"/>
      <c r="W124" s="1001"/>
      <c r="X124" s="1001"/>
      <c r="Y124" s="1001"/>
      <c r="Z124" s="546"/>
      <c r="AA124" s="546"/>
      <c r="AB124" s="546"/>
      <c r="AC124" s="546"/>
      <c r="AD124" s="546"/>
      <c r="AE124" s="546"/>
      <c r="AF124" s="546"/>
      <c r="AG124" s="546"/>
      <c r="AH124" s="546"/>
      <c r="AI124" s="546"/>
      <c r="AJ124" s="546"/>
      <c r="AK124" s="546"/>
      <c r="AL124" s="579">
        <f t="shared" si="20"/>
        <v>0</v>
      </c>
      <c r="AM124" s="1584">
        <f t="shared" ref="AM124:AM136" si="22">F124*AL124</f>
        <v>0</v>
      </c>
      <c r="AN124" s="1788"/>
      <c r="AO124"/>
      <c r="AP124"/>
    </row>
    <row r="125" spans="1:42" ht="17.25" customHeight="1" thickBot="1">
      <c r="A125" s="2671"/>
      <c r="B125" s="1942" t="s">
        <v>775</v>
      </c>
      <c r="C125" s="544" t="s">
        <v>777</v>
      </c>
      <c r="D125" s="1525" t="s">
        <v>778</v>
      </c>
      <c r="E125" s="988" t="s">
        <v>776</v>
      </c>
      <c r="F125" s="989">
        <v>219967</v>
      </c>
      <c r="G125" s="545"/>
      <c r="H125" s="546"/>
      <c r="I125" s="546"/>
      <c r="J125" s="546"/>
      <c r="K125" s="546"/>
      <c r="L125" s="546"/>
      <c r="M125" s="546"/>
      <c r="N125" s="546"/>
      <c r="O125" s="546"/>
      <c r="P125" s="546"/>
      <c r="Q125" s="546"/>
      <c r="R125" s="546"/>
      <c r="S125" s="546"/>
      <c r="T125" s="596"/>
      <c r="U125" s="546"/>
      <c r="V125" s="546"/>
      <c r="W125" s="546"/>
      <c r="X125" s="546"/>
      <c r="Y125" s="546"/>
      <c r="Z125" s="546"/>
      <c r="AA125" s="546"/>
      <c r="AB125" s="546"/>
      <c r="AC125" s="546"/>
      <c r="AD125" s="546"/>
      <c r="AE125" s="546"/>
      <c r="AF125" s="546"/>
      <c r="AG125" s="546"/>
      <c r="AH125" s="546"/>
      <c r="AI125" s="546"/>
      <c r="AJ125" s="546"/>
      <c r="AK125" s="546"/>
      <c r="AL125" s="562">
        <f t="shared" si="20"/>
        <v>0</v>
      </c>
      <c r="AM125" s="570">
        <f>F125*AL125</f>
        <v>0</v>
      </c>
      <c r="AN125" s="1788"/>
      <c r="AO125"/>
    </row>
    <row r="126" spans="1:42" ht="21" customHeight="1" thickBot="1">
      <c r="A126" s="2671"/>
      <c r="B126" s="1930" t="s">
        <v>674</v>
      </c>
      <c r="C126" s="522" t="s">
        <v>675</v>
      </c>
      <c r="D126" s="1815" t="s">
        <v>676</v>
      </c>
      <c r="E126" s="538" t="s">
        <v>673</v>
      </c>
      <c r="F126" s="523">
        <v>250000</v>
      </c>
      <c r="G126" s="507"/>
      <c r="H126" s="508"/>
      <c r="I126" s="508"/>
      <c r="J126" s="508"/>
      <c r="K126" s="508"/>
      <c r="L126" s="508"/>
      <c r="M126" s="508"/>
      <c r="N126" s="508"/>
      <c r="O126" s="508"/>
      <c r="P126" s="508"/>
      <c r="Q126" s="508"/>
      <c r="R126" s="508"/>
      <c r="S126" s="508"/>
      <c r="T126" s="508"/>
      <c r="U126" s="508"/>
      <c r="V126" s="508"/>
      <c r="W126" s="508"/>
      <c r="X126" s="508"/>
      <c r="Y126" s="508"/>
      <c r="Z126" s="508"/>
      <c r="AA126" s="508"/>
      <c r="AB126" s="508"/>
      <c r="AC126" s="508"/>
      <c r="AD126" s="508"/>
      <c r="AE126" s="508"/>
      <c r="AF126" s="508"/>
      <c r="AG126" s="508"/>
      <c r="AH126" s="508"/>
      <c r="AI126" s="508"/>
      <c r="AJ126" s="508"/>
      <c r="AK126" s="526"/>
      <c r="AL126" s="914">
        <f t="shared" si="20"/>
        <v>0</v>
      </c>
      <c r="AM126" s="1394">
        <f>F126*AL126</f>
        <v>0</v>
      </c>
      <c r="AN126" s="1788"/>
    </row>
    <row r="127" spans="1:42" ht="17.25" customHeight="1">
      <c r="A127" s="2671"/>
      <c r="B127" s="2667" t="s">
        <v>609</v>
      </c>
      <c r="C127" s="1801" t="s">
        <v>610</v>
      </c>
      <c r="D127" s="1815" t="s">
        <v>611</v>
      </c>
      <c r="E127" s="249" t="s">
        <v>574</v>
      </c>
      <c r="F127" s="523">
        <v>87</v>
      </c>
      <c r="G127" s="507"/>
      <c r="H127" s="508"/>
      <c r="I127" s="508"/>
      <c r="J127" s="508"/>
      <c r="K127" s="508"/>
      <c r="L127" s="508"/>
      <c r="M127" s="508"/>
      <c r="N127" s="508"/>
      <c r="O127" s="508"/>
      <c r="P127" s="508"/>
      <c r="Q127" s="508"/>
      <c r="R127" s="508"/>
      <c r="S127" s="508"/>
      <c r="T127" s="508"/>
      <c r="U127" s="508"/>
      <c r="V127" s="508"/>
      <c r="W127" s="508"/>
      <c r="X127" s="508"/>
      <c r="Y127" s="508"/>
      <c r="Z127" s="508"/>
      <c r="AA127" s="508"/>
      <c r="AB127" s="508"/>
      <c r="AC127" s="508"/>
      <c r="AD127" s="508"/>
      <c r="AE127" s="508"/>
      <c r="AF127" s="508"/>
      <c r="AG127" s="508"/>
      <c r="AH127" s="508"/>
      <c r="AI127" s="508"/>
      <c r="AJ127" s="508"/>
      <c r="AK127" s="526"/>
      <c r="AL127" s="537">
        <f t="shared" si="20"/>
        <v>0</v>
      </c>
      <c r="AM127" s="995">
        <f>F127*AL127</f>
        <v>0</v>
      </c>
      <c r="AN127" s="1790"/>
    </row>
    <row r="128" spans="1:42" ht="17.25" customHeight="1">
      <c r="A128" s="2671"/>
      <c r="B128" s="2668"/>
      <c r="C128" s="263" t="s">
        <v>756</v>
      </c>
      <c r="D128" s="500" t="s">
        <v>757</v>
      </c>
      <c r="E128" s="245" t="s">
        <v>632</v>
      </c>
      <c r="F128" s="329">
        <v>44</v>
      </c>
      <c r="G128" s="499"/>
      <c r="H128" s="502"/>
      <c r="I128" s="502"/>
      <c r="J128" s="502"/>
      <c r="K128" s="502"/>
      <c r="L128" s="502"/>
      <c r="M128" s="502"/>
      <c r="N128" s="502"/>
      <c r="O128" s="502"/>
      <c r="P128" s="502"/>
      <c r="Q128" s="502"/>
      <c r="R128" s="502"/>
      <c r="S128" s="502"/>
      <c r="T128" s="502"/>
      <c r="U128" s="502"/>
      <c r="V128" s="502"/>
      <c r="W128" s="502"/>
      <c r="X128" s="502"/>
      <c r="Y128" s="502"/>
      <c r="Z128" s="502"/>
      <c r="AA128" s="502"/>
      <c r="AB128" s="502"/>
      <c r="AC128" s="502"/>
      <c r="AD128" s="502"/>
      <c r="AE128" s="502"/>
      <c r="AF128" s="502"/>
      <c r="AG128" s="502"/>
      <c r="AH128" s="502"/>
      <c r="AI128" s="502"/>
      <c r="AJ128" s="502"/>
      <c r="AK128" s="518"/>
      <c r="AL128" s="996">
        <f t="shared" ref="AL128" si="23">SUM(G128:AK128)</f>
        <v>0</v>
      </c>
      <c r="AM128" s="531">
        <f t="shared" ref="AM128" si="24">F128*AL128</f>
        <v>0</v>
      </c>
      <c r="AN128" s="1791"/>
    </row>
    <row r="129" spans="1:42" ht="17.25" customHeight="1" thickBot="1">
      <c r="A129" s="2671"/>
      <c r="B129" s="2669"/>
      <c r="C129" s="544" t="s">
        <v>631</v>
      </c>
      <c r="D129" s="1525"/>
      <c r="E129" s="543" t="s">
        <v>632</v>
      </c>
      <c r="F129" s="563">
        <v>60000</v>
      </c>
      <c r="G129" s="545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46"/>
      <c r="AB129" s="546"/>
      <c r="AC129" s="546"/>
      <c r="AD129" s="546"/>
      <c r="AE129" s="546"/>
      <c r="AF129" s="546"/>
      <c r="AG129" s="546"/>
      <c r="AH129" s="546"/>
      <c r="AI129" s="546"/>
      <c r="AJ129" s="546"/>
      <c r="AK129" s="560"/>
      <c r="AL129" s="997">
        <f>SUM(G129:AK129)</f>
        <v>0</v>
      </c>
      <c r="AM129" s="998">
        <f>F129*AL129</f>
        <v>0</v>
      </c>
      <c r="AN129" s="1792"/>
    </row>
    <row r="130" spans="1:42" ht="17.25" customHeight="1" thickBot="1">
      <c r="A130" s="2671"/>
      <c r="B130" s="2048" t="s">
        <v>2185</v>
      </c>
      <c r="C130" s="326" t="s">
        <v>2186</v>
      </c>
      <c r="D130" s="1816" t="s">
        <v>2187</v>
      </c>
      <c r="E130" s="256" t="s">
        <v>630</v>
      </c>
      <c r="F130" s="1740">
        <v>38000</v>
      </c>
      <c r="G130" s="505"/>
      <c r="H130" s="506"/>
      <c r="I130" s="506"/>
      <c r="J130" s="506"/>
      <c r="K130" s="506"/>
      <c r="L130" s="506"/>
      <c r="M130" s="506"/>
      <c r="N130" s="506"/>
      <c r="O130" s="506">
        <v>2</v>
      </c>
      <c r="P130" s="506"/>
      <c r="Q130" s="506"/>
      <c r="R130" s="506"/>
      <c r="S130" s="506"/>
      <c r="T130" s="506"/>
      <c r="U130" s="506"/>
      <c r="V130" s="506"/>
      <c r="W130" s="506"/>
      <c r="X130" s="506"/>
      <c r="Y130" s="506"/>
      <c r="Z130" s="506"/>
      <c r="AA130" s="506"/>
      <c r="AB130" s="506"/>
      <c r="AC130" s="506"/>
      <c r="AD130" s="506"/>
      <c r="AE130" s="506"/>
      <c r="AF130" s="506"/>
      <c r="AG130" s="506"/>
      <c r="AH130" s="506"/>
      <c r="AI130" s="506"/>
      <c r="AJ130" s="506"/>
      <c r="AK130" s="1776"/>
      <c r="AL130" s="997">
        <f>SUM(G130:AK130)</f>
        <v>2</v>
      </c>
      <c r="AM130" s="998">
        <f>F130*AL130</f>
        <v>76000</v>
      </c>
      <c r="AN130" s="1236" t="s">
        <v>2188</v>
      </c>
    </row>
    <row r="131" spans="1:42" ht="18" customHeight="1">
      <c r="A131" s="2671"/>
      <c r="B131" s="2668" t="s">
        <v>728</v>
      </c>
      <c r="C131" s="265" t="s">
        <v>730</v>
      </c>
      <c r="D131" s="1818" t="s">
        <v>731</v>
      </c>
      <c r="E131" s="268" t="s">
        <v>47</v>
      </c>
      <c r="F131" s="1183">
        <v>500000</v>
      </c>
      <c r="G131" s="520"/>
      <c r="H131" s="521"/>
      <c r="I131" s="521"/>
      <c r="J131" s="521"/>
      <c r="K131" s="521"/>
      <c r="L131" s="521"/>
      <c r="M131" s="521"/>
      <c r="N131" s="521"/>
      <c r="O131" s="521"/>
      <c r="P131" s="521"/>
      <c r="Q131" s="521"/>
      <c r="R131" s="521"/>
      <c r="S131" s="521"/>
      <c r="T131" s="521"/>
      <c r="U131" s="521"/>
      <c r="V131" s="521"/>
      <c r="W131" s="521"/>
      <c r="X131" s="521"/>
      <c r="Y131" s="521"/>
      <c r="Z131" s="521"/>
      <c r="AA131" s="521"/>
      <c r="AB131" s="521"/>
      <c r="AC131" s="521"/>
      <c r="AD131" s="521"/>
      <c r="AE131" s="521"/>
      <c r="AF131" s="521"/>
      <c r="AG131" s="521"/>
      <c r="AH131" s="521"/>
      <c r="AI131" s="521"/>
      <c r="AJ131" s="521"/>
      <c r="AK131" s="521"/>
      <c r="AL131" s="296">
        <f t="shared" ref="AL131" si="25">SUM(G131:AK131)</f>
        <v>0</v>
      </c>
      <c r="AM131" s="1584">
        <f t="shared" ref="AM131" si="26">F131*AL131</f>
        <v>0</v>
      </c>
      <c r="AN131" s="1782"/>
      <c r="AO131"/>
    </row>
    <row r="132" spans="1:42" ht="18" customHeight="1">
      <c r="A132" s="2671"/>
      <c r="B132" s="2668"/>
      <c r="C132" s="263" t="s">
        <v>732</v>
      </c>
      <c r="D132" s="500"/>
      <c r="E132" s="245" t="s">
        <v>734</v>
      </c>
      <c r="F132" s="329">
        <v>100000</v>
      </c>
      <c r="G132" s="499"/>
      <c r="H132" s="502"/>
      <c r="I132" s="502"/>
      <c r="J132" s="502"/>
      <c r="K132" s="502"/>
      <c r="L132" s="502"/>
      <c r="M132" s="502"/>
      <c r="N132" s="502"/>
      <c r="O132" s="502"/>
      <c r="P132" s="502"/>
      <c r="Q132" s="502"/>
      <c r="R132" s="502"/>
      <c r="S132" s="502"/>
      <c r="T132" s="502"/>
      <c r="U132" s="502"/>
      <c r="V132" s="502"/>
      <c r="W132" s="502"/>
      <c r="X132" s="502"/>
      <c r="Y132" s="502"/>
      <c r="Z132" s="502"/>
      <c r="AA132" s="502"/>
      <c r="AB132" s="502"/>
      <c r="AC132" s="502"/>
      <c r="AD132" s="502"/>
      <c r="AE132" s="502"/>
      <c r="AF132" s="502"/>
      <c r="AG132" s="502"/>
      <c r="AH132" s="502"/>
      <c r="AI132" s="502"/>
      <c r="AJ132" s="502"/>
      <c r="AK132" s="502"/>
      <c r="AL132" s="324">
        <f t="shared" ref="AL132:AL135" si="27">SUM(G132:AK132)</f>
        <v>0</v>
      </c>
      <c r="AM132" s="531">
        <f t="shared" ref="AM132:AM134" si="28">F132*AL132</f>
        <v>0</v>
      </c>
      <c r="AN132" s="1782"/>
      <c r="AO132"/>
    </row>
    <row r="133" spans="1:42" ht="18" customHeight="1">
      <c r="A133" s="2671"/>
      <c r="B133" s="2668"/>
      <c r="C133" s="263" t="s">
        <v>730</v>
      </c>
      <c r="D133" s="500" t="s">
        <v>743</v>
      </c>
      <c r="E133" s="245" t="s">
        <v>744</v>
      </c>
      <c r="F133" s="329">
        <v>9500</v>
      </c>
      <c r="G133" s="499"/>
      <c r="H133" s="502"/>
      <c r="I133" s="502"/>
      <c r="J133" s="502"/>
      <c r="K133" s="502"/>
      <c r="L133" s="502"/>
      <c r="M133" s="502"/>
      <c r="N133" s="502"/>
      <c r="O133" s="502"/>
      <c r="P133" s="502"/>
      <c r="Q133" s="502"/>
      <c r="R133" s="502"/>
      <c r="S133" s="502"/>
      <c r="T133" s="502"/>
      <c r="U133" s="502"/>
      <c r="V133" s="502"/>
      <c r="W133" s="502"/>
      <c r="X133" s="502"/>
      <c r="Y133" s="502"/>
      <c r="Z133" s="502"/>
      <c r="AA133" s="502"/>
      <c r="AB133" s="502"/>
      <c r="AC133" s="502"/>
      <c r="AD133" s="502"/>
      <c r="AE133" s="502"/>
      <c r="AF133" s="502"/>
      <c r="AG133" s="502"/>
      <c r="AH133" s="502"/>
      <c r="AI133" s="502"/>
      <c r="AJ133" s="502"/>
      <c r="AK133" s="502"/>
      <c r="AL133" s="324">
        <f t="shared" si="27"/>
        <v>0</v>
      </c>
      <c r="AM133" s="531">
        <f t="shared" si="28"/>
        <v>0</v>
      </c>
      <c r="AN133" s="1782"/>
      <c r="AO133"/>
    </row>
    <row r="134" spans="1:42" ht="18" customHeight="1">
      <c r="A134" s="2671"/>
      <c r="B134" s="2668"/>
      <c r="C134" s="263" t="s">
        <v>745</v>
      </c>
      <c r="D134" s="500"/>
      <c r="E134" s="245" t="s">
        <v>746</v>
      </c>
      <c r="F134" s="329">
        <v>80000</v>
      </c>
      <c r="G134" s="499"/>
      <c r="H134" s="502"/>
      <c r="I134" s="502"/>
      <c r="J134" s="502"/>
      <c r="K134" s="502"/>
      <c r="L134" s="502"/>
      <c r="M134" s="502"/>
      <c r="N134" s="502"/>
      <c r="O134" s="502"/>
      <c r="P134" s="502"/>
      <c r="Q134" s="502"/>
      <c r="R134" s="502"/>
      <c r="S134" s="502"/>
      <c r="T134" s="502"/>
      <c r="U134" s="502"/>
      <c r="V134" s="502"/>
      <c r="W134" s="502"/>
      <c r="X134" s="502"/>
      <c r="Y134" s="502"/>
      <c r="Z134" s="502"/>
      <c r="AA134" s="502"/>
      <c r="AB134" s="502"/>
      <c r="AC134" s="502"/>
      <c r="AD134" s="502"/>
      <c r="AE134" s="502"/>
      <c r="AF134" s="502"/>
      <c r="AG134" s="502"/>
      <c r="AH134" s="502"/>
      <c r="AI134" s="502"/>
      <c r="AJ134" s="502"/>
      <c r="AK134" s="502"/>
      <c r="AL134" s="324">
        <f t="shared" si="27"/>
        <v>0</v>
      </c>
      <c r="AM134" s="531">
        <f t="shared" si="28"/>
        <v>0</v>
      </c>
      <c r="AN134" s="1782"/>
      <c r="AO134"/>
    </row>
    <row r="135" spans="1:42" ht="18" customHeight="1" thickBot="1">
      <c r="A135" s="2671"/>
      <c r="B135" s="2669"/>
      <c r="C135" s="544" t="s">
        <v>733</v>
      </c>
      <c r="D135" s="1525" t="s">
        <v>735</v>
      </c>
      <c r="E135" s="271" t="s">
        <v>47</v>
      </c>
      <c r="F135" s="563">
        <v>140000</v>
      </c>
      <c r="G135" s="545"/>
      <c r="H135" s="546"/>
      <c r="I135" s="546"/>
      <c r="J135" s="546"/>
      <c r="K135" s="546"/>
      <c r="L135" s="546"/>
      <c r="M135" s="546"/>
      <c r="N135" s="546"/>
      <c r="O135" s="546"/>
      <c r="P135" s="546"/>
      <c r="Q135" s="546"/>
      <c r="R135" s="546"/>
      <c r="S135" s="546"/>
      <c r="T135" s="546"/>
      <c r="U135" s="546"/>
      <c r="V135" s="546"/>
      <c r="W135" s="546"/>
      <c r="X135" s="546"/>
      <c r="Y135" s="546"/>
      <c r="Z135" s="546"/>
      <c r="AA135" s="546"/>
      <c r="AB135" s="546"/>
      <c r="AC135" s="546"/>
      <c r="AD135" s="546"/>
      <c r="AE135" s="546"/>
      <c r="AF135" s="546"/>
      <c r="AG135" s="546"/>
      <c r="AH135" s="546"/>
      <c r="AI135" s="546"/>
      <c r="AJ135" s="546"/>
      <c r="AK135" s="546"/>
      <c r="AL135" s="324">
        <f t="shared" si="27"/>
        <v>0</v>
      </c>
      <c r="AM135" s="570">
        <f>F135*AL135</f>
        <v>0</v>
      </c>
      <c r="AN135" s="1783"/>
      <c r="AO135"/>
    </row>
    <row r="136" spans="1:42" ht="17.25" customHeight="1" thickBot="1">
      <c r="A136" s="2671"/>
      <c r="B136" s="2667" t="s">
        <v>762</v>
      </c>
      <c r="C136" s="267" t="s">
        <v>763</v>
      </c>
      <c r="D136" s="258"/>
      <c r="E136" s="239" t="s">
        <v>1808</v>
      </c>
      <c r="F136" s="328">
        <v>21500</v>
      </c>
      <c r="G136" s="511"/>
      <c r="H136" s="501"/>
      <c r="I136" s="501"/>
      <c r="J136" s="501"/>
      <c r="K136" s="501"/>
      <c r="L136" s="501"/>
      <c r="M136" s="501"/>
      <c r="N136" s="501"/>
      <c r="O136" s="501"/>
      <c r="P136" s="501"/>
      <c r="Q136" s="501"/>
      <c r="R136" s="501"/>
      <c r="S136" s="501"/>
      <c r="T136" s="501"/>
      <c r="U136" s="501"/>
      <c r="V136" s="501"/>
      <c r="W136" s="501"/>
      <c r="X136" s="501"/>
      <c r="Y136" s="501"/>
      <c r="Z136" s="501"/>
      <c r="AA136" s="501"/>
      <c r="AB136" s="501"/>
      <c r="AC136" s="501"/>
      <c r="AD136" s="501"/>
      <c r="AE136" s="501"/>
      <c r="AF136" s="501"/>
      <c r="AG136" s="501"/>
      <c r="AH136" s="501"/>
      <c r="AI136" s="501"/>
      <c r="AJ136" s="501"/>
      <c r="AK136" s="501"/>
      <c r="AL136" s="332">
        <f>SUM(G136:AK136)</f>
        <v>0</v>
      </c>
      <c r="AM136" s="531">
        <f t="shared" si="22"/>
        <v>0</v>
      </c>
      <c r="AN136" s="1781"/>
      <c r="AO136"/>
      <c r="AP136"/>
    </row>
    <row r="137" spans="1:42" ht="17.25" customHeight="1" thickBot="1">
      <c r="A137" s="2672"/>
      <c r="B137" s="2669"/>
      <c r="C137" s="270" t="s">
        <v>764</v>
      </c>
      <c r="D137" s="581"/>
      <c r="E137" s="246" t="s">
        <v>1808</v>
      </c>
      <c r="F137" s="330">
        <v>32000</v>
      </c>
      <c r="G137" s="503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04"/>
      <c r="X137" s="504"/>
      <c r="Y137" s="504"/>
      <c r="Z137" s="504"/>
      <c r="AA137" s="504"/>
      <c r="AB137" s="50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325">
        <f t="shared" si="0"/>
        <v>0</v>
      </c>
      <c r="AM137" s="570">
        <f t="shared" si="1"/>
        <v>0</v>
      </c>
      <c r="AN137" s="1783"/>
      <c r="AO137"/>
      <c r="AP137"/>
    </row>
    <row r="138" spans="1:42" s="349" customFormat="1" ht="24.9" customHeight="1" thickBot="1">
      <c r="A138" s="1798"/>
      <c r="B138" s="1946"/>
      <c r="C138" s="345"/>
      <c r="D138" s="345"/>
      <c r="E138" s="345"/>
      <c r="F138" s="346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347"/>
      <c r="AB138" s="347"/>
      <c r="AC138" s="347"/>
      <c r="AD138" s="347"/>
      <c r="AE138" s="347"/>
      <c r="AF138" s="347"/>
      <c r="AG138" s="347"/>
      <c r="AH138" s="347"/>
      <c r="AI138" s="347"/>
      <c r="AJ138" s="347"/>
      <c r="AK138" s="347"/>
      <c r="AL138" s="348"/>
      <c r="AM138" s="1232" t="s">
        <v>1302</v>
      </c>
      <c r="AN138"/>
      <c r="AO138"/>
      <c r="AP138"/>
    </row>
    <row r="139" spans="1:42" s="349" customFormat="1" ht="27" customHeight="1" thickBot="1">
      <c r="A139" s="1798"/>
      <c r="B139" s="1946"/>
      <c r="C139" s="345"/>
      <c r="D139" s="345"/>
      <c r="E139" s="345"/>
      <c r="F139" s="346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  <c r="AA139" s="347"/>
      <c r="AB139" s="347"/>
      <c r="AC139" s="347"/>
      <c r="AD139" s="347"/>
      <c r="AE139" s="347"/>
      <c r="AF139" s="347"/>
      <c r="AG139" s="347"/>
      <c r="AH139" s="347"/>
      <c r="AI139" s="347"/>
      <c r="AJ139" s="347"/>
      <c r="AK139" s="347"/>
      <c r="AL139" s="348"/>
      <c r="AM139" s="1231">
        <f>SUM(AM3:AM137)</f>
        <v>11852375</v>
      </c>
      <c r="AN139"/>
      <c r="AO139"/>
    </row>
    <row r="140" spans="1:42" s="349" customFormat="1" ht="18.75" customHeight="1">
      <c r="A140" s="1798"/>
      <c r="B140" s="1946"/>
      <c r="C140" s="345"/>
      <c r="D140" s="345"/>
      <c r="E140" s="345"/>
      <c r="F140" s="346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  <c r="AA140" s="347"/>
      <c r="AB140" s="347"/>
      <c r="AC140" s="347"/>
      <c r="AD140" s="347"/>
      <c r="AE140" s="347"/>
      <c r="AF140" s="347"/>
      <c r="AG140" s="347"/>
      <c r="AH140" s="347"/>
      <c r="AI140" s="347"/>
      <c r="AJ140" s="347"/>
      <c r="AK140" s="347"/>
      <c r="AL140"/>
      <c r="AM140"/>
      <c r="AN140"/>
      <c r="AO140"/>
    </row>
    <row r="141" spans="1:42" s="349" customFormat="1" ht="17.399999999999999">
      <c r="A141" s="1798"/>
      <c r="B141" s="1946"/>
      <c r="C141" s="345"/>
      <c r="D141" s="345"/>
      <c r="E141" s="345"/>
      <c r="F141" s="346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  <c r="AA141" s="347"/>
      <c r="AB141" s="347"/>
      <c r="AC141" s="347"/>
      <c r="AD141" s="347"/>
      <c r="AE141" s="347"/>
      <c r="AF141" s="347"/>
      <c r="AG141" s="347"/>
      <c r="AH141" s="347"/>
      <c r="AI141" s="347"/>
      <c r="AJ141" s="347"/>
      <c r="AK141" s="347"/>
      <c r="AL141"/>
      <c r="AM141"/>
      <c r="AN141"/>
    </row>
    <row r="142" spans="1:42" s="349" customFormat="1" ht="17.399999999999999">
      <c r="A142" s="1798"/>
      <c r="B142" s="1946"/>
      <c r="C142" s="345"/>
      <c r="D142" s="345"/>
      <c r="E142" s="345"/>
      <c r="F142" s="346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  <c r="AA142" s="347"/>
      <c r="AB142" s="347"/>
      <c r="AC142" s="347"/>
      <c r="AD142" s="347"/>
      <c r="AE142" s="347"/>
      <c r="AF142" s="347"/>
      <c r="AG142" s="347"/>
      <c r="AH142" s="347"/>
      <c r="AI142" s="347"/>
      <c r="AJ142" s="347"/>
      <c r="AK142" s="347"/>
      <c r="AL142"/>
      <c r="AM142"/>
      <c r="AN142"/>
    </row>
    <row r="143" spans="1:42" s="349" customFormat="1" ht="17.399999999999999">
      <c r="A143" s="1798"/>
      <c r="B143" s="1946"/>
      <c r="C143" s="345"/>
      <c r="D143" s="345"/>
      <c r="E143" s="345"/>
      <c r="F143" s="346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347"/>
      <c r="AB143" s="347"/>
      <c r="AC143" s="347"/>
      <c r="AD143" s="347"/>
      <c r="AE143" s="347"/>
      <c r="AF143" s="347"/>
      <c r="AG143" s="347"/>
      <c r="AH143" s="347"/>
      <c r="AI143" s="347"/>
      <c r="AJ143" s="347"/>
      <c r="AK143" s="347"/>
      <c r="AL143"/>
      <c r="AM143"/>
      <c r="AN143"/>
    </row>
    <row r="144" spans="1:42" s="349" customFormat="1" ht="17.399999999999999">
      <c r="A144" s="1798"/>
      <c r="B144" s="1946"/>
      <c r="C144" s="345"/>
      <c r="D144" s="345"/>
      <c r="E144" s="345"/>
      <c r="F144" s="346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347"/>
      <c r="AB144" s="347"/>
      <c r="AC144" s="347"/>
      <c r="AD144" s="347"/>
      <c r="AE144" s="347"/>
      <c r="AF144" s="347"/>
      <c r="AG144" s="347"/>
      <c r="AH144" s="347"/>
      <c r="AI144" s="347"/>
      <c r="AJ144" s="347"/>
      <c r="AK144" s="347"/>
      <c r="AL144"/>
      <c r="AM144"/>
      <c r="AN144"/>
    </row>
    <row r="145" spans="1:40" s="349" customFormat="1" ht="17.399999999999999">
      <c r="A145" s="1798"/>
      <c r="B145" s="1946"/>
      <c r="C145" s="345"/>
      <c r="D145" s="345"/>
      <c r="E145" s="345"/>
      <c r="F145" s="346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  <c r="AA145" s="347"/>
      <c r="AB145" s="347"/>
      <c r="AC145" s="347"/>
      <c r="AD145" s="347"/>
      <c r="AE145" s="347"/>
      <c r="AF145" s="347"/>
      <c r="AG145" s="347"/>
      <c r="AH145" s="347"/>
      <c r="AI145" s="347"/>
      <c r="AJ145" s="347"/>
      <c r="AK145" s="347"/>
      <c r="AL145"/>
      <c r="AM145"/>
      <c r="AN145"/>
    </row>
    <row r="146" spans="1:40" s="349" customFormat="1" ht="17.399999999999999">
      <c r="A146" s="1798"/>
      <c r="B146" s="1946"/>
      <c r="C146" s="345"/>
      <c r="D146" s="345"/>
      <c r="E146" s="345"/>
      <c r="F146" s="346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  <c r="AA146" s="347"/>
      <c r="AB146" s="347"/>
      <c r="AC146" s="347"/>
      <c r="AD146" s="347"/>
      <c r="AE146" s="347"/>
      <c r="AF146" s="347"/>
      <c r="AG146" s="347"/>
      <c r="AH146" s="347">
        <v>0</v>
      </c>
      <c r="AI146" s="347"/>
      <c r="AJ146" s="347"/>
      <c r="AK146" s="347"/>
      <c r="AL146"/>
      <c r="AM146"/>
      <c r="AN146"/>
    </row>
    <row r="147" spans="1:40" s="349" customFormat="1" ht="17.399999999999999">
      <c r="A147" s="1798"/>
      <c r="B147" s="1946"/>
      <c r="C147" s="345"/>
      <c r="D147" s="345"/>
      <c r="E147" s="345"/>
      <c r="F147" s="346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  <c r="AA147" s="347"/>
      <c r="AB147" s="347"/>
      <c r="AC147" s="347"/>
      <c r="AD147" s="347"/>
      <c r="AE147" s="347"/>
      <c r="AF147" s="347"/>
      <c r="AG147" s="347"/>
      <c r="AH147" s="347"/>
      <c r="AI147" s="347"/>
      <c r="AJ147" s="347"/>
      <c r="AK147" s="347"/>
      <c r="AL147"/>
      <c r="AM147"/>
      <c r="AN147"/>
    </row>
    <row r="148" spans="1:40" s="349" customFormat="1" ht="17.399999999999999">
      <c r="A148" s="1798"/>
      <c r="B148" s="1946"/>
      <c r="C148" s="345"/>
      <c r="D148" s="345"/>
      <c r="E148" s="345"/>
      <c r="F148" s="346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  <c r="AA148" s="347"/>
      <c r="AB148" s="347"/>
      <c r="AC148" s="347"/>
      <c r="AD148" s="347"/>
      <c r="AE148" s="347"/>
      <c r="AF148" s="347"/>
      <c r="AG148" s="347"/>
      <c r="AH148" s="347"/>
      <c r="AI148" s="347"/>
      <c r="AJ148" s="347"/>
      <c r="AK148" s="347"/>
      <c r="AL148"/>
      <c r="AM148"/>
      <c r="AN148"/>
    </row>
    <row r="149" spans="1:40" s="349" customFormat="1" ht="17.399999999999999">
      <c r="A149" s="1798"/>
      <c r="B149" s="1946"/>
      <c r="C149" s="345"/>
      <c r="D149" s="345"/>
      <c r="E149" s="345"/>
      <c r="F149" s="346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  <c r="AA149" s="347"/>
      <c r="AB149" s="347"/>
      <c r="AC149" s="347"/>
      <c r="AD149" s="347"/>
      <c r="AE149" s="347"/>
      <c r="AF149" s="347"/>
      <c r="AG149" s="347"/>
      <c r="AH149" s="347"/>
      <c r="AI149" s="347"/>
      <c r="AJ149" s="347"/>
      <c r="AK149" s="347"/>
      <c r="AL149"/>
      <c r="AM149"/>
      <c r="AN149"/>
    </row>
    <row r="150" spans="1:40" s="349" customFormat="1" ht="17.399999999999999">
      <c r="A150" s="1798"/>
      <c r="B150" s="1946"/>
      <c r="C150" s="345"/>
      <c r="D150" s="345"/>
      <c r="E150" s="345"/>
      <c r="F150" s="346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  <c r="AA150" s="347"/>
      <c r="AB150" s="347"/>
      <c r="AC150" s="347"/>
      <c r="AD150" s="347"/>
      <c r="AE150" s="347"/>
      <c r="AF150" s="347"/>
      <c r="AG150" s="347"/>
      <c r="AH150" s="347"/>
      <c r="AI150" s="347"/>
      <c r="AJ150" s="347"/>
      <c r="AK150" s="347"/>
      <c r="AL150"/>
      <c r="AM150"/>
      <c r="AN150"/>
    </row>
    <row r="151" spans="1:40" s="349" customFormat="1" ht="17.399999999999999">
      <c r="A151" s="1798"/>
      <c r="B151" s="1946"/>
      <c r="C151" s="345"/>
      <c r="D151" s="345"/>
      <c r="E151" s="345"/>
      <c r="F151" s="346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  <c r="AA151" s="347"/>
      <c r="AB151" s="347"/>
      <c r="AC151" s="347"/>
      <c r="AD151" s="347"/>
      <c r="AE151" s="347"/>
      <c r="AF151" s="347"/>
      <c r="AG151" s="347"/>
      <c r="AH151" s="347"/>
      <c r="AI151" s="347"/>
      <c r="AJ151" s="347"/>
      <c r="AK151" s="347"/>
      <c r="AL151"/>
      <c r="AM151"/>
      <c r="AN151"/>
    </row>
    <row r="152" spans="1:40" s="349" customFormat="1" ht="17.399999999999999">
      <c r="A152" s="1798"/>
      <c r="B152" s="1946"/>
      <c r="C152" s="345"/>
      <c r="D152" s="345"/>
      <c r="E152" s="345"/>
      <c r="F152" s="346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  <c r="AA152" s="347"/>
      <c r="AB152" s="347"/>
      <c r="AC152" s="347"/>
      <c r="AD152" s="347"/>
      <c r="AE152" s="347"/>
      <c r="AF152" s="347"/>
      <c r="AG152" s="347"/>
      <c r="AH152" s="347"/>
      <c r="AI152" s="347"/>
      <c r="AJ152" s="347"/>
      <c r="AK152" s="347"/>
      <c r="AL152"/>
      <c r="AM152"/>
      <c r="AN152"/>
    </row>
    <row r="153" spans="1:40" s="349" customFormat="1" ht="17.399999999999999">
      <c r="A153" s="1798"/>
      <c r="B153" s="1946"/>
      <c r="C153" s="345"/>
      <c r="D153" s="345"/>
      <c r="E153" s="345"/>
      <c r="F153" s="346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  <c r="AA153" s="347"/>
      <c r="AB153" s="347"/>
      <c r="AC153" s="347"/>
      <c r="AD153" s="347"/>
      <c r="AE153" s="347"/>
      <c r="AF153" s="347"/>
      <c r="AG153" s="347"/>
      <c r="AH153" s="347"/>
      <c r="AI153" s="347"/>
      <c r="AJ153" s="347"/>
      <c r="AK153" s="347"/>
      <c r="AL153"/>
      <c r="AM153"/>
      <c r="AN153"/>
    </row>
    <row r="154" spans="1:40" ht="17.399999999999999">
      <c r="G154" s="279"/>
      <c r="H154" s="279"/>
      <c r="I154" s="279"/>
      <c r="J154" s="279"/>
      <c r="K154" s="279"/>
      <c r="L154" s="279"/>
      <c r="M154" s="279"/>
      <c r="N154" s="279"/>
      <c r="O154" s="279"/>
      <c r="P154" s="279"/>
      <c r="Q154" s="279"/>
      <c r="R154" s="279"/>
      <c r="S154" s="279"/>
      <c r="T154" s="279"/>
      <c r="U154" s="279"/>
      <c r="V154" s="279"/>
      <c r="W154" s="279"/>
      <c r="X154" s="279"/>
      <c r="Y154" s="279"/>
      <c r="Z154" s="279"/>
      <c r="AA154" s="279"/>
      <c r="AB154" s="279"/>
      <c r="AC154" s="279"/>
      <c r="AD154" s="279"/>
      <c r="AE154" s="279"/>
      <c r="AF154" s="279"/>
      <c r="AG154" s="279"/>
      <c r="AH154" s="279"/>
      <c r="AI154" s="279"/>
      <c r="AJ154" s="279"/>
      <c r="AK154" s="279"/>
      <c r="AL154"/>
      <c r="AM154"/>
      <c r="AN154"/>
    </row>
    <row r="155" spans="1:40" ht="17.399999999999999">
      <c r="G155" s="279"/>
      <c r="H155" s="279"/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  <c r="S155" s="279"/>
      <c r="T155" s="279"/>
      <c r="U155" s="279"/>
      <c r="V155" s="279"/>
      <c r="W155" s="279"/>
      <c r="X155" s="279"/>
      <c r="Y155" s="279"/>
      <c r="Z155" s="279"/>
      <c r="AA155" s="279"/>
      <c r="AB155" s="279"/>
      <c r="AC155" s="279"/>
      <c r="AD155" s="279"/>
      <c r="AE155" s="279"/>
      <c r="AF155" s="279"/>
      <c r="AG155" s="279"/>
      <c r="AH155" s="279"/>
      <c r="AI155" s="279"/>
      <c r="AJ155" s="279"/>
      <c r="AK155" s="279"/>
      <c r="AL155"/>
      <c r="AM155"/>
      <c r="AN155"/>
    </row>
    <row r="156" spans="1:40" ht="17.399999999999999"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  <c r="AA156" s="279"/>
      <c r="AB156" s="279"/>
      <c r="AC156" s="279"/>
      <c r="AD156" s="279"/>
      <c r="AE156" s="279"/>
      <c r="AF156" s="279"/>
      <c r="AG156" s="279"/>
      <c r="AH156" s="279"/>
      <c r="AI156" s="279"/>
      <c r="AJ156" s="279"/>
      <c r="AK156" s="279"/>
      <c r="AL156"/>
      <c r="AM156"/>
      <c r="AN156"/>
    </row>
    <row r="157" spans="1:40" ht="17.399999999999999">
      <c r="G157" s="279"/>
      <c r="H157" s="279"/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  <c r="S157" s="279"/>
      <c r="T157" s="279"/>
      <c r="U157" s="279"/>
      <c r="V157" s="279"/>
      <c r="W157" s="279"/>
      <c r="X157" s="279"/>
      <c r="Y157" s="279"/>
      <c r="Z157" s="279"/>
      <c r="AA157" s="279"/>
      <c r="AB157" s="279"/>
      <c r="AC157" s="279"/>
      <c r="AD157" s="279"/>
      <c r="AE157" s="279"/>
      <c r="AF157" s="279"/>
      <c r="AG157" s="279"/>
      <c r="AH157" s="279"/>
      <c r="AI157" s="279"/>
      <c r="AJ157" s="279"/>
      <c r="AK157" s="279"/>
      <c r="AL157"/>
      <c r="AM157"/>
      <c r="AN157"/>
    </row>
    <row r="158" spans="1:40" ht="17.399999999999999"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  <c r="AA158" s="279"/>
      <c r="AB158" s="279"/>
      <c r="AC158" s="279"/>
      <c r="AD158" s="279"/>
      <c r="AE158" s="279"/>
      <c r="AF158" s="279"/>
      <c r="AG158" s="279"/>
      <c r="AH158" s="279"/>
      <c r="AI158" s="279"/>
      <c r="AJ158" s="279"/>
      <c r="AK158" s="279"/>
      <c r="AL158"/>
      <c r="AM158"/>
      <c r="AN158"/>
    </row>
    <row r="159" spans="1:40" ht="17.399999999999999">
      <c r="G159" s="279"/>
      <c r="H159" s="279"/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  <c r="S159" s="279"/>
      <c r="T159" s="279"/>
      <c r="U159" s="279"/>
      <c r="V159" s="279"/>
      <c r="W159" s="279"/>
      <c r="X159" s="279"/>
      <c r="Y159" s="279"/>
      <c r="Z159" s="279"/>
      <c r="AA159" s="279"/>
      <c r="AB159" s="279"/>
      <c r="AC159" s="279"/>
      <c r="AD159" s="279"/>
      <c r="AE159" s="279"/>
      <c r="AF159" s="279"/>
      <c r="AG159" s="279"/>
      <c r="AH159" s="279"/>
      <c r="AI159" s="279"/>
      <c r="AJ159" s="279"/>
      <c r="AK159" s="279"/>
      <c r="AL159"/>
      <c r="AM159"/>
      <c r="AN159"/>
    </row>
    <row r="160" spans="1:40" ht="17.399999999999999">
      <c r="G160" s="279"/>
      <c r="H160" s="279"/>
      <c r="I160" s="279"/>
      <c r="J160" s="279"/>
      <c r="K160" s="279"/>
      <c r="L160" s="279"/>
      <c r="M160" s="279"/>
      <c r="N160" s="279"/>
      <c r="O160" s="279"/>
      <c r="P160" s="279"/>
      <c r="Q160" s="279"/>
      <c r="R160" s="279"/>
      <c r="S160" s="279"/>
      <c r="T160" s="279"/>
      <c r="U160" s="279"/>
      <c r="V160" s="279"/>
      <c r="W160" s="279"/>
      <c r="X160" s="279"/>
      <c r="Y160" s="279"/>
      <c r="Z160" s="279"/>
      <c r="AA160" s="279"/>
      <c r="AB160" s="279"/>
      <c r="AC160" s="279"/>
      <c r="AD160" s="279"/>
      <c r="AE160" s="279"/>
      <c r="AF160" s="279"/>
      <c r="AG160" s="279"/>
      <c r="AH160" s="279"/>
      <c r="AI160" s="279"/>
      <c r="AJ160" s="279"/>
      <c r="AK160" s="279"/>
      <c r="AL160"/>
      <c r="AM160"/>
      <c r="AN160"/>
    </row>
    <row r="161" spans="7:40" ht="17.399999999999999"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  <c r="AA161" s="279"/>
      <c r="AB161" s="279"/>
      <c r="AC161" s="279"/>
      <c r="AD161" s="279"/>
      <c r="AE161" s="279"/>
      <c r="AF161" s="279"/>
      <c r="AG161" s="279"/>
      <c r="AH161" s="279"/>
      <c r="AI161" s="279"/>
      <c r="AJ161" s="279"/>
      <c r="AK161" s="279"/>
      <c r="AL161"/>
      <c r="AM161"/>
      <c r="AN161"/>
    </row>
    <row r="162" spans="7:40" ht="17.399999999999999">
      <c r="G162" s="279"/>
      <c r="H162" s="279"/>
      <c r="I162" s="279"/>
      <c r="J162" s="279"/>
      <c r="K162" s="279"/>
      <c r="L162" s="279"/>
      <c r="M162" s="279"/>
      <c r="N162" s="279"/>
      <c r="O162" s="279"/>
      <c r="P162" s="279"/>
      <c r="Q162" s="279"/>
      <c r="R162" s="279"/>
      <c r="S162" s="279"/>
      <c r="T162" s="279"/>
      <c r="U162" s="279"/>
      <c r="V162" s="279"/>
      <c r="W162" s="279"/>
      <c r="X162" s="279"/>
      <c r="Y162" s="279"/>
      <c r="Z162" s="279"/>
      <c r="AA162" s="279"/>
      <c r="AB162" s="279"/>
      <c r="AC162" s="279"/>
      <c r="AD162" s="279"/>
      <c r="AE162" s="279"/>
      <c r="AF162" s="279"/>
      <c r="AG162" s="279"/>
      <c r="AH162" s="279"/>
      <c r="AI162" s="279"/>
      <c r="AJ162" s="279"/>
      <c r="AK162" s="279"/>
      <c r="AL162"/>
      <c r="AM162"/>
      <c r="AN162"/>
    </row>
    <row r="163" spans="7:40" ht="17.399999999999999">
      <c r="G163" s="279"/>
      <c r="H163" s="279"/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  <c r="Z163" s="279"/>
      <c r="AA163" s="279"/>
      <c r="AB163" s="279"/>
      <c r="AC163" s="279"/>
      <c r="AD163" s="279"/>
      <c r="AE163" s="279"/>
      <c r="AF163" s="279"/>
      <c r="AG163" s="279"/>
      <c r="AH163" s="279"/>
      <c r="AI163" s="279"/>
      <c r="AJ163" s="279"/>
      <c r="AK163" s="279"/>
      <c r="AL163"/>
      <c r="AM163"/>
      <c r="AN163"/>
    </row>
    <row r="164" spans="7:40" ht="17.399999999999999"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  <c r="AA164" s="279"/>
      <c r="AB164" s="279"/>
      <c r="AC164" s="279"/>
      <c r="AD164" s="279"/>
      <c r="AE164" s="279"/>
      <c r="AF164" s="279"/>
      <c r="AG164" s="279"/>
      <c r="AH164" s="279"/>
      <c r="AI164" s="279"/>
      <c r="AJ164" s="279"/>
      <c r="AK164" s="279"/>
      <c r="AL164"/>
      <c r="AM164"/>
      <c r="AN164"/>
    </row>
    <row r="165" spans="7:40" ht="17.399999999999999"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  <c r="AA165" s="279"/>
      <c r="AB165" s="279"/>
      <c r="AC165" s="279"/>
      <c r="AD165" s="279"/>
      <c r="AE165" s="279"/>
      <c r="AF165" s="279"/>
      <c r="AG165" s="279"/>
      <c r="AH165" s="279"/>
      <c r="AI165" s="279"/>
      <c r="AJ165" s="279"/>
      <c r="AK165" s="279"/>
      <c r="AL165"/>
      <c r="AM165"/>
      <c r="AN165"/>
    </row>
    <row r="166" spans="7:40" ht="17.399999999999999">
      <c r="G166" s="279"/>
      <c r="H166" s="279"/>
      <c r="I166" s="279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V166" s="279"/>
      <c r="W166" s="279"/>
      <c r="X166" s="279"/>
      <c r="Y166" s="279"/>
      <c r="Z166" s="279"/>
      <c r="AA166" s="279"/>
      <c r="AB166" s="279"/>
      <c r="AC166" s="279"/>
      <c r="AD166" s="279"/>
      <c r="AE166" s="279"/>
      <c r="AF166" s="279"/>
      <c r="AG166" s="279"/>
      <c r="AH166" s="279"/>
      <c r="AI166" s="279"/>
      <c r="AJ166" s="279"/>
      <c r="AK166" s="279"/>
      <c r="AL166"/>
      <c r="AM166"/>
      <c r="AN166"/>
    </row>
    <row r="167" spans="7:40" ht="17.399999999999999">
      <c r="G167" s="279"/>
      <c r="H167" s="279"/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  <c r="V167" s="279"/>
      <c r="W167" s="279"/>
      <c r="X167" s="279"/>
      <c r="Y167" s="279"/>
      <c r="Z167" s="279"/>
      <c r="AA167" s="279"/>
      <c r="AB167" s="279"/>
      <c r="AC167" s="279"/>
      <c r="AD167" s="279"/>
      <c r="AE167" s="279"/>
      <c r="AF167" s="279"/>
      <c r="AG167" s="279"/>
      <c r="AH167" s="279"/>
      <c r="AI167" s="279"/>
      <c r="AJ167" s="279"/>
      <c r="AK167" s="279"/>
      <c r="AL167"/>
      <c r="AM167"/>
      <c r="AN167"/>
    </row>
    <row r="168" spans="7:40" ht="17.399999999999999">
      <c r="G168" s="279"/>
      <c r="H168" s="279"/>
      <c r="I168" s="279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  <c r="V168" s="279"/>
      <c r="W168" s="279"/>
      <c r="X168" s="279"/>
      <c r="Y168" s="279"/>
      <c r="Z168" s="279"/>
      <c r="AA168" s="279"/>
      <c r="AB168" s="279"/>
      <c r="AC168" s="279"/>
      <c r="AD168" s="279"/>
      <c r="AE168" s="279"/>
      <c r="AF168" s="279"/>
      <c r="AG168" s="279"/>
      <c r="AH168" s="279"/>
      <c r="AI168" s="279"/>
      <c r="AJ168" s="279"/>
      <c r="AK168" s="279"/>
      <c r="AL168"/>
      <c r="AM168"/>
      <c r="AN168"/>
    </row>
    <row r="169" spans="7:40" ht="17.399999999999999"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  <c r="AA169" s="279"/>
      <c r="AB169" s="279"/>
      <c r="AC169" s="279"/>
      <c r="AD169" s="279"/>
      <c r="AE169" s="279"/>
      <c r="AF169" s="279"/>
      <c r="AG169" s="279"/>
      <c r="AH169" s="279"/>
      <c r="AI169" s="279"/>
      <c r="AJ169" s="279"/>
      <c r="AK169" s="279"/>
      <c r="AL169"/>
      <c r="AM169"/>
      <c r="AN169"/>
    </row>
    <row r="170" spans="7:40" ht="17.399999999999999">
      <c r="G170" s="279"/>
      <c r="H170" s="279"/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  <c r="V170" s="279"/>
      <c r="W170" s="279"/>
      <c r="X170" s="279"/>
      <c r="Y170" s="279"/>
      <c r="Z170" s="279"/>
      <c r="AA170" s="279"/>
      <c r="AB170" s="279"/>
      <c r="AC170" s="279"/>
      <c r="AD170" s="279"/>
      <c r="AE170" s="279"/>
      <c r="AF170" s="279"/>
      <c r="AG170" s="279"/>
      <c r="AH170" s="279"/>
      <c r="AI170" s="279"/>
      <c r="AJ170" s="279"/>
      <c r="AK170" s="279"/>
      <c r="AL170"/>
      <c r="AM170"/>
      <c r="AN170"/>
    </row>
    <row r="171" spans="7:40" ht="17.399999999999999"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  <c r="AA171" s="279"/>
      <c r="AB171" s="279"/>
      <c r="AC171" s="279"/>
      <c r="AD171" s="279"/>
      <c r="AE171" s="279"/>
      <c r="AF171" s="279"/>
      <c r="AG171" s="279"/>
      <c r="AH171" s="279"/>
      <c r="AI171" s="279"/>
      <c r="AJ171" s="279"/>
      <c r="AK171" s="279"/>
      <c r="AL171"/>
      <c r="AM171"/>
      <c r="AN171"/>
    </row>
    <row r="172" spans="7:40" ht="17.399999999999999">
      <c r="G172" s="279"/>
      <c r="H172" s="279"/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  <c r="Z172" s="279"/>
      <c r="AA172" s="279"/>
      <c r="AB172" s="279"/>
      <c r="AC172" s="279"/>
      <c r="AD172" s="279"/>
      <c r="AE172" s="279"/>
      <c r="AF172" s="279"/>
      <c r="AG172" s="279"/>
      <c r="AH172" s="279"/>
      <c r="AI172" s="279"/>
      <c r="AJ172" s="279"/>
      <c r="AK172" s="279"/>
      <c r="AL172"/>
      <c r="AM172"/>
      <c r="AN172"/>
    </row>
    <row r="173" spans="7:40" ht="17.399999999999999">
      <c r="G173" s="279"/>
      <c r="H173" s="279"/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  <c r="AA173" s="279"/>
      <c r="AB173" s="279"/>
      <c r="AC173" s="279"/>
      <c r="AD173" s="279"/>
      <c r="AE173" s="279"/>
      <c r="AF173" s="279"/>
      <c r="AG173" s="279"/>
      <c r="AH173" s="279"/>
      <c r="AI173" s="279"/>
      <c r="AJ173" s="279"/>
      <c r="AK173" s="279"/>
      <c r="AL173"/>
      <c r="AM173"/>
      <c r="AN173"/>
    </row>
    <row r="174" spans="7:40" ht="17.399999999999999"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  <c r="AA174" s="279"/>
      <c r="AB174" s="279"/>
      <c r="AC174" s="279"/>
      <c r="AD174" s="279"/>
      <c r="AE174" s="279"/>
      <c r="AF174" s="279"/>
      <c r="AG174" s="279"/>
      <c r="AH174" s="279"/>
      <c r="AI174" s="279"/>
      <c r="AJ174" s="279"/>
      <c r="AK174" s="279"/>
      <c r="AL174"/>
      <c r="AM174"/>
      <c r="AN174"/>
    </row>
    <row r="175" spans="7:40" ht="17.399999999999999">
      <c r="G175" s="279"/>
      <c r="H175" s="279"/>
      <c r="I175" s="279"/>
      <c r="J175" s="279"/>
      <c r="K175" s="279"/>
      <c r="L175" s="279"/>
      <c r="M175" s="279"/>
      <c r="N175" s="279"/>
      <c r="O175" s="279"/>
      <c r="P175" s="279"/>
      <c r="Q175" s="279"/>
      <c r="R175" s="279"/>
      <c r="S175" s="279"/>
      <c r="T175" s="279"/>
      <c r="U175" s="279"/>
      <c r="V175" s="279"/>
      <c r="W175" s="279"/>
      <c r="X175" s="279"/>
      <c r="Y175" s="279"/>
      <c r="Z175" s="279"/>
      <c r="AA175" s="279"/>
      <c r="AB175" s="279"/>
      <c r="AC175" s="279"/>
      <c r="AD175" s="279"/>
      <c r="AE175" s="279"/>
      <c r="AF175" s="279"/>
      <c r="AG175" s="279"/>
      <c r="AH175" s="279"/>
      <c r="AI175" s="279"/>
      <c r="AJ175" s="279"/>
      <c r="AK175" s="279"/>
      <c r="AL175"/>
      <c r="AM175"/>
      <c r="AN175"/>
    </row>
    <row r="176" spans="7:40" ht="17.399999999999999"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  <c r="AA176" s="279"/>
      <c r="AB176" s="279"/>
      <c r="AC176" s="279"/>
      <c r="AD176" s="279"/>
      <c r="AE176" s="279"/>
      <c r="AF176" s="279"/>
      <c r="AG176" s="279"/>
      <c r="AH176" s="279"/>
      <c r="AI176" s="279"/>
      <c r="AJ176" s="279"/>
      <c r="AK176" s="279"/>
      <c r="AL176"/>
      <c r="AM176"/>
      <c r="AN176"/>
    </row>
    <row r="177" spans="7:40" ht="17.399999999999999"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  <c r="AA177" s="279"/>
      <c r="AB177" s="279"/>
      <c r="AC177" s="279"/>
      <c r="AD177" s="279"/>
      <c r="AE177" s="279"/>
      <c r="AF177" s="279"/>
      <c r="AG177" s="279"/>
      <c r="AH177" s="279"/>
      <c r="AI177" s="279"/>
      <c r="AJ177" s="279"/>
      <c r="AK177" s="279"/>
      <c r="AL177"/>
      <c r="AM177"/>
      <c r="AN177"/>
    </row>
    <row r="178" spans="7:40" ht="17.399999999999999">
      <c r="G178" s="279"/>
      <c r="H178" s="279"/>
      <c r="I178" s="279"/>
      <c r="J178" s="279"/>
      <c r="K178" s="279"/>
      <c r="L178" s="279"/>
      <c r="M178" s="279"/>
      <c r="N178" s="279"/>
      <c r="O178" s="279"/>
      <c r="P178" s="279"/>
      <c r="Q178" s="279"/>
      <c r="R178" s="279"/>
      <c r="S178" s="279"/>
      <c r="T178" s="279"/>
      <c r="U178" s="279"/>
      <c r="V178" s="279"/>
      <c r="W178" s="279"/>
      <c r="X178" s="279"/>
      <c r="Y178" s="279"/>
      <c r="Z178" s="279"/>
      <c r="AA178" s="279"/>
      <c r="AB178" s="279"/>
      <c r="AC178" s="279"/>
      <c r="AD178" s="279"/>
      <c r="AE178" s="279"/>
      <c r="AF178" s="279"/>
      <c r="AG178" s="279"/>
      <c r="AH178" s="279"/>
      <c r="AI178" s="279"/>
      <c r="AJ178" s="279"/>
      <c r="AK178" s="279"/>
      <c r="AL178"/>
      <c r="AM178"/>
      <c r="AN178"/>
    </row>
    <row r="179" spans="7:40" ht="17.399999999999999">
      <c r="G179" s="279"/>
      <c r="H179" s="279"/>
      <c r="I179" s="279"/>
      <c r="J179" s="279"/>
      <c r="K179" s="279"/>
      <c r="L179" s="279"/>
      <c r="M179" s="279"/>
      <c r="N179" s="279"/>
      <c r="O179" s="279"/>
      <c r="P179" s="279"/>
      <c r="Q179" s="279"/>
      <c r="R179" s="279"/>
      <c r="S179" s="279"/>
      <c r="T179" s="279"/>
      <c r="U179" s="279"/>
      <c r="V179" s="279"/>
      <c r="W179" s="279"/>
      <c r="X179" s="279"/>
      <c r="Y179" s="279"/>
      <c r="Z179" s="279"/>
      <c r="AA179" s="279"/>
      <c r="AB179" s="279"/>
      <c r="AC179" s="279"/>
      <c r="AD179" s="279"/>
      <c r="AE179" s="279"/>
      <c r="AF179" s="279"/>
      <c r="AG179" s="279"/>
      <c r="AH179" s="279"/>
      <c r="AI179" s="279"/>
      <c r="AJ179" s="279"/>
      <c r="AK179" s="279"/>
      <c r="AL179"/>
      <c r="AM179"/>
      <c r="AN179"/>
    </row>
    <row r="180" spans="7:40" ht="17.399999999999999"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  <c r="AA180" s="279"/>
      <c r="AB180" s="279"/>
      <c r="AC180" s="279"/>
      <c r="AD180" s="279"/>
      <c r="AE180" s="279"/>
      <c r="AF180" s="279"/>
      <c r="AG180" s="279"/>
      <c r="AH180" s="279"/>
      <c r="AI180" s="279"/>
      <c r="AJ180" s="279"/>
      <c r="AK180" s="279"/>
      <c r="AL180"/>
      <c r="AM180"/>
      <c r="AN180"/>
    </row>
    <row r="181" spans="7:40" ht="17.399999999999999">
      <c r="G181" s="279"/>
      <c r="H181" s="279"/>
      <c r="I181" s="279"/>
      <c r="J181" s="279"/>
      <c r="K181" s="279"/>
      <c r="L181" s="279"/>
      <c r="M181" s="279"/>
      <c r="N181" s="279"/>
      <c r="O181" s="279"/>
      <c r="P181" s="279"/>
      <c r="Q181" s="279"/>
      <c r="R181" s="279"/>
      <c r="S181" s="279"/>
      <c r="T181" s="279"/>
      <c r="U181" s="279"/>
      <c r="V181" s="279"/>
      <c r="W181" s="279"/>
      <c r="X181" s="279"/>
      <c r="Y181" s="279"/>
      <c r="Z181" s="279"/>
      <c r="AA181" s="279"/>
      <c r="AB181" s="279"/>
      <c r="AC181" s="279"/>
      <c r="AD181" s="279"/>
      <c r="AE181" s="279"/>
      <c r="AF181" s="279"/>
      <c r="AG181" s="279"/>
      <c r="AH181" s="279"/>
      <c r="AI181" s="279"/>
      <c r="AJ181" s="279"/>
      <c r="AK181" s="279"/>
      <c r="AL181"/>
      <c r="AM181"/>
      <c r="AN181"/>
    </row>
    <row r="182" spans="7:40" ht="17.399999999999999">
      <c r="G182" s="279"/>
      <c r="H182" s="279"/>
      <c r="I182" s="279"/>
      <c r="J182" s="279"/>
      <c r="K182" s="279"/>
      <c r="L182" s="279"/>
      <c r="M182" s="279"/>
      <c r="N182" s="279"/>
      <c r="O182" s="279"/>
      <c r="P182" s="279"/>
      <c r="Q182" s="279"/>
      <c r="R182" s="279"/>
      <c r="S182" s="279"/>
      <c r="T182" s="279"/>
      <c r="U182" s="279"/>
      <c r="V182" s="279"/>
      <c r="W182" s="279"/>
      <c r="X182" s="279"/>
      <c r="Y182" s="279"/>
      <c r="Z182" s="279"/>
      <c r="AA182" s="279"/>
      <c r="AB182" s="279"/>
      <c r="AC182" s="279"/>
      <c r="AD182" s="279"/>
      <c r="AE182" s="279"/>
      <c r="AF182" s="279"/>
      <c r="AG182" s="279"/>
      <c r="AH182" s="279"/>
      <c r="AI182" s="279"/>
      <c r="AJ182" s="279"/>
      <c r="AK182" s="279"/>
      <c r="AL182"/>
      <c r="AM182"/>
      <c r="AN182"/>
    </row>
    <row r="183" spans="7:40" ht="17.399999999999999"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  <c r="AA183" s="279"/>
      <c r="AB183" s="279"/>
      <c r="AC183" s="279"/>
      <c r="AD183" s="279"/>
      <c r="AE183" s="279"/>
      <c r="AF183" s="279"/>
      <c r="AG183" s="279"/>
      <c r="AH183" s="279"/>
      <c r="AI183" s="279"/>
      <c r="AJ183" s="279"/>
      <c r="AK183" s="279"/>
      <c r="AL183"/>
      <c r="AM183"/>
      <c r="AN183"/>
    </row>
    <row r="184" spans="7:40" ht="17.399999999999999">
      <c r="G184" s="279"/>
      <c r="H184" s="279"/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  <c r="S184" s="279"/>
      <c r="T184" s="279"/>
      <c r="U184" s="279"/>
      <c r="V184" s="279"/>
      <c r="W184" s="279"/>
      <c r="X184" s="279"/>
      <c r="Y184" s="279"/>
      <c r="Z184" s="279"/>
      <c r="AA184" s="279"/>
      <c r="AB184" s="279"/>
      <c r="AC184" s="279"/>
      <c r="AD184" s="279"/>
      <c r="AE184" s="279"/>
      <c r="AF184" s="279"/>
      <c r="AG184" s="279"/>
      <c r="AH184" s="279"/>
      <c r="AI184" s="279"/>
      <c r="AJ184" s="279"/>
      <c r="AK184" s="279"/>
      <c r="AL184"/>
      <c r="AM184"/>
      <c r="AN184"/>
    </row>
    <row r="185" spans="7:40" ht="17.399999999999999"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  <c r="AA185" s="279"/>
      <c r="AB185" s="279"/>
      <c r="AC185" s="279"/>
      <c r="AD185" s="279"/>
      <c r="AE185" s="279"/>
      <c r="AF185" s="279"/>
      <c r="AG185" s="279"/>
      <c r="AH185" s="279"/>
      <c r="AI185" s="279"/>
      <c r="AJ185" s="279"/>
      <c r="AK185" s="279"/>
      <c r="AL185"/>
      <c r="AM185"/>
      <c r="AN185"/>
    </row>
    <row r="186" spans="7:40">
      <c r="H186" s="279"/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  <c r="Z186" s="279"/>
      <c r="AA186" s="279"/>
      <c r="AB186" s="279"/>
      <c r="AC186" s="279"/>
      <c r="AD186" s="279"/>
      <c r="AE186" s="279"/>
      <c r="AF186" s="279"/>
      <c r="AG186" s="279"/>
      <c r="AH186" s="279"/>
      <c r="AI186" s="279"/>
      <c r="AJ186" s="279"/>
      <c r="AK186" s="279"/>
    </row>
  </sheetData>
  <autoFilter ref="B2:F139" xr:uid="{00000000-0009-0000-0000-00000A000000}"/>
  <customSheetViews>
    <customSheetView guid="{4B6F0EB4-660D-4B5D-BC48-6CB7C10D7F9B}" showAutoFilter="1">
      <pane xSplit="5" ySplit="2" topLeftCell="F78" activePane="bottomRight" state="frozen"/>
      <selection pane="bottomRight" activeCell="X106" sqref="X106"/>
      <pageMargins left="0.7" right="0.7" top="0.75" bottom="0.75" header="0.3" footer="0.3"/>
      <pageSetup paperSize="9" orientation="portrait" r:id="rId1"/>
      <autoFilter ref="A2:E118" xr:uid="{3ED95117-E0E5-4B41-AB67-31E21C18AF6A}"/>
    </customSheetView>
    <customSheetView guid="{2118503C-FA17-40AD-A92D-3BEB91EE1F01}" showAutoFilter="1">
      <pane xSplit="5" ySplit="2" topLeftCell="F60" activePane="bottomRight" state="frozen"/>
      <selection pane="bottomRight" activeCell="A26" sqref="A26:XFD26"/>
      <pageMargins left="0.7" right="0.7" top="0.75" bottom="0.75" header="0.3" footer="0.3"/>
      <pageSetup paperSize="9" orientation="portrait" r:id="rId2"/>
      <autoFilter ref="A2:E75" xr:uid="{4124214E-AAE0-47C1-9B53-D81469DF8E92}"/>
    </customSheetView>
    <customSheetView guid="{844B66BD-C499-418A-A656-40E7940347EA}" showAutoFilter="1">
      <pane xSplit="5" ySplit="2" topLeftCell="X3" activePane="bottomRight" state="frozen"/>
      <selection pane="bottomRight" activeCell="O66" sqref="O66"/>
      <pageMargins left="0.7" right="0.7" top="0.75" bottom="0.75" header="0.3" footer="0.3"/>
      <pageSetup paperSize="9" orientation="portrait" r:id="rId3"/>
      <autoFilter ref="A2:E75" xr:uid="{B5CB92AA-A8AB-479E-9603-E438B268BD03}"/>
    </customSheetView>
    <customSheetView guid="{7523CC8F-897F-48BF-94A5-CFFF399736A5}" showAutoFilter="1">
      <pane xSplit="5" ySplit="2" topLeftCell="W15" activePane="bottomRight" state="frozen"/>
      <selection pane="bottomRight" activeCell="Y33" sqref="Y33"/>
      <pageMargins left="0.7" right="0.7" top="0.75" bottom="0.75" header="0.3" footer="0.3"/>
      <pageSetup paperSize="9" orientation="portrait" r:id="rId4"/>
      <autoFilter ref="A2:E75" xr:uid="{252D2E01-A96E-4FD6-8491-67EB3788AEE2}"/>
    </customSheetView>
    <customSheetView guid="{89B07EC3-7982-4908-AB99-54EB5928E5C4}" scale="90" showAutoFilter="1">
      <pane xSplit="4" ySplit="1" topLeftCell="O81" activePane="bottomRight" state="frozen"/>
      <selection pane="bottomRight" activeCell="F3" sqref="F3:AJ110"/>
      <pageMargins left="0.7" right="0.7" top="0.75" bottom="0.75" header="0.3" footer="0.3"/>
      <pageSetup paperSize="9" orientation="portrait" r:id="rId5"/>
      <autoFilter ref="A2:AO118" xr:uid="{76177572-CC3B-41C2-97F0-1D3982CDD53F}"/>
    </customSheetView>
  </customSheetViews>
  <mergeCells count="54">
    <mergeCell ref="B90:B93"/>
    <mergeCell ref="AN71:AN75"/>
    <mergeCell ref="AN22:AN24"/>
    <mergeCell ref="AN87:AN89"/>
    <mergeCell ref="AN90:AN93"/>
    <mergeCell ref="AN52:AN53"/>
    <mergeCell ref="B1:J1"/>
    <mergeCell ref="B3:B10"/>
    <mergeCell ref="B131:B135"/>
    <mergeCell ref="B11:B17"/>
    <mergeCell ref="B45:B48"/>
    <mergeCell ref="B122:B123"/>
    <mergeCell ref="B65:B70"/>
    <mergeCell ref="B77:B80"/>
    <mergeCell ref="B84:B86"/>
    <mergeCell ref="B58:B59"/>
    <mergeCell ref="B25:B35"/>
    <mergeCell ref="B63:B64"/>
    <mergeCell ref="B107:B109"/>
    <mergeCell ref="B22:B24"/>
    <mergeCell ref="B36:B38"/>
    <mergeCell ref="B113:B115"/>
    <mergeCell ref="AN3:AN10"/>
    <mergeCell ref="AN36:AN38"/>
    <mergeCell ref="AN49:AN51"/>
    <mergeCell ref="AN58:AN59"/>
    <mergeCell ref="A3:A24"/>
    <mergeCell ref="A25:A38"/>
    <mergeCell ref="A39:A56"/>
    <mergeCell ref="A57:A62"/>
    <mergeCell ref="AN11:AN17"/>
    <mergeCell ref="AN45:AN48"/>
    <mergeCell ref="AN25:AN35"/>
    <mergeCell ref="B52:B53"/>
    <mergeCell ref="B18:B21"/>
    <mergeCell ref="B40:B44"/>
    <mergeCell ref="B49:B51"/>
    <mergeCell ref="AN18:AN21"/>
    <mergeCell ref="A110:A112"/>
    <mergeCell ref="A113:A115"/>
    <mergeCell ref="B127:B129"/>
    <mergeCell ref="A116:A137"/>
    <mergeCell ref="AN100:AN102"/>
    <mergeCell ref="A63:A109"/>
    <mergeCell ref="B110:B111"/>
    <mergeCell ref="B87:B89"/>
    <mergeCell ref="B105:B106"/>
    <mergeCell ref="AN105:AN106"/>
    <mergeCell ref="AN84:AN86"/>
    <mergeCell ref="B136:B137"/>
    <mergeCell ref="B71:B75"/>
    <mergeCell ref="B100:B102"/>
    <mergeCell ref="B81:B83"/>
    <mergeCell ref="B94:B98"/>
  </mergeCells>
  <phoneticPr fontId="191" type="noConversion"/>
  <pageMargins left="0.70866141732283472" right="0.70866141732283472" top="0.74803149606299213" bottom="0.74803149606299213" header="0.31496062992125984" footer="0.31496062992125984"/>
  <pageSetup paperSize="9" orientation="landscape" r:id="rId6"/>
  <legacy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48"/>
  </sheetPr>
  <dimension ref="A1:S26"/>
  <sheetViews>
    <sheetView workbookViewId="0">
      <selection activeCell="L12" sqref="L12"/>
    </sheetView>
  </sheetViews>
  <sheetFormatPr defaultColWidth="9" defaultRowHeight="17.399999999999999"/>
  <cols>
    <col min="1" max="1" width="4.59765625" style="1" customWidth="1"/>
    <col min="2" max="2" width="7.19921875" style="1" customWidth="1"/>
    <col min="3" max="3" width="9.5" style="1" customWidth="1"/>
    <col min="4" max="4" width="16.59765625" style="1" customWidth="1"/>
    <col min="5" max="5" width="20" style="1" customWidth="1"/>
    <col min="6" max="6" width="16" style="1" bestFit="1" customWidth="1"/>
    <col min="7" max="7" width="15.69921875" style="1" bestFit="1" customWidth="1"/>
    <col min="8" max="8" width="16.8984375" style="1" bestFit="1" customWidth="1"/>
    <col min="9" max="10" width="12" style="1" customWidth="1"/>
    <col min="11" max="11" width="10.59765625" style="1" customWidth="1"/>
    <col min="12" max="12" width="8.19921875" style="1567" customWidth="1"/>
    <col min="13" max="13" width="16.59765625" customWidth="1"/>
    <col min="20" max="16384" width="9" style="1"/>
  </cols>
  <sheetData>
    <row r="1" spans="1:12" ht="39" customHeight="1">
      <c r="A1" s="2741" t="s">
        <v>2178</v>
      </c>
      <c r="B1" s="2742"/>
      <c r="C1" s="2742"/>
      <c r="D1" s="2742"/>
      <c r="E1" s="2742"/>
      <c r="F1" s="2742"/>
      <c r="G1" s="2742"/>
      <c r="H1" s="2742"/>
      <c r="I1" s="1625"/>
      <c r="J1" s="1626"/>
    </row>
    <row r="2" spans="1:12" ht="18.75" customHeight="1" thickBot="1">
      <c r="A2" s="210"/>
      <c r="J2" s="299"/>
    </row>
    <row r="3" spans="1:12" ht="19.5" customHeight="1" thickBot="1">
      <c r="A3" s="300" t="s">
        <v>448</v>
      </c>
      <c r="B3" s="301" t="s">
        <v>6</v>
      </c>
      <c r="C3" s="301" t="s">
        <v>449</v>
      </c>
      <c r="D3" s="301" t="s">
        <v>17</v>
      </c>
      <c r="E3" s="301" t="s">
        <v>450</v>
      </c>
      <c r="F3" s="301" t="s">
        <v>288</v>
      </c>
      <c r="G3" s="301" t="s">
        <v>451</v>
      </c>
      <c r="H3" s="301" t="s">
        <v>452</v>
      </c>
      <c r="I3" s="301" t="s">
        <v>453</v>
      </c>
      <c r="J3" s="1548" t="s">
        <v>52</v>
      </c>
      <c r="K3" s="1549" t="s">
        <v>932</v>
      </c>
    </row>
    <row r="4" spans="1:12" ht="19.5" customHeight="1" thickTop="1" thickBot="1">
      <c r="A4" s="302">
        <v>1</v>
      </c>
      <c r="B4" s="2746" t="s">
        <v>1073</v>
      </c>
      <c r="C4" s="1025">
        <v>46234</v>
      </c>
      <c r="D4" s="1187" t="s">
        <v>885</v>
      </c>
      <c r="E4" s="1550" t="s">
        <v>1823</v>
      </c>
      <c r="F4" s="1188">
        <v>22457295</v>
      </c>
      <c r="G4" s="1188">
        <f>F4*0.1</f>
        <v>2245729.5</v>
      </c>
      <c r="H4" s="303">
        <f t="shared" ref="H4:H10" si="0">F4+G4</f>
        <v>24703024.5</v>
      </c>
      <c r="I4" s="304" t="s">
        <v>454</v>
      </c>
      <c r="J4" s="1551" t="s">
        <v>865</v>
      </c>
      <c r="K4" s="1549"/>
    </row>
    <row r="5" spans="1:12" ht="19.5" customHeight="1" thickTop="1" thickBot="1">
      <c r="A5" s="302">
        <v>2</v>
      </c>
      <c r="B5" s="2747"/>
      <c r="C5" s="1025">
        <v>46234</v>
      </c>
      <c r="D5" s="306" t="s">
        <v>60</v>
      </c>
      <c r="E5" s="1552" t="s">
        <v>1824</v>
      </c>
      <c r="F5" s="307">
        <v>9180</v>
      </c>
      <c r="G5" s="307">
        <f t="shared" ref="G5:G9" si="1">F5*0.1</f>
        <v>918</v>
      </c>
      <c r="H5" s="308">
        <f t="shared" si="0"/>
        <v>10098</v>
      </c>
      <c r="I5" s="309" t="s">
        <v>454</v>
      </c>
      <c r="J5" s="1553" t="s">
        <v>866</v>
      </c>
      <c r="K5" s="1549" t="s">
        <v>1833</v>
      </c>
      <c r="L5" s="1567" t="s">
        <v>2277</v>
      </c>
    </row>
    <row r="6" spans="1:12" ht="19.5" hidden="1" customHeight="1" thickTop="1">
      <c r="A6" s="302">
        <v>4</v>
      </c>
      <c r="B6" s="2747"/>
      <c r="C6" s="1025">
        <v>46173</v>
      </c>
      <c r="D6" s="310" t="s">
        <v>455</v>
      </c>
      <c r="E6" s="1554"/>
      <c r="F6" s="312"/>
      <c r="G6" s="307">
        <f t="shared" si="1"/>
        <v>0</v>
      </c>
      <c r="H6" s="539">
        <f>F6+G6</f>
        <v>0</v>
      </c>
      <c r="I6" s="540" t="s">
        <v>454</v>
      </c>
      <c r="J6" s="1555" t="s">
        <v>866</v>
      </c>
      <c r="K6" s="1549"/>
    </row>
    <row r="7" spans="1:12" customFormat="1" ht="19.5" hidden="1" customHeight="1" thickBot="1">
      <c r="A7" s="305">
        <v>3</v>
      </c>
      <c r="B7" s="2747"/>
      <c r="C7" s="1025">
        <v>46173</v>
      </c>
      <c r="D7" s="1556" t="s">
        <v>60</v>
      </c>
      <c r="E7" s="1557"/>
      <c r="F7" s="312"/>
      <c r="G7" s="307">
        <f t="shared" si="1"/>
        <v>0</v>
      </c>
      <c r="H7" s="308">
        <f>F7+G7</f>
        <v>0</v>
      </c>
      <c r="I7" s="314" t="s">
        <v>62</v>
      </c>
      <c r="J7" s="1553"/>
      <c r="K7" s="1549"/>
      <c r="L7" s="1567"/>
    </row>
    <row r="8" spans="1:12" ht="19.5" hidden="1" customHeight="1" thickTop="1" thickBot="1">
      <c r="A8" s="302">
        <v>3</v>
      </c>
      <c r="B8" s="2747"/>
      <c r="C8" s="1025">
        <v>46234</v>
      </c>
      <c r="D8" s="310" t="s">
        <v>1825</v>
      </c>
      <c r="E8" s="1554" t="s">
        <v>1826</v>
      </c>
      <c r="F8" s="312"/>
      <c r="G8" s="307">
        <f t="shared" si="1"/>
        <v>0</v>
      </c>
      <c r="H8" s="308">
        <f>F8+G8</f>
        <v>0</v>
      </c>
      <c r="I8" s="309" t="s">
        <v>454</v>
      </c>
      <c r="J8" s="1555" t="s">
        <v>867</v>
      </c>
      <c r="K8" s="1558"/>
    </row>
    <row r="9" spans="1:12" ht="19.5" customHeight="1" thickTop="1">
      <c r="A9" s="302">
        <v>3</v>
      </c>
      <c r="B9" s="2747"/>
      <c r="C9" s="1025">
        <v>46234</v>
      </c>
      <c r="D9" s="310" t="s">
        <v>1072</v>
      </c>
      <c r="E9" s="1554" t="s">
        <v>1827</v>
      </c>
      <c r="F9" s="1623">
        <v>31970160</v>
      </c>
      <c r="G9" s="307">
        <f t="shared" si="1"/>
        <v>3197016</v>
      </c>
      <c r="H9" s="308">
        <f t="shared" ref="H9" si="2">F9+G9</f>
        <v>35167176</v>
      </c>
      <c r="I9" s="309" t="s">
        <v>454</v>
      </c>
      <c r="J9" s="1555" t="s">
        <v>864</v>
      </c>
      <c r="K9" s="1558" t="s">
        <v>1831</v>
      </c>
    </row>
    <row r="10" spans="1:12" ht="19.5" hidden="1" customHeight="1" thickTop="1">
      <c r="A10" s="302">
        <v>5</v>
      </c>
      <c r="B10" s="2748"/>
      <c r="C10" s="1025">
        <v>46234</v>
      </c>
      <c r="D10" s="310" t="s">
        <v>1873</v>
      </c>
      <c r="E10" s="311" t="s">
        <v>1874</v>
      </c>
      <c r="F10" s="312"/>
      <c r="G10" s="312"/>
      <c r="H10" s="539">
        <f t="shared" si="0"/>
        <v>0</v>
      </c>
      <c r="I10" s="309" t="s">
        <v>454</v>
      </c>
      <c r="J10" s="1555" t="s">
        <v>867</v>
      </c>
      <c r="K10" s="1558"/>
    </row>
    <row r="11" spans="1:12" customFormat="1" ht="19.5" customHeight="1">
      <c r="A11" s="2749" t="s">
        <v>280</v>
      </c>
      <c r="B11" s="2750"/>
      <c r="C11" s="2750"/>
      <c r="D11" s="2751"/>
      <c r="E11" s="541"/>
      <c r="F11" s="1559">
        <f>SUM(F4:F10)</f>
        <v>54436635</v>
      </c>
      <c r="G11" s="1559">
        <f>SUM(G4:G10)</f>
        <v>5443663.5</v>
      </c>
      <c r="H11" s="1559">
        <f>SUM(H4:H10)</f>
        <v>59880298.5</v>
      </c>
      <c r="I11" s="542"/>
      <c r="J11" s="1560"/>
      <c r="K11" s="1549"/>
      <c r="L11" s="1567"/>
    </row>
    <row r="12" spans="1:12" customFormat="1" ht="19.5" customHeight="1">
      <c r="A12" s="305">
        <v>1</v>
      </c>
      <c r="B12" s="2757" t="s">
        <v>1074</v>
      </c>
      <c r="C12" s="1025">
        <v>46234</v>
      </c>
      <c r="D12" s="1557" t="s">
        <v>61</v>
      </c>
      <c r="E12" s="1557" t="s">
        <v>1828</v>
      </c>
      <c r="F12" s="312">
        <v>1092198238</v>
      </c>
      <c r="G12" s="307">
        <f>F12*0.1</f>
        <v>109219823.80000001</v>
      </c>
      <c r="H12" s="308">
        <f>F12+G12</f>
        <v>1201418061.8</v>
      </c>
      <c r="I12" s="314" t="s">
        <v>454</v>
      </c>
      <c r="J12" s="1553" t="s">
        <v>867</v>
      </c>
      <c r="K12" s="1549" t="s">
        <v>931</v>
      </c>
      <c r="L12" s="1567" t="s">
        <v>2277</v>
      </c>
    </row>
    <row r="13" spans="1:12" customFormat="1" ht="19.5" customHeight="1">
      <c r="A13" s="305">
        <v>2</v>
      </c>
      <c r="B13" s="2747"/>
      <c r="C13" s="1025">
        <v>46234</v>
      </c>
      <c r="D13" s="317" t="s">
        <v>61</v>
      </c>
      <c r="E13" s="1557" t="s">
        <v>1830</v>
      </c>
      <c r="F13" s="312">
        <v>1574150160</v>
      </c>
      <c r="G13" s="307">
        <f t="shared" ref="G13:G16" si="3">F13*0.1</f>
        <v>157415016</v>
      </c>
      <c r="H13" s="308">
        <f t="shared" ref="H13" si="4">F13+G13</f>
        <v>1731565176</v>
      </c>
      <c r="I13" s="314" t="s">
        <v>62</v>
      </c>
      <c r="J13" s="1553" t="s">
        <v>867</v>
      </c>
      <c r="K13" s="1549" t="s">
        <v>1509</v>
      </c>
      <c r="L13" s="1567" t="s">
        <v>2277</v>
      </c>
    </row>
    <row r="14" spans="1:12" customFormat="1" ht="19.5" customHeight="1">
      <c r="A14" s="305">
        <v>3</v>
      </c>
      <c r="B14" s="2747"/>
      <c r="C14" s="1025">
        <v>46234</v>
      </c>
      <c r="D14" s="317" t="s">
        <v>61</v>
      </c>
      <c r="E14" s="234" t="s">
        <v>1829</v>
      </c>
      <c r="F14" s="307">
        <v>170423068</v>
      </c>
      <c r="G14" s="307">
        <f t="shared" si="3"/>
        <v>17042306.800000001</v>
      </c>
      <c r="H14" s="308">
        <f>F14+G14</f>
        <v>187465374.80000001</v>
      </c>
      <c r="I14" s="314" t="s">
        <v>454</v>
      </c>
      <c r="J14" s="1553" t="s">
        <v>867</v>
      </c>
      <c r="K14" s="1549" t="s">
        <v>1871</v>
      </c>
      <c r="L14" s="1567" t="s">
        <v>2279</v>
      </c>
    </row>
    <row r="15" spans="1:12" customFormat="1" ht="19.5" customHeight="1">
      <c r="A15" s="305">
        <v>4</v>
      </c>
      <c r="B15" s="2747"/>
      <c r="C15" s="1025">
        <v>46234</v>
      </c>
      <c r="D15" s="317" t="s">
        <v>61</v>
      </c>
      <c r="E15" s="234" t="s">
        <v>2264</v>
      </c>
      <c r="F15" s="307">
        <v>14370000</v>
      </c>
      <c r="G15" s="307">
        <f t="shared" si="3"/>
        <v>1437000</v>
      </c>
      <c r="H15" s="308">
        <f>F15+G15</f>
        <v>15807000</v>
      </c>
      <c r="I15" s="314" t="s">
        <v>454</v>
      </c>
      <c r="J15" s="1553" t="s">
        <v>1835</v>
      </c>
      <c r="K15" s="1549" t="s">
        <v>1875</v>
      </c>
      <c r="L15" s="1567"/>
    </row>
    <row r="16" spans="1:12" customFormat="1" ht="19.5" hidden="1" customHeight="1">
      <c r="A16" s="305">
        <v>5</v>
      </c>
      <c r="B16" s="2748"/>
      <c r="C16" s="1025">
        <v>46234</v>
      </c>
      <c r="D16" s="317" t="s">
        <v>61</v>
      </c>
      <c r="E16" s="234" t="s">
        <v>1872</v>
      </c>
      <c r="F16" s="307"/>
      <c r="G16" s="307">
        <f t="shared" si="3"/>
        <v>0</v>
      </c>
      <c r="H16" s="308">
        <f>F16+G16</f>
        <v>0</v>
      </c>
      <c r="I16" s="314" t="s">
        <v>454</v>
      </c>
      <c r="J16" s="1553" t="s">
        <v>1835</v>
      </c>
      <c r="K16" s="1549" t="s">
        <v>1875</v>
      </c>
      <c r="L16" s="1567"/>
    </row>
    <row r="17" spans="1:12" customFormat="1" ht="19.5" customHeight="1">
      <c r="A17" s="2752" t="s">
        <v>281</v>
      </c>
      <c r="B17" s="2753"/>
      <c r="C17" s="2753"/>
      <c r="D17" s="2753"/>
      <c r="E17" s="541"/>
      <c r="F17" s="1559">
        <f>SUM(F12:F16)</f>
        <v>2851141466</v>
      </c>
      <c r="G17" s="1559">
        <f>SUM(G12:G16)</f>
        <v>285114146.60000002</v>
      </c>
      <c r="H17" s="1559">
        <f>SUM(H12:H16)</f>
        <v>3136255612.6000004</v>
      </c>
      <c r="I17" s="541"/>
      <c r="J17" s="1560"/>
      <c r="K17" s="1549"/>
      <c r="L17" s="1567"/>
    </row>
    <row r="18" spans="1:12" customFormat="1" ht="19.5" customHeight="1">
      <c r="A18" s="305">
        <v>1</v>
      </c>
      <c r="B18" s="275" t="s">
        <v>456</v>
      </c>
      <c r="C18" s="1025">
        <v>46234</v>
      </c>
      <c r="D18" s="317" t="s">
        <v>61</v>
      </c>
      <c r="E18" s="234" t="s">
        <v>2265</v>
      </c>
      <c r="F18" s="2215">
        <v>5036200</v>
      </c>
      <c r="G18" s="313">
        <f>F18*0.1</f>
        <v>503620</v>
      </c>
      <c r="H18" s="308">
        <f>F18+G18</f>
        <v>5539820</v>
      </c>
      <c r="I18" s="318" t="s">
        <v>454</v>
      </c>
      <c r="J18" s="1553" t="s">
        <v>868</v>
      </c>
      <c r="K18" s="1549" t="s">
        <v>1834</v>
      </c>
      <c r="L18" s="1567" t="s">
        <v>2277</v>
      </c>
    </row>
    <row r="19" spans="1:12" customFormat="1" ht="19.5" customHeight="1">
      <c r="A19" s="2754" t="s">
        <v>282</v>
      </c>
      <c r="B19" s="2755"/>
      <c r="C19" s="2755"/>
      <c r="D19" s="2756"/>
      <c r="E19" s="315"/>
      <c r="F19" s="1624">
        <f>SUM(F18:F18)</f>
        <v>5036200</v>
      </c>
      <c r="G19" s="316">
        <f>SUM(G18:G18)</f>
        <v>503620</v>
      </c>
      <c r="H19" s="316">
        <f>SUM(H18:H18)</f>
        <v>5539820</v>
      </c>
      <c r="I19" s="315"/>
      <c r="J19" s="1561"/>
      <c r="K19" s="1549"/>
      <c r="L19" s="1567"/>
    </row>
    <row r="20" spans="1:12" customFormat="1" ht="23.25" customHeight="1" thickBot="1">
      <c r="A20" s="2743" t="s">
        <v>457</v>
      </c>
      <c r="B20" s="2744"/>
      <c r="C20" s="2744"/>
      <c r="D20" s="2744"/>
      <c r="E20" s="2745"/>
      <c r="F20" s="1562">
        <f>F19+F17+F11</f>
        <v>2910614301</v>
      </c>
      <c r="G20" s="1562">
        <f t="shared" ref="G20:H20" si="5">G19+G17+G11</f>
        <v>291061430.10000002</v>
      </c>
      <c r="H20" s="1562">
        <f t="shared" si="5"/>
        <v>3201675731.1000004</v>
      </c>
      <c r="I20" s="1563"/>
      <c r="J20" s="1564"/>
      <c r="K20" s="1565"/>
      <c r="L20" s="1567"/>
    </row>
    <row r="21" spans="1:12" customFormat="1">
      <c r="A21" s="1"/>
      <c r="B21" s="1"/>
      <c r="C21" s="1"/>
      <c r="D21" s="298"/>
      <c r="F21" s="2186"/>
      <c r="H21" s="1024"/>
      <c r="I21" s="1"/>
      <c r="J21" s="1"/>
      <c r="K21" s="1"/>
      <c r="L21" s="1567"/>
    </row>
    <row r="22" spans="1:12" customFormat="1">
      <c r="A22" s="1"/>
      <c r="B22" s="1"/>
      <c r="C22" s="1"/>
      <c r="D22" s="1"/>
      <c r="H22" s="1024"/>
      <c r="I22" s="1"/>
      <c r="J22" s="1"/>
      <c r="K22" s="1"/>
      <c r="L22" s="1567"/>
    </row>
    <row r="23" spans="1:12" customFormat="1">
      <c r="A23" s="1"/>
      <c r="B23" s="1"/>
      <c r="C23" s="1"/>
      <c r="D23" s="1"/>
      <c r="H23" s="1024"/>
      <c r="I23" s="1"/>
      <c r="J23" s="1"/>
      <c r="K23" s="1"/>
      <c r="L23" s="1567"/>
    </row>
    <row r="24" spans="1:12" customFormat="1">
      <c r="A24" s="1"/>
      <c r="B24" s="1"/>
      <c r="C24" s="1"/>
      <c r="D24" s="1"/>
      <c r="G24" s="1"/>
      <c r="H24" s="1"/>
      <c r="I24" s="1"/>
      <c r="J24" s="1"/>
      <c r="K24" s="1"/>
      <c r="L24" s="1567"/>
    </row>
    <row r="25" spans="1:12" customFormat="1">
      <c r="A25" s="1"/>
      <c r="B25" s="1"/>
      <c r="C25" s="1"/>
      <c r="D25" s="1"/>
      <c r="G25" s="1"/>
      <c r="H25" s="1"/>
      <c r="I25" s="1"/>
      <c r="J25" s="1"/>
      <c r="K25" s="1"/>
      <c r="L25" s="1567"/>
    </row>
    <row r="26" spans="1:12" customFormat="1">
      <c r="A26" s="1"/>
      <c r="B26" s="1"/>
      <c r="C26" s="1"/>
      <c r="D26" s="1"/>
      <c r="G26" s="1"/>
      <c r="H26" s="1"/>
      <c r="I26" s="1"/>
      <c r="J26" s="1"/>
      <c r="K26" s="1"/>
      <c r="L26" s="1567"/>
    </row>
  </sheetData>
  <mergeCells count="7">
    <mergeCell ref="A1:H1"/>
    <mergeCell ref="A20:E20"/>
    <mergeCell ref="B4:B10"/>
    <mergeCell ref="A11:D11"/>
    <mergeCell ref="A17:D17"/>
    <mergeCell ref="A19:D19"/>
    <mergeCell ref="B12:B16"/>
  </mergeCells>
  <phoneticPr fontId="191" type="noConversion"/>
  <pageMargins left="0.78740157480314965" right="0.78740157480314965" top="0.89" bottom="0.6692913385826772" header="0.39370078740157483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4</vt:i4>
      </vt:variant>
    </vt:vector>
  </HeadingPairs>
  <TitlesOfParts>
    <vt:vector size="16" baseType="lpstr">
      <vt:lpstr>PVC(9410)</vt:lpstr>
      <vt:lpstr>TPE(9410)</vt:lpstr>
      <vt:lpstr>OWF10(상품)</vt:lpstr>
      <vt:lpstr>OWF101</vt:lpstr>
      <vt:lpstr>TNC(tncol)</vt:lpstr>
      <vt:lpstr>PCM 07월</vt:lpstr>
      <vt:lpstr>매입-매출 정리본</vt:lpstr>
      <vt:lpstr>자재매입</vt:lpstr>
      <vt:lpstr>원자재매입내역</vt:lpstr>
      <vt:lpstr>부자재매입내역</vt:lpstr>
      <vt:lpstr>기타매입내역</vt:lpstr>
      <vt:lpstr>매출세금계산서 </vt:lpstr>
      <vt:lpstr>'PCM 07월'!Print_Area</vt:lpstr>
      <vt:lpstr>기타매입내역!Print_Area</vt:lpstr>
      <vt:lpstr>'매입-매출 정리본'!Print_Area</vt:lpstr>
      <vt:lpstr>자재매입!Print_Area</vt:lpstr>
    </vt:vector>
  </TitlesOfParts>
  <Company>오륙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윤경수</dc:creator>
  <cp:lastModifiedBy>태형 권</cp:lastModifiedBy>
  <cp:lastPrinted>2026-07-28T01:55:08Z</cp:lastPrinted>
  <dcterms:created xsi:type="dcterms:W3CDTF">2013-12-25T04:44:51Z</dcterms:created>
  <dcterms:modified xsi:type="dcterms:W3CDTF">2026-08-27T05:36:20Z</dcterms:modified>
</cp:coreProperties>
</file>