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노무비_이자_공과금_수기결산" state="visible" r:id="rId4"/>
    <sheet sheetId="2" name="📊 월간_종합결산요약" state="visible" r:id="rId5"/>
  </sheets>
  <calcPr calcId="171027"/>
</workbook>
</file>

<file path=xl/sharedStrings.xml><?xml version="1.0" encoding="utf-8"?>
<sst xmlns="http://schemas.openxmlformats.org/spreadsheetml/2006/main" count="317" uniqueCount="147">
  <si>
    <t>2026년 8월 노무비 · 대출이자 · 카드 · 공과금 수기 결산표</t>
  </si>
  <si>
    <t>※ 노무비는 4개사(주식회사 오륙, 오륙공사, 주식회사 조영산업, 조영산업)별로 [등록 / 미등록 / 외국인출국만기보험 / 지출결의서]를 입력하시면 소계 및 총합계가 자동 계산됩니다.</t>
  </si>
  <si>
    <t>대분류</t>
  </si>
  <si>
    <t>회사 구분</t>
  </si>
  <si>
    <t>세부 항목명</t>
  </si>
  <si>
    <t>결산 지출금액 (원)</t>
  </si>
  <si>
    <t>회사별 소계 (자동)</t>
  </si>
  <si>
    <t>비고 및 용도</t>
  </si>
  <si>
    <t>노무비</t>
  </si>
  <si>
    <t>(주)오륙</t>
  </si>
  <si>
    <t>등록</t>
  </si>
  <si>
    <t>4대보험 가입 등록 인원 급여</t>
  </si>
  <si>
    <t>미등록</t>
  </si>
  <si>
    <t>일용직 / 미등록 인원 노무비</t>
  </si>
  <si>
    <t>외국인 출국만기보험</t>
  </si>
  <si>
    <t>외국인 근로자 전용 보험 납입금</t>
  </si>
  <si>
    <t>지출결의서</t>
  </si>
  <si>
    <t>노무비 관련 지출결의서 마감분</t>
  </si>
  <si>
    <t>오륙공사</t>
  </si>
  <si>
    <t>(주)조영산업</t>
  </si>
  <si>
    <t>조영산업</t>
  </si>
  <si>
    <t>★ 노무비 총합계 (4개사 16개 항목 전체 합산)</t>
  </si>
  <si>
    <t>4대 법인 및 개인사업장 노무비</t>
  </si>
  <si>
    <t>대출이자</t>
  </si>
  <si>
    <t>주 오륙</t>
  </si>
  <si>
    <t>9600</t>
  </si>
  <si>
    <t>-</t>
  </si>
  <si>
    <t>오륙 대출이자</t>
  </si>
  <si>
    <t>7501</t>
  </si>
  <si>
    <t>0701</t>
  </si>
  <si>
    <t>6002</t>
  </si>
  <si>
    <t>1302</t>
  </si>
  <si>
    <t>0109</t>
  </si>
  <si>
    <t>2400</t>
  </si>
  <si>
    <t>DGB생명이자</t>
  </si>
  <si>
    <t>보험 약정 대출이자</t>
  </si>
  <si>
    <t>마이너스 통장</t>
  </si>
  <si>
    <t>기업 한도 마이너스이자</t>
  </si>
  <si>
    <t>상승</t>
  </si>
  <si>
    <t>상승 관련 이자</t>
  </si>
  <si>
    <t>B2B 어음 할인이자</t>
  </si>
  <si>
    <t>어음 할인 수수료/이자</t>
  </si>
  <si>
    <t>화승 R&amp;A 선급금 상계</t>
  </si>
  <si>
    <t>선급금 상계 이자 정산</t>
  </si>
  <si>
    <t>주 조영산업</t>
  </si>
  <si>
    <t>2,500,000,000 (25억)</t>
  </si>
  <si>
    <t>조영법인 시설/운전자금 이자</t>
  </si>
  <si>
    <t>329,000,000 (3.29억)</t>
  </si>
  <si>
    <t>조영법인 대출이자</t>
  </si>
  <si>
    <t>200,000,000 (2억)</t>
  </si>
  <si>
    <t>500,000,000 (5억)</t>
  </si>
  <si>
    <t>조영사업장 시설/운전자금 이자</t>
  </si>
  <si>
    <t>조영사업장 대출이자</t>
  </si>
  <si>
    <t>100,000,000 (1억)</t>
  </si>
  <si>
    <t>삼성생명 이자</t>
  </si>
  <si>
    <t>보험 대출이자</t>
  </si>
  <si>
    <t>KB생명 이자</t>
  </si>
  <si>
    <t>DGB 생명 이자</t>
  </si>
  <si>
    <t>노란우산공제</t>
  </si>
  <si>
    <t>소기업소상공인 공제부금</t>
  </si>
  <si>
    <t>오륙공사 공제부금</t>
  </si>
  <si>
    <t>★ 대출이자 및 금융비용 총합계</t>
  </si>
  <si>
    <t>금융비용 및 이자 정산 집계</t>
  </si>
  <si>
    <t>신용카드</t>
  </si>
  <si>
    <t>오륙</t>
  </si>
  <si>
    <t>오륙 BC</t>
  </si>
  <si>
    <t>오륙 법인 BC카드</t>
  </si>
  <si>
    <t>조영</t>
  </si>
  <si>
    <t>조영 BC</t>
  </si>
  <si>
    <t>조영 법인 BC카드</t>
  </si>
  <si>
    <t>오공</t>
  </si>
  <si>
    <t>오공 KB</t>
  </si>
  <si>
    <t>오륙공사 국민카드</t>
  </si>
  <si>
    <t>최미영</t>
  </si>
  <si>
    <t>최미영 KB</t>
  </si>
  <si>
    <t>대표/임원 국민카드</t>
  </si>
  <si>
    <t>공통</t>
  </si>
  <si>
    <t>삼성</t>
  </si>
  <si>
    <t>삼성카드 결제대금</t>
  </si>
  <si>
    <t>현대</t>
  </si>
  <si>
    <t>현대카드 결제대금</t>
  </si>
  <si>
    <t>우리</t>
  </si>
  <si>
    <t>우리카드 결제대금</t>
  </si>
  <si>
    <t>신한</t>
  </si>
  <si>
    <t>신한카드 결제대금</t>
  </si>
  <si>
    <t>★ 신용카드 결제대금 총합계</t>
  </si>
  <si>
    <t>법인 및 개인 카드 결제 집계</t>
  </si>
  <si>
    <t>공제 / 보험</t>
  </si>
  <si>
    <t>교보단체보험</t>
  </si>
  <si>
    <t>오륙 단체상해보험</t>
  </si>
  <si>
    <t>DGB 생명</t>
  </si>
  <si>
    <t>오륙 종신/연금보험</t>
  </si>
  <si>
    <t>조영법인 단체상해보험</t>
  </si>
  <si>
    <t>하나생명</t>
  </si>
  <si>
    <t>조영법인 보장성보험</t>
  </si>
  <si>
    <t>오륙공사 소기업공제</t>
  </si>
  <si>
    <t>오륙공사 단체보험</t>
  </si>
  <si>
    <t>조영사업장 단체보험</t>
  </si>
  <si>
    <t>조영사업장 노란우산공제</t>
  </si>
  <si>
    <t>임원 개인보험료</t>
  </si>
  <si>
    <t>★ 공제 및 보험료 총합계</t>
  </si>
  <si>
    <t>4대 회사 단체보험 및 공제부금</t>
  </si>
  <si>
    <t xml:space="preserve">공과금
(제세공과)</t>
  </si>
  <si>
    <t>4대보험</t>
  </si>
  <si>
    <t>건강/연금/고용/산재</t>
  </si>
  <si>
    <t>소득세 (국세)</t>
  </si>
  <si>
    <t>근로소득 원천세</t>
  </si>
  <si>
    <t>주민세 / 지방소득세</t>
  </si>
  <si>
    <t>지방소득 원천세</t>
  </si>
  <si>
    <t>법인세</t>
  </si>
  <si>
    <t>법인세 중간예납/분납</t>
  </si>
  <si>
    <t>부가세</t>
  </si>
  <si>
    <t>부가가치세 납부액</t>
  </si>
  <si>
    <t>조영법인 4대보험</t>
  </si>
  <si>
    <t>조영법인 갑근세</t>
  </si>
  <si>
    <t>조영법인 주민세</t>
  </si>
  <si>
    <t>조영법인 부가세</t>
  </si>
  <si>
    <t>조영사업장 4대보험</t>
  </si>
  <si>
    <t>조영사업장 갑근세</t>
  </si>
  <si>
    <t>조영사업장 주민세</t>
  </si>
  <si>
    <t>조영사업장 부가세</t>
  </si>
  <si>
    <t>오륙공사 4대보험</t>
  </si>
  <si>
    <t>오륙공사 갑근세</t>
  </si>
  <si>
    <t>오륙공사 주민세</t>
  </si>
  <si>
    <t>오륙공사 부가세</t>
  </si>
  <si>
    <t>박덕상</t>
  </si>
  <si>
    <t>대표자 4대보험료</t>
  </si>
  <si>
    <t>★ 4대보험 및 제세공과금 총합계</t>
  </si>
  <si>
    <t>국세, 지방세, 4대보험 공과금 정산</t>
  </si>
  <si>
    <t xml:space="preserve">기타잡비
/ 수수료</t>
  </si>
  <si>
    <t>전자어음 수수료 (세동)</t>
  </si>
  <si>
    <t>어음발행 수수료</t>
  </si>
  <si>
    <t>현장 알바비 및 일용인건비</t>
  </si>
  <si>
    <t>생산 지원 알바비</t>
  </si>
  <si>
    <t>화물 기사 식대 및 운반비 보조</t>
  </si>
  <si>
    <t>출하 운전기사 식대</t>
  </si>
  <si>
    <t>기타 현장 잡비 / 운영 수수료</t>
  </si>
  <si>
    <t>소모성 잡비</t>
  </si>
  <si>
    <t>★ 기타잡비 · 수수료 · 식대 총합계</t>
  </si>
  <si>
    <t>기타 운영 수수료 및 식대</t>
  </si>
  <si>
    <t>🏆 전사 6대 수기결산(노무비·이자·카드·보험·공과금·잡비) 총 지출합계</t>
  </si>
  <si>
    <t>전체 수기 결산 총합</t>
  </si>
  <si>
    <t>2026년 8월 통합 결산 종합 요약표 (매출 ₩1,756,104,735 기준)</t>
  </si>
  <si>
    <t>8월 총 매출액 (Sales)</t>
  </si>
  <si>
    <t>총 매입(비용) 결산액</t>
  </si>
  <si>
    <t>매출 대비 매입 원가율</t>
  </si>
  <si>
    <t>8월 당기 영업손익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</si>
</sst>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원&quot;"/>
    <numFmt numFmtId="165" formatCode="0.0%"/>
    <numFmt numFmtId="166" formatCode="+#,##0 &quot;원&quot;;-#,##0 &quot;원&quot;;0 &quot;원&quot;"/>
  </numFmts>
  <fonts count="31" x14ac:knownFonts="1">
    <font>
      <color theme="1"/>
      <family val="2"/>
      <scheme val="minor"/>
      <sz val="11"/>
      <name val="Calibri"/>
    </font>
    <font>
      <b/>
      <color rgb="FFFFFFFF"/>
      <sz val="15"/>
      <name val="맑은 고딕"/>
    </font>
    <font>
      <i/>
      <color rgb="FF2563EB"/>
      <sz val="9.5"/>
      <name val="맑은 고딕"/>
    </font>
    <font>
      <b/>
      <color rgb="FFFFFFFF"/>
      <sz val="10"/>
      <name val="맑은 고딕"/>
    </font>
    <font>
      <b/>
      <color rgb="FF1E40AF"/>
      <sz val="12"/>
      <name val="맑은 고딕"/>
    </font>
    <font>
      <b/>
      <color rgb="FF0F172A"/>
      <sz val="10.5"/>
      <name val="맑은 고딕"/>
    </font>
    <font>
      <color rgb="FF334155"/>
      <sz val="9.5"/>
      <name val="맑은 고딕"/>
    </font>
    <font>
      <b/>
      <color rgb="FF0F172A"/>
      <sz val="10"/>
      <name val="맑은 고딕"/>
    </font>
    <font>
      <b/>
      <color rgb="FF2563EB"/>
      <sz val="10.5"/>
      <name val="맑은 고딕"/>
    </font>
    <font>
      <color rgb="FF64748B"/>
      <sz val="9.5"/>
      <name val="맑은 고딕"/>
    </font>
    <font>
      <b/>
      <color rgb="FF1E40AF"/>
      <sz val="11"/>
      <name val="맑은 고딕"/>
    </font>
    <font>
      <b/>
      <color rgb="FFB45309"/>
      <sz val="12"/>
      <name val="맑은 고딕"/>
    </font>
    <font>
      <b/>
      <color rgb="FF334155"/>
      <sz val="9.5"/>
      <name val="맑은 고딕"/>
    </font>
    <font>
      <color rgb="FF94A3B8"/>
      <sz val="9.5"/>
      <name val="맑은 고딕"/>
    </font>
    <font>
      <b/>
      <color rgb="FFB45309"/>
      <sz val="11"/>
      <name val="맑은 고딕"/>
    </font>
    <font>
      <b/>
      <color rgb="FF6B21A8"/>
      <sz val="12"/>
      <name val="맑은 고딕"/>
    </font>
    <font>
      <b/>
      <color rgb="FF6B21A8"/>
      <sz val="11"/>
      <name val="맑은 고딕"/>
    </font>
    <font>
      <b/>
      <color rgb="FF065F46"/>
      <sz val="12"/>
      <name val="맑은 고딕"/>
    </font>
    <font>
      <b/>
      <color rgb="FF065F46"/>
      <sz val="11"/>
      <name val="맑은 고딕"/>
    </font>
    <font>
      <b/>
      <color rgb="FF0F766E"/>
      <sz val="12"/>
      <name val="맑은 고딕"/>
    </font>
    <font>
      <b/>
      <color rgb="FF0F766E"/>
      <sz val="11"/>
      <name val="맑은 고딕"/>
    </font>
    <font>
      <b/>
      <color rgb="FF475569"/>
      <sz val="12"/>
      <name val="맑은 고딕"/>
    </font>
    <font>
      <b/>
      <color rgb="FF475569"/>
      <sz val="11"/>
      <name val="맑은 고딕"/>
    </font>
    <font>
      <b/>
      <color rgb="FFFFFFFF"/>
      <sz val="12"/>
      <name val="맑은 고딕"/>
    </font>
    <font>
      <b/>
      <color rgb="FFFFD700"/>
      <sz val="13"/>
      <name val="맑은 고딕"/>
    </font>
    <font>
      <b/>
      <color rgb="FFFFFFFF"/>
      <sz val="11"/>
      <name val="맑은 고딕"/>
    </font>
    <font>
      <b/>
      <color rgb="FF475569"/>
      <sz val="10"/>
      <name val="맑은 고딕"/>
    </font>
    <font>
      <b/>
      <color rgb="FF2563EB"/>
      <sz val="14"/>
      <name val="맑은 고딕"/>
    </font>
    <font>
      <b/>
      <color rgb="FFE11D48"/>
      <sz val="14"/>
      <name val="맑은 고딕"/>
    </font>
    <font>
      <b/>
      <color rgb="FF4F46E5"/>
      <sz val="14"/>
      <name val="맑은 고딕"/>
    </font>
    <font>
      <b/>
      <color rgb="FF059669"/>
      <sz val="14"/>
      <name val="맑은 고딕"/>
    </font>
  </fonts>
  <fills count="18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E9D5FF"/>
      </patternFill>
    </fill>
    <fill>
      <patternFill patternType="solid">
        <fgColor rgb="FFECFDF5"/>
      </patternFill>
    </fill>
    <fill>
      <patternFill patternType="solid">
        <fgColor rgb="FFA7F3D0"/>
      </patternFill>
    </fill>
    <fill>
      <patternFill patternType="solid">
        <fgColor rgb="FFF0FDFA"/>
      </patternFill>
    </fill>
    <fill>
      <patternFill patternType="solid">
        <fgColor rgb="FF99F6E4"/>
      </patternFill>
    </fill>
    <fill>
      <patternFill patternType="solid">
        <fgColor rgb="FFF1F5F9"/>
      </patternFill>
    </fill>
    <fill>
      <patternFill patternType="solid">
        <fgColor rgb="FFE2E8F0"/>
      </patternFill>
    </fill>
  </fills>
  <borders count="9">
    <border>
      <left/>
      <right/>
      <top/>
      <bottom/>
      <diagonal/>
    </border>
    <border>
      <left/>
      <right/>
      <top style="medium">
        <color rgb="FF1E293B"/>
      </top>
      <bottom style="medium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3B82F6"/>
      </top>
      <bottom style="medium">
        <color rgb="FF1D4ED8"/>
      </bottom>
      <diagonal/>
    </border>
    <border>
      <left/>
      <right/>
      <top style="thin">
        <color rgb="FFF59E0B"/>
      </top>
      <bottom style="medium">
        <color rgb="FFD97706"/>
      </bottom>
      <diagonal/>
    </border>
    <border>
      <left/>
      <right/>
      <top style="thin">
        <color rgb="FFA855F7"/>
      </top>
      <bottom style="medium">
        <color rgb="FF7E22CE"/>
      </bottom>
      <diagonal/>
    </border>
    <border>
      <left/>
      <right/>
      <top style="thin">
        <color rgb="FF10B981"/>
      </top>
      <bottom style="medium">
        <color rgb="FF047857"/>
      </bottom>
      <diagonal/>
    </border>
    <border>
      <left/>
      <right/>
      <top style="thin">
        <color rgb="FF14B8A6"/>
      </top>
      <bottom style="medium">
        <color rgb="FF0F766E"/>
      </bottom>
      <diagonal/>
    </border>
    <border>
      <left/>
      <right/>
      <top style="thin">
        <color rgb="FF94A3B8"/>
      </top>
      <bottom style="medium">
        <color rgb="FF47556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8" fillId="6" borderId="2" xfId="0" applyNumberFormat="1" applyFont="1" applyFill="1" applyBorder="1" applyAlignment="1">
      <alignment horizontal="right" vertical="center"/>
    </xf>
    <xf numFmtId="0" fontId="9" fillId="0" borderId="2" xfId="0" applyFont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164" fontId="10" fillId="7" borderId="3" xfId="0" applyNumberFormat="1" applyFont="1" applyFill="1" applyBorder="1" applyAlignment="1">
      <alignment horizontal="right" vertical="center"/>
    </xf>
    <xf numFmtId="0" fontId="0" fillId="7" borderId="3" xfId="0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164" fontId="14" fillId="9" borderId="4" xfId="0" applyNumberFormat="1" applyFont="1" applyFill="1" applyBorder="1" applyAlignment="1">
      <alignment horizontal="right" vertical="center"/>
    </xf>
    <xf numFmtId="164" fontId="0" fillId="9" borderId="4" xfId="0" applyNumberFormat="1" applyFill="1" applyBorder="1" applyAlignment="1">
      <alignment horizontal="right" vertical="center"/>
    </xf>
    <xf numFmtId="0" fontId="0" fillId="9" borderId="4" xfId="0" applyFill="1" applyBorder="1"/>
    <xf numFmtId="0" fontId="15" fillId="10" borderId="0" xfId="0" applyFont="1" applyFill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164" fontId="16" fillId="11" borderId="5" xfId="0" applyNumberFormat="1" applyFont="1" applyFill="1" applyBorder="1" applyAlignment="1">
      <alignment horizontal="right" vertical="center"/>
    </xf>
    <xf numFmtId="164" fontId="0" fillId="11" borderId="5" xfId="0" applyNumberFormat="1" applyFill="1" applyBorder="1" applyAlignment="1">
      <alignment horizontal="right" vertical="center"/>
    </xf>
    <xf numFmtId="0" fontId="0" fillId="11" borderId="5" xfId="0" applyFill="1" applyBorder="1"/>
    <xf numFmtId="0" fontId="17" fillId="12" borderId="0" xfId="0" applyFont="1" applyFill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164" fontId="18" fillId="13" borderId="6" xfId="0" applyNumberFormat="1" applyFont="1" applyFill="1" applyBorder="1" applyAlignment="1">
      <alignment horizontal="right" vertical="center"/>
    </xf>
    <xf numFmtId="164" fontId="0" fillId="13" borderId="6" xfId="0" applyNumberFormat="1" applyFill="1" applyBorder="1" applyAlignment="1">
      <alignment horizontal="right" vertical="center"/>
    </xf>
    <xf numFmtId="0" fontId="0" fillId="13" borderId="6" xfId="0" applyFill="1" applyBorder="1"/>
    <xf numFmtId="0" fontId="19" fillId="14" borderId="0" xfId="0" applyFont="1" applyFill="1" applyAlignment="1">
      <alignment horizontal="center" vertical="center" wrapText="1"/>
    </xf>
    <xf numFmtId="0" fontId="20" fillId="15" borderId="7" xfId="0" applyFont="1" applyFill="1" applyBorder="1" applyAlignment="1">
      <alignment horizontal="center" vertical="center"/>
    </xf>
    <xf numFmtId="164" fontId="20" fillId="15" borderId="7" xfId="0" applyNumberFormat="1" applyFont="1" applyFill="1" applyBorder="1" applyAlignment="1">
      <alignment horizontal="right" vertical="center"/>
    </xf>
    <xf numFmtId="164" fontId="0" fillId="15" borderId="7" xfId="0" applyNumberFormat="1" applyFill="1" applyBorder="1" applyAlignment="1">
      <alignment horizontal="right" vertical="center"/>
    </xf>
    <xf numFmtId="0" fontId="0" fillId="15" borderId="7" xfId="0" applyFill="1" applyBorder="1"/>
    <xf numFmtId="0" fontId="21" fillId="16" borderId="0" xfId="0" applyFont="1" applyFill="1" applyAlignment="1">
      <alignment horizontal="center" vertical="center" wrapText="1"/>
    </xf>
    <xf numFmtId="0" fontId="22" fillId="17" borderId="8" xfId="0" applyFont="1" applyFill="1" applyBorder="1" applyAlignment="1">
      <alignment horizontal="center" vertical="center"/>
    </xf>
    <xf numFmtId="164" fontId="22" fillId="17" borderId="8" xfId="0" applyNumberFormat="1" applyFont="1" applyFill="1" applyBorder="1" applyAlignment="1">
      <alignment horizontal="right" vertical="center"/>
    </xf>
    <xf numFmtId="164" fontId="0" fillId="17" borderId="8" xfId="0" applyNumberFormat="1" applyFill="1" applyBorder="1" applyAlignment="1">
      <alignment horizontal="right" vertical="center"/>
    </xf>
    <xf numFmtId="0" fontId="0" fillId="17" borderId="8" xfId="0" applyFill="1" applyBorder="1"/>
    <xf numFmtId="0" fontId="23" fillId="2" borderId="0" xfId="0" applyFont="1" applyFill="1" applyAlignment="1">
      <alignment horizontal="center" vertical="center"/>
    </xf>
    <xf numFmtId="164" fontId="24" fillId="2" borderId="0" xfId="0" applyNumberFormat="1" applyFont="1" applyFill="1" applyAlignment="1">
      <alignment horizontal="right" vertical="center"/>
    </xf>
    <xf numFmtId="0" fontId="25" fillId="2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0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4" width="28" customWidth="1"/>
    <col min="5" max="6" width="22" customWidth="1"/>
    <col min="7" max="7" width="3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3" ht="20" customHeight="1" spans="2:7" x14ac:dyDescent="0.25">
      <c r="B3" s="2" t="s">
        <v>1</v>
      </c>
      <c r="C3" s="2"/>
      <c r="D3" s="2"/>
      <c r="E3" s="2"/>
      <c r="F3" s="2"/>
      <c r="G3" s="2"/>
    </row>
    <row r="5" ht="26" customHeight="1" spans="2:7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ht="23" customHeight="1" spans="2:7" x14ac:dyDescent="0.25">
      <c r="B6" s="4" t="s">
        <v>8</v>
      </c>
      <c r="C6" s="5" t="s">
        <v>9</v>
      </c>
      <c r="D6" s="6" t="s">
        <v>10</v>
      </c>
      <c r="E6" s="7">
        <v>0</v>
      </c>
      <c r="F6" s="8">
        <f>=SUM(E6:E9)</f>
      </c>
      <c r="G6" s="9" t="s">
        <v>11</v>
      </c>
    </row>
    <row r="7" ht="23" customHeight="1" spans="2:7" x14ac:dyDescent="0.25">
      <c r="B7" s="4"/>
      <c r="C7" s="5"/>
      <c r="D7" s="6" t="s">
        <v>12</v>
      </c>
      <c r="E7" s="7">
        <v>0</v>
      </c>
      <c r="F7" s="8"/>
      <c r="G7" s="9" t="s">
        <v>13</v>
      </c>
    </row>
    <row r="8" ht="23" customHeight="1" spans="2:7" x14ac:dyDescent="0.25">
      <c r="B8" s="4"/>
      <c r="C8" s="5"/>
      <c r="D8" s="6" t="s">
        <v>14</v>
      </c>
      <c r="E8" s="7">
        <v>0</v>
      </c>
      <c r="F8" s="8"/>
      <c r="G8" s="9" t="s">
        <v>15</v>
      </c>
    </row>
    <row r="9" ht="23" customHeight="1" spans="2:7" x14ac:dyDescent="0.25">
      <c r="B9" s="4"/>
      <c r="C9" s="5"/>
      <c r="D9" s="6" t="s">
        <v>16</v>
      </c>
      <c r="E9" s="7">
        <v>0</v>
      </c>
      <c r="F9" s="8"/>
      <c r="G9" s="9" t="s">
        <v>17</v>
      </c>
    </row>
    <row r="10" ht="23" customHeight="1" spans="2:7" x14ac:dyDescent="0.25">
      <c r="B10" s="4"/>
      <c r="C10" s="5" t="s">
        <v>18</v>
      </c>
      <c r="D10" s="6" t="s">
        <v>10</v>
      </c>
      <c r="E10" s="7">
        <v>0</v>
      </c>
      <c r="F10" s="8">
        <f>=SUM(E10:E13)</f>
      </c>
      <c r="G10" s="9" t="s">
        <v>11</v>
      </c>
    </row>
    <row r="11" ht="23" customHeight="1" spans="2:7" x14ac:dyDescent="0.25">
      <c r="B11" s="4"/>
      <c r="C11" s="5"/>
      <c r="D11" s="6" t="s">
        <v>12</v>
      </c>
      <c r="E11" s="7">
        <v>0</v>
      </c>
      <c r="F11" s="8"/>
      <c r="G11" s="9" t="s">
        <v>13</v>
      </c>
    </row>
    <row r="12" ht="23" customHeight="1" spans="2:7" x14ac:dyDescent="0.25">
      <c r="B12" s="4"/>
      <c r="C12" s="5"/>
      <c r="D12" s="6" t="s">
        <v>14</v>
      </c>
      <c r="E12" s="7">
        <v>0</v>
      </c>
      <c r="F12" s="8"/>
      <c r="G12" s="9" t="s">
        <v>15</v>
      </c>
    </row>
    <row r="13" ht="23" customHeight="1" spans="2:7" x14ac:dyDescent="0.25">
      <c r="B13" s="4"/>
      <c r="C13" s="5"/>
      <c r="D13" s="6" t="s">
        <v>16</v>
      </c>
      <c r="E13" s="7">
        <v>0</v>
      </c>
      <c r="F13" s="8"/>
      <c r="G13" s="9" t="s">
        <v>17</v>
      </c>
    </row>
    <row r="14" ht="23" customHeight="1" spans="2:7" x14ac:dyDescent="0.25">
      <c r="B14" s="4"/>
      <c r="C14" s="5" t="s">
        <v>19</v>
      </c>
      <c r="D14" s="6" t="s">
        <v>10</v>
      </c>
      <c r="E14" s="7">
        <v>0</v>
      </c>
      <c r="F14" s="8">
        <f>=SUM(E14:E17)</f>
      </c>
      <c r="G14" s="9" t="s">
        <v>11</v>
      </c>
    </row>
    <row r="15" ht="23" customHeight="1" spans="2:7" x14ac:dyDescent="0.25">
      <c r="B15" s="4"/>
      <c r="C15" s="5"/>
      <c r="D15" s="6" t="s">
        <v>12</v>
      </c>
      <c r="E15" s="7">
        <v>0</v>
      </c>
      <c r="F15" s="8"/>
      <c r="G15" s="9" t="s">
        <v>13</v>
      </c>
    </row>
    <row r="16" ht="23" customHeight="1" spans="2:7" x14ac:dyDescent="0.25">
      <c r="B16" s="4"/>
      <c r="C16" s="5"/>
      <c r="D16" s="6" t="s">
        <v>14</v>
      </c>
      <c r="E16" s="7">
        <v>0</v>
      </c>
      <c r="F16" s="8"/>
      <c r="G16" s="9" t="s">
        <v>15</v>
      </c>
    </row>
    <row r="17" ht="23" customHeight="1" spans="2:7" x14ac:dyDescent="0.25">
      <c r="B17" s="4"/>
      <c r="C17" s="5"/>
      <c r="D17" s="6" t="s">
        <v>16</v>
      </c>
      <c r="E17" s="7">
        <v>0</v>
      </c>
      <c r="F17" s="8"/>
      <c r="G17" s="9" t="s">
        <v>17</v>
      </c>
    </row>
    <row r="18" ht="23" customHeight="1" spans="2:7" x14ac:dyDescent="0.25">
      <c r="B18" s="4"/>
      <c r="C18" s="5" t="s">
        <v>20</v>
      </c>
      <c r="D18" s="6" t="s">
        <v>10</v>
      </c>
      <c r="E18" s="7">
        <v>0</v>
      </c>
      <c r="F18" s="8">
        <f>=SUM(E18:E21)</f>
      </c>
      <c r="G18" s="9" t="s">
        <v>11</v>
      </c>
    </row>
    <row r="19" ht="23" customHeight="1" spans="2:7" x14ac:dyDescent="0.25">
      <c r="B19" s="4"/>
      <c r="C19" s="5"/>
      <c r="D19" s="6" t="s">
        <v>12</v>
      </c>
      <c r="E19" s="7">
        <v>0</v>
      </c>
      <c r="F19" s="8"/>
      <c r="G19" s="9" t="s">
        <v>13</v>
      </c>
    </row>
    <row r="20" ht="23" customHeight="1" spans="2:7" x14ac:dyDescent="0.25">
      <c r="B20" s="4"/>
      <c r="C20" s="5"/>
      <c r="D20" s="6" t="s">
        <v>14</v>
      </c>
      <c r="E20" s="7">
        <v>0</v>
      </c>
      <c r="F20" s="8"/>
      <c r="G20" s="9" t="s">
        <v>15</v>
      </c>
    </row>
    <row r="21" ht="23" customHeight="1" spans="2:7" x14ac:dyDescent="0.25">
      <c r="B21" s="4"/>
      <c r="C21" s="5"/>
      <c r="D21" s="6" t="s">
        <v>16</v>
      </c>
      <c r="E21" s="7">
        <v>0</v>
      </c>
      <c r="F21" s="8"/>
      <c r="G21" s="9" t="s">
        <v>17</v>
      </c>
    </row>
    <row r="22" ht="28" customHeight="1" spans="2:7" x14ac:dyDescent="0.25">
      <c r="B22" s="10" t="s">
        <v>21</v>
      </c>
      <c r="C22" s="10"/>
      <c r="D22" s="10"/>
      <c r="E22" s="11">
        <f>=SUM(E6:E21)</f>
      </c>
      <c r="F22" s="11">
        <f>=F6+F10+F14+F18</f>
      </c>
      <c r="G22" s="12" t="s">
        <v>22</v>
      </c>
    </row>
    <row r="23" ht="22" customHeight="1" spans="2:7" x14ac:dyDescent="0.25">
      <c r="B23" s="13" t="s">
        <v>23</v>
      </c>
      <c r="C23" s="14" t="s">
        <v>24</v>
      </c>
      <c r="D23" s="6" t="s">
        <v>25</v>
      </c>
      <c r="E23" s="7">
        <v>0</v>
      </c>
      <c r="F23" s="15" t="s">
        <v>26</v>
      </c>
      <c r="G23" s="9" t="s">
        <v>27</v>
      </c>
    </row>
    <row r="24" ht="22" customHeight="1" spans="2:7" x14ac:dyDescent="0.25">
      <c r="B24" s="13"/>
      <c r="C24" s="14" t="s">
        <v>24</v>
      </c>
      <c r="D24" s="6" t="s">
        <v>28</v>
      </c>
      <c r="E24" s="7">
        <v>0</v>
      </c>
      <c r="F24" s="15" t="s">
        <v>26</v>
      </c>
      <c r="G24" s="9" t="s">
        <v>27</v>
      </c>
    </row>
    <row r="25" ht="22" customHeight="1" spans="2:7" x14ac:dyDescent="0.25">
      <c r="B25" s="13"/>
      <c r="C25" s="14" t="s">
        <v>24</v>
      </c>
      <c r="D25" s="6" t="s">
        <v>29</v>
      </c>
      <c r="E25" s="7">
        <v>0</v>
      </c>
      <c r="F25" s="15" t="s">
        <v>26</v>
      </c>
      <c r="G25" s="9" t="s">
        <v>27</v>
      </c>
    </row>
    <row r="26" ht="22" customHeight="1" spans="2:7" x14ac:dyDescent="0.25">
      <c r="B26" s="13"/>
      <c r="C26" s="14" t="s">
        <v>24</v>
      </c>
      <c r="D26" s="6" t="s">
        <v>30</v>
      </c>
      <c r="E26" s="7">
        <v>0</v>
      </c>
      <c r="F26" s="15" t="s">
        <v>26</v>
      </c>
      <c r="G26" s="9" t="s">
        <v>27</v>
      </c>
    </row>
    <row r="27" ht="22" customHeight="1" spans="2:7" x14ac:dyDescent="0.25">
      <c r="B27" s="13"/>
      <c r="C27" s="14" t="s">
        <v>24</v>
      </c>
      <c r="D27" s="6" t="s">
        <v>31</v>
      </c>
      <c r="E27" s="7">
        <v>0</v>
      </c>
      <c r="F27" s="15" t="s">
        <v>26</v>
      </c>
      <c r="G27" s="9" t="s">
        <v>27</v>
      </c>
    </row>
    <row r="28" ht="22" customHeight="1" spans="2:7" x14ac:dyDescent="0.25">
      <c r="B28" s="13"/>
      <c r="C28" s="14" t="s">
        <v>24</v>
      </c>
      <c r="D28" s="6" t="s">
        <v>32</v>
      </c>
      <c r="E28" s="7">
        <v>0</v>
      </c>
      <c r="F28" s="15" t="s">
        <v>26</v>
      </c>
      <c r="G28" s="9" t="s">
        <v>27</v>
      </c>
    </row>
    <row r="29" ht="22" customHeight="1" spans="2:7" x14ac:dyDescent="0.25">
      <c r="B29" s="13"/>
      <c r="C29" s="14" t="s">
        <v>24</v>
      </c>
      <c r="D29" s="6" t="s">
        <v>33</v>
      </c>
      <c r="E29" s="7">
        <v>0</v>
      </c>
      <c r="F29" s="15" t="s">
        <v>26</v>
      </c>
      <c r="G29" s="9" t="s">
        <v>27</v>
      </c>
    </row>
    <row r="30" ht="22" customHeight="1" spans="2:7" x14ac:dyDescent="0.25">
      <c r="B30" s="13"/>
      <c r="C30" s="14" t="s">
        <v>24</v>
      </c>
      <c r="D30" s="6" t="s">
        <v>34</v>
      </c>
      <c r="E30" s="7">
        <v>0</v>
      </c>
      <c r="F30" s="15" t="s">
        <v>26</v>
      </c>
      <c r="G30" s="9" t="s">
        <v>35</v>
      </c>
    </row>
    <row r="31" ht="22" customHeight="1" spans="2:7" x14ac:dyDescent="0.25">
      <c r="B31" s="13"/>
      <c r="C31" s="14" t="s">
        <v>24</v>
      </c>
      <c r="D31" s="6" t="s">
        <v>36</v>
      </c>
      <c r="E31" s="7">
        <v>0</v>
      </c>
      <c r="F31" s="15" t="s">
        <v>26</v>
      </c>
      <c r="G31" s="9" t="s">
        <v>37</v>
      </c>
    </row>
    <row r="32" ht="22" customHeight="1" spans="2:7" x14ac:dyDescent="0.25">
      <c r="B32" s="13"/>
      <c r="C32" s="14" t="s">
        <v>24</v>
      </c>
      <c r="D32" s="6" t="s">
        <v>38</v>
      </c>
      <c r="E32" s="7">
        <v>0</v>
      </c>
      <c r="F32" s="15" t="s">
        <v>26</v>
      </c>
      <c r="G32" s="9" t="s">
        <v>39</v>
      </c>
    </row>
    <row r="33" ht="22" customHeight="1" spans="2:7" x14ac:dyDescent="0.25">
      <c r="B33" s="13"/>
      <c r="C33" s="14" t="s">
        <v>24</v>
      </c>
      <c r="D33" s="6" t="s">
        <v>40</v>
      </c>
      <c r="E33" s="7">
        <v>0</v>
      </c>
      <c r="F33" s="15" t="s">
        <v>26</v>
      </c>
      <c r="G33" s="9" t="s">
        <v>41</v>
      </c>
    </row>
    <row r="34" ht="22" customHeight="1" spans="2:7" x14ac:dyDescent="0.25">
      <c r="B34" s="13"/>
      <c r="C34" s="14" t="s">
        <v>24</v>
      </c>
      <c r="D34" s="6" t="s">
        <v>42</v>
      </c>
      <c r="E34" s="7">
        <v>0</v>
      </c>
      <c r="F34" s="15" t="s">
        <v>26</v>
      </c>
      <c r="G34" s="9" t="s">
        <v>43</v>
      </c>
    </row>
    <row r="35" ht="22" customHeight="1" spans="2:7" x14ac:dyDescent="0.25">
      <c r="B35" s="13"/>
      <c r="C35" s="14" t="s">
        <v>44</v>
      </c>
      <c r="D35" s="6" t="s">
        <v>45</v>
      </c>
      <c r="E35" s="7">
        <v>0</v>
      </c>
      <c r="F35" s="15" t="s">
        <v>26</v>
      </c>
      <c r="G35" s="9" t="s">
        <v>46</v>
      </c>
    </row>
    <row r="36" ht="22" customHeight="1" spans="2:7" x14ac:dyDescent="0.25">
      <c r="B36" s="13"/>
      <c r="C36" s="14" t="s">
        <v>44</v>
      </c>
      <c r="D36" s="6" t="s">
        <v>47</v>
      </c>
      <c r="E36" s="7">
        <v>0</v>
      </c>
      <c r="F36" s="15" t="s">
        <v>26</v>
      </c>
      <c r="G36" s="9" t="s">
        <v>48</v>
      </c>
    </row>
    <row r="37" ht="22" customHeight="1" spans="2:7" x14ac:dyDescent="0.25">
      <c r="B37" s="13"/>
      <c r="C37" s="14" t="s">
        <v>44</v>
      </c>
      <c r="D37" s="6" t="s">
        <v>49</v>
      </c>
      <c r="E37" s="7">
        <v>0</v>
      </c>
      <c r="F37" s="15" t="s">
        <v>26</v>
      </c>
      <c r="G37" s="9" t="s">
        <v>48</v>
      </c>
    </row>
    <row r="38" ht="22" customHeight="1" spans="2:7" x14ac:dyDescent="0.25">
      <c r="B38" s="13"/>
      <c r="C38" s="14" t="s">
        <v>20</v>
      </c>
      <c r="D38" s="6" t="s">
        <v>50</v>
      </c>
      <c r="E38" s="7">
        <v>0</v>
      </c>
      <c r="F38" s="15" t="s">
        <v>26</v>
      </c>
      <c r="G38" s="9" t="s">
        <v>51</v>
      </c>
    </row>
    <row r="39" ht="22" customHeight="1" spans="2:7" x14ac:dyDescent="0.25">
      <c r="B39" s="13"/>
      <c r="C39" s="14" t="s">
        <v>20</v>
      </c>
      <c r="D39" s="6" t="s">
        <v>49</v>
      </c>
      <c r="E39" s="7">
        <v>0</v>
      </c>
      <c r="F39" s="15" t="s">
        <v>26</v>
      </c>
      <c r="G39" s="9" t="s">
        <v>52</v>
      </c>
    </row>
    <row r="40" ht="22" customHeight="1" spans="2:7" x14ac:dyDescent="0.25">
      <c r="B40" s="13"/>
      <c r="C40" s="14" t="s">
        <v>20</v>
      </c>
      <c r="D40" s="6" t="s">
        <v>53</v>
      </c>
      <c r="E40" s="7">
        <v>0</v>
      </c>
      <c r="F40" s="15" t="s">
        <v>26</v>
      </c>
      <c r="G40" s="9" t="s">
        <v>52</v>
      </c>
    </row>
    <row r="41" ht="22" customHeight="1" spans="2:7" x14ac:dyDescent="0.25">
      <c r="B41" s="13"/>
      <c r="C41" s="14" t="s">
        <v>20</v>
      </c>
      <c r="D41" s="6" t="s">
        <v>54</v>
      </c>
      <c r="E41" s="7">
        <v>0</v>
      </c>
      <c r="F41" s="15" t="s">
        <v>26</v>
      </c>
      <c r="G41" s="9" t="s">
        <v>55</v>
      </c>
    </row>
    <row r="42" ht="22" customHeight="1" spans="2:7" x14ac:dyDescent="0.25">
      <c r="B42" s="13"/>
      <c r="C42" s="14" t="s">
        <v>20</v>
      </c>
      <c r="D42" s="6" t="s">
        <v>56</v>
      </c>
      <c r="E42" s="7">
        <v>0</v>
      </c>
      <c r="F42" s="15" t="s">
        <v>26</v>
      </c>
      <c r="G42" s="9" t="s">
        <v>55</v>
      </c>
    </row>
    <row r="43" ht="22" customHeight="1" spans="2:7" x14ac:dyDescent="0.25">
      <c r="B43" s="13"/>
      <c r="C43" s="14" t="s">
        <v>20</v>
      </c>
      <c r="D43" s="6" t="s">
        <v>57</v>
      </c>
      <c r="E43" s="7">
        <v>0</v>
      </c>
      <c r="F43" s="15" t="s">
        <v>26</v>
      </c>
      <c r="G43" s="9" t="s">
        <v>55</v>
      </c>
    </row>
    <row r="44" ht="22" customHeight="1" spans="2:7" x14ac:dyDescent="0.25">
      <c r="B44" s="13"/>
      <c r="C44" s="14" t="s">
        <v>20</v>
      </c>
      <c r="D44" s="6" t="s">
        <v>58</v>
      </c>
      <c r="E44" s="7">
        <v>0</v>
      </c>
      <c r="F44" s="15" t="s">
        <v>26</v>
      </c>
      <c r="G44" s="9" t="s">
        <v>59</v>
      </c>
    </row>
    <row r="45" ht="22" customHeight="1" spans="2:7" x14ac:dyDescent="0.25">
      <c r="B45" s="13"/>
      <c r="C45" s="14" t="s">
        <v>18</v>
      </c>
      <c r="D45" s="6" t="s">
        <v>58</v>
      </c>
      <c r="E45" s="7">
        <v>0</v>
      </c>
      <c r="F45" s="15" t="s">
        <v>26</v>
      </c>
      <c r="G45" s="9" t="s">
        <v>60</v>
      </c>
    </row>
    <row r="46" ht="28" customHeight="1" spans="2:7" x14ac:dyDescent="0.25">
      <c r="B46" s="16" t="s">
        <v>61</v>
      </c>
      <c r="C46" s="16"/>
      <c r="D46" s="16"/>
      <c r="E46" s="17">
        <f>=SUM(E23:E45)</f>
      </c>
      <c r="F46" s="18">
        <f>=E46</f>
      </c>
      <c r="G46" s="19" t="s">
        <v>62</v>
      </c>
    </row>
    <row r="47" ht="22" customHeight="1" spans="2:7" x14ac:dyDescent="0.25">
      <c r="B47" s="20" t="s">
        <v>63</v>
      </c>
      <c r="C47" s="14" t="s">
        <v>64</v>
      </c>
      <c r="D47" s="6" t="s">
        <v>65</v>
      </c>
      <c r="E47" s="7">
        <v>0</v>
      </c>
      <c r="F47" s="15" t="s">
        <v>26</v>
      </c>
      <c r="G47" s="9" t="s">
        <v>66</v>
      </c>
    </row>
    <row r="48" ht="22" customHeight="1" spans="2:7" x14ac:dyDescent="0.25">
      <c r="B48" s="20"/>
      <c r="C48" s="14" t="s">
        <v>67</v>
      </c>
      <c r="D48" s="6" t="s">
        <v>68</v>
      </c>
      <c r="E48" s="7">
        <v>0</v>
      </c>
      <c r="F48" s="15" t="s">
        <v>26</v>
      </c>
      <c r="G48" s="9" t="s">
        <v>69</v>
      </c>
    </row>
    <row r="49" ht="22" customHeight="1" spans="2:7" x14ac:dyDescent="0.25">
      <c r="B49" s="20"/>
      <c r="C49" s="14" t="s">
        <v>70</v>
      </c>
      <c r="D49" s="6" t="s">
        <v>71</v>
      </c>
      <c r="E49" s="7">
        <v>0</v>
      </c>
      <c r="F49" s="15" t="s">
        <v>26</v>
      </c>
      <c r="G49" s="9" t="s">
        <v>72</v>
      </c>
    </row>
    <row r="50" ht="22" customHeight="1" spans="2:7" x14ac:dyDescent="0.25">
      <c r="B50" s="20"/>
      <c r="C50" s="14" t="s">
        <v>73</v>
      </c>
      <c r="D50" s="6" t="s">
        <v>74</v>
      </c>
      <c r="E50" s="7">
        <v>0</v>
      </c>
      <c r="F50" s="15" t="s">
        <v>26</v>
      </c>
      <c r="G50" s="9" t="s">
        <v>75</v>
      </c>
    </row>
    <row r="51" ht="22" customHeight="1" spans="2:7" x14ac:dyDescent="0.25">
      <c r="B51" s="20"/>
      <c r="C51" s="14" t="s">
        <v>76</v>
      </c>
      <c r="D51" s="6" t="s">
        <v>77</v>
      </c>
      <c r="E51" s="7">
        <v>0</v>
      </c>
      <c r="F51" s="15" t="s">
        <v>26</v>
      </c>
      <c r="G51" s="9" t="s">
        <v>78</v>
      </c>
    </row>
    <row r="52" ht="22" customHeight="1" spans="2:7" x14ac:dyDescent="0.25">
      <c r="B52" s="20"/>
      <c r="C52" s="14" t="s">
        <v>76</v>
      </c>
      <c r="D52" s="6" t="s">
        <v>79</v>
      </c>
      <c r="E52" s="7">
        <v>0</v>
      </c>
      <c r="F52" s="15" t="s">
        <v>26</v>
      </c>
      <c r="G52" s="9" t="s">
        <v>80</v>
      </c>
    </row>
    <row r="53" ht="22" customHeight="1" spans="2:7" x14ac:dyDescent="0.25">
      <c r="B53" s="20"/>
      <c r="C53" s="14" t="s">
        <v>76</v>
      </c>
      <c r="D53" s="6" t="s">
        <v>81</v>
      </c>
      <c r="E53" s="7">
        <v>0</v>
      </c>
      <c r="F53" s="15" t="s">
        <v>26</v>
      </c>
      <c r="G53" s="9" t="s">
        <v>82</v>
      </c>
    </row>
    <row r="54" ht="22" customHeight="1" spans="2:7" x14ac:dyDescent="0.25">
      <c r="B54" s="20"/>
      <c r="C54" s="14" t="s">
        <v>76</v>
      </c>
      <c r="D54" s="6" t="s">
        <v>83</v>
      </c>
      <c r="E54" s="7">
        <v>0</v>
      </c>
      <c r="F54" s="15" t="s">
        <v>26</v>
      </c>
      <c r="G54" s="9" t="s">
        <v>84</v>
      </c>
    </row>
    <row r="55" ht="28" customHeight="1" spans="2:7" x14ac:dyDescent="0.25">
      <c r="B55" s="21" t="s">
        <v>85</v>
      </c>
      <c r="C55" s="21"/>
      <c r="D55" s="21"/>
      <c r="E55" s="22">
        <f>=SUM(E47:E54)</f>
      </c>
      <c r="F55" s="23">
        <f>=E55</f>
      </c>
      <c r="G55" s="24" t="s">
        <v>86</v>
      </c>
    </row>
    <row r="56" ht="22" customHeight="1" spans="2:7" x14ac:dyDescent="0.25">
      <c r="B56" s="25" t="s">
        <v>87</v>
      </c>
      <c r="C56" s="14" t="s">
        <v>24</v>
      </c>
      <c r="D56" s="6" t="s">
        <v>88</v>
      </c>
      <c r="E56" s="7">
        <v>0</v>
      </c>
      <c r="F56" s="15" t="s">
        <v>26</v>
      </c>
      <c r="G56" s="9" t="s">
        <v>89</v>
      </c>
    </row>
    <row r="57" ht="22" customHeight="1" spans="2:7" x14ac:dyDescent="0.25">
      <c r="B57" s="25"/>
      <c r="C57" s="14" t="s">
        <v>24</v>
      </c>
      <c r="D57" s="6" t="s">
        <v>90</v>
      </c>
      <c r="E57" s="7">
        <v>0</v>
      </c>
      <c r="F57" s="15" t="s">
        <v>26</v>
      </c>
      <c r="G57" s="9" t="s">
        <v>91</v>
      </c>
    </row>
    <row r="58" ht="22" customHeight="1" spans="2:7" x14ac:dyDescent="0.25">
      <c r="B58" s="25"/>
      <c r="C58" s="14" t="s">
        <v>44</v>
      </c>
      <c r="D58" s="6" t="s">
        <v>88</v>
      </c>
      <c r="E58" s="7">
        <v>0</v>
      </c>
      <c r="F58" s="15" t="s">
        <v>26</v>
      </c>
      <c r="G58" s="9" t="s">
        <v>92</v>
      </c>
    </row>
    <row r="59" ht="22" customHeight="1" spans="2:7" x14ac:dyDescent="0.25">
      <c r="B59" s="25"/>
      <c r="C59" s="14" t="s">
        <v>44</v>
      </c>
      <c r="D59" s="6" t="s">
        <v>93</v>
      </c>
      <c r="E59" s="7">
        <v>0</v>
      </c>
      <c r="F59" s="15" t="s">
        <v>26</v>
      </c>
      <c r="G59" s="9" t="s">
        <v>94</v>
      </c>
    </row>
    <row r="60" ht="22" customHeight="1" spans="2:7" x14ac:dyDescent="0.25">
      <c r="B60" s="25"/>
      <c r="C60" s="14" t="s">
        <v>18</v>
      </c>
      <c r="D60" s="6" t="s">
        <v>58</v>
      </c>
      <c r="E60" s="7">
        <v>0</v>
      </c>
      <c r="F60" s="15" t="s">
        <v>26</v>
      </c>
      <c r="G60" s="9" t="s">
        <v>95</v>
      </c>
    </row>
    <row r="61" ht="22" customHeight="1" spans="2:7" x14ac:dyDescent="0.25">
      <c r="B61" s="25"/>
      <c r="C61" s="14" t="s">
        <v>18</v>
      </c>
      <c r="D61" s="6" t="s">
        <v>88</v>
      </c>
      <c r="E61" s="7">
        <v>0</v>
      </c>
      <c r="F61" s="15" t="s">
        <v>26</v>
      </c>
      <c r="G61" s="9" t="s">
        <v>96</v>
      </c>
    </row>
    <row r="62" ht="22" customHeight="1" spans="2:7" x14ac:dyDescent="0.25">
      <c r="B62" s="25"/>
      <c r="C62" s="14" t="s">
        <v>20</v>
      </c>
      <c r="D62" s="6" t="s">
        <v>88</v>
      </c>
      <c r="E62" s="7">
        <v>0</v>
      </c>
      <c r="F62" s="15" t="s">
        <v>26</v>
      </c>
      <c r="G62" s="9" t="s">
        <v>97</v>
      </c>
    </row>
    <row r="63" ht="22" customHeight="1" spans="2:7" x14ac:dyDescent="0.25">
      <c r="B63" s="25"/>
      <c r="C63" s="14" t="s">
        <v>20</v>
      </c>
      <c r="D63" s="6" t="s">
        <v>58</v>
      </c>
      <c r="E63" s="7">
        <v>0</v>
      </c>
      <c r="F63" s="15" t="s">
        <v>26</v>
      </c>
      <c r="G63" s="9" t="s">
        <v>98</v>
      </c>
    </row>
    <row r="64" ht="22" customHeight="1" spans="2:7" x14ac:dyDescent="0.25">
      <c r="B64" s="25"/>
      <c r="C64" s="14" t="s">
        <v>73</v>
      </c>
      <c r="D64" s="6" t="s">
        <v>90</v>
      </c>
      <c r="E64" s="7">
        <v>0</v>
      </c>
      <c r="F64" s="15" t="s">
        <v>26</v>
      </c>
      <c r="G64" s="9" t="s">
        <v>99</v>
      </c>
    </row>
    <row r="65" ht="28" customHeight="1" spans="2:7" x14ac:dyDescent="0.25">
      <c r="B65" s="26" t="s">
        <v>100</v>
      </c>
      <c r="C65" s="26"/>
      <c r="D65" s="26"/>
      <c r="E65" s="27">
        <f>=SUM(E56:E64)</f>
      </c>
      <c r="F65" s="28">
        <f>=E65</f>
      </c>
      <c r="G65" s="29" t="s">
        <v>101</v>
      </c>
    </row>
    <row r="66" ht="22" customHeight="1" spans="2:7" x14ac:dyDescent="0.25">
      <c r="B66" s="30" t="s">
        <v>102</v>
      </c>
      <c r="C66" s="14" t="s">
        <v>24</v>
      </c>
      <c r="D66" s="6" t="s">
        <v>103</v>
      </c>
      <c r="E66" s="7">
        <v>0</v>
      </c>
      <c r="F66" s="15" t="s">
        <v>26</v>
      </c>
      <c r="G66" s="9" t="s">
        <v>104</v>
      </c>
    </row>
    <row r="67" ht="22" customHeight="1" spans="2:7" x14ac:dyDescent="0.25">
      <c r="B67" s="30"/>
      <c r="C67" s="14" t="s">
        <v>24</v>
      </c>
      <c r="D67" s="6" t="s">
        <v>105</v>
      </c>
      <c r="E67" s="7">
        <v>0</v>
      </c>
      <c r="F67" s="15" t="s">
        <v>26</v>
      </c>
      <c r="G67" s="9" t="s">
        <v>106</v>
      </c>
    </row>
    <row r="68" ht="22" customHeight="1" spans="2:7" x14ac:dyDescent="0.25">
      <c r="B68" s="30"/>
      <c r="C68" s="14" t="s">
        <v>24</v>
      </c>
      <c r="D68" s="6" t="s">
        <v>107</v>
      </c>
      <c r="E68" s="7">
        <v>0</v>
      </c>
      <c r="F68" s="15" t="s">
        <v>26</v>
      </c>
      <c r="G68" s="9" t="s">
        <v>108</v>
      </c>
    </row>
    <row r="69" ht="22" customHeight="1" spans="2:7" x14ac:dyDescent="0.25">
      <c r="B69" s="30"/>
      <c r="C69" s="14" t="s">
        <v>24</v>
      </c>
      <c r="D69" s="6" t="s">
        <v>109</v>
      </c>
      <c r="E69" s="7">
        <v>0</v>
      </c>
      <c r="F69" s="15" t="s">
        <v>26</v>
      </c>
      <c r="G69" s="9" t="s">
        <v>110</v>
      </c>
    </row>
    <row r="70" ht="22" customHeight="1" spans="2:7" x14ac:dyDescent="0.25">
      <c r="B70" s="30"/>
      <c r="C70" s="14" t="s">
        <v>24</v>
      </c>
      <c r="D70" s="6" t="s">
        <v>111</v>
      </c>
      <c r="E70" s="7">
        <v>0</v>
      </c>
      <c r="F70" s="15" t="s">
        <v>26</v>
      </c>
      <c r="G70" s="9" t="s">
        <v>112</v>
      </c>
    </row>
    <row r="71" ht="22" customHeight="1" spans="2:7" x14ac:dyDescent="0.25">
      <c r="B71" s="30"/>
      <c r="C71" s="14" t="s">
        <v>44</v>
      </c>
      <c r="D71" s="6" t="s">
        <v>103</v>
      </c>
      <c r="E71" s="7">
        <v>0</v>
      </c>
      <c r="F71" s="15" t="s">
        <v>26</v>
      </c>
      <c r="G71" s="9" t="s">
        <v>113</v>
      </c>
    </row>
    <row r="72" ht="22" customHeight="1" spans="2:7" x14ac:dyDescent="0.25">
      <c r="B72" s="30"/>
      <c r="C72" s="14" t="s">
        <v>44</v>
      </c>
      <c r="D72" s="6" t="s">
        <v>105</v>
      </c>
      <c r="E72" s="7">
        <v>0</v>
      </c>
      <c r="F72" s="15" t="s">
        <v>26</v>
      </c>
      <c r="G72" s="9" t="s">
        <v>114</v>
      </c>
    </row>
    <row r="73" ht="22" customHeight="1" spans="2:7" x14ac:dyDescent="0.25">
      <c r="B73" s="30"/>
      <c r="C73" s="14" t="s">
        <v>44</v>
      </c>
      <c r="D73" s="6" t="s">
        <v>107</v>
      </c>
      <c r="E73" s="7">
        <v>0</v>
      </c>
      <c r="F73" s="15" t="s">
        <v>26</v>
      </c>
      <c r="G73" s="9" t="s">
        <v>115</v>
      </c>
    </row>
    <row r="74" ht="22" customHeight="1" spans="2:7" x14ac:dyDescent="0.25">
      <c r="B74" s="30"/>
      <c r="C74" s="14" t="s">
        <v>44</v>
      </c>
      <c r="D74" s="6" t="s">
        <v>111</v>
      </c>
      <c r="E74" s="7">
        <v>0</v>
      </c>
      <c r="F74" s="15" t="s">
        <v>26</v>
      </c>
      <c r="G74" s="9" t="s">
        <v>116</v>
      </c>
    </row>
    <row r="75" ht="22" customHeight="1" spans="2:7" x14ac:dyDescent="0.25">
      <c r="B75" s="30"/>
      <c r="C75" s="14" t="s">
        <v>20</v>
      </c>
      <c r="D75" s="6" t="s">
        <v>103</v>
      </c>
      <c r="E75" s="7">
        <v>0</v>
      </c>
      <c r="F75" s="15" t="s">
        <v>26</v>
      </c>
      <c r="G75" s="9" t="s">
        <v>117</v>
      </c>
    </row>
    <row r="76" ht="22" customHeight="1" spans="2:7" x14ac:dyDescent="0.25">
      <c r="B76" s="30"/>
      <c r="C76" s="14" t="s">
        <v>20</v>
      </c>
      <c r="D76" s="6" t="s">
        <v>105</v>
      </c>
      <c r="E76" s="7">
        <v>0</v>
      </c>
      <c r="F76" s="15" t="s">
        <v>26</v>
      </c>
      <c r="G76" s="9" t="s">
        <v>118</v>
      </c>
    </row>
    <row r="77" ht="22" customHeight="1" spans="2:7" x14ac:dyDescent="0.25">
      <c r="B77" s="30"/>
      <c r="C77" s="14" t="s">
        <v>20</v>
      </c>
      <c r="D77" s="6" t="s">
        <v>107</v>
      </c>
      <c r="E77" s="7">
        <v>0</v>
      </c>
      <c r="F77" s="15" t="s">
        <v>26</v>
      </c>
      <c r="G77" s="9" t="s">
        <v>119</v>
      </c>
    </row>
    <row r="78" ht="22" customHeight="1" spans="2:7" x14ac:dyDescent="0.25">
      <c r="B78" s="30"/>
      <c r="C78" s="14" t="s">
        <v>20</v>
      </c>
      <c r="D78" s="6" t="s">
        <v>111</v>
      </c>
      <c r="E78" s="7">
        <v>0</v>
      </c>
      <c r="F78" s="15" t="s">
        <v>26</v>
      </c>
      <c r="G78" s="9" t="s">
        <v>120</v>
      </c>
    </row>
    <row r="79" ht="22" customHeight="1" spans="2:7" x14ac:dyDescent="0.25">
      <c r="B79" s="30"/>
      <c r="C79" s="14" t="s">
        <v>18</v>
      </c>
      <c r="D79" s="6" t="s">
        <v>103</v>
      </c>
      <c r="E79" s="7">
        <v>0</v>
      </c>
      <c r="F79" s="15" t="s">
        <v>26</v>
      </c>
      <c r="G79" s="9" t="s">
        <v>121</v>
      </c>
    </row>
    <row r="80" ht="22" customHeight="1" spans="2:7" x14ac:dyDescent="0.25">
      <c r="B80" s="30"/>
      <c r="C80" s="14" t="s">
        <v>18</v>
      </c>
      <c r="D80" s="6" t="s">
        <v>105</v>
      </c>
      <c r="E80" s="7">
        <v>0</v>
      </c>
      <c r="F80" s="15" t="s">
        <v>26</v>
      </c>
      <c r="G80" s="9" t="s">
        <v>122</v>
      </c>
    </row>
    <row r="81" ht="22" customHeight="1" spans="2:7" x14ac:dyDescent="0.25">
      <c r="B81" s="30"/>
      <c r="C81" s="14" t="s">
        <v>18</v>
      </c>
      <c r="D81" s="6" t="s">
        <v>107</v>
      </c>
      <c r="E81" s="7">
        <v>0</v>
      </c>
      <c r="F81" s="15" t="s">
        <v>26</v>
      </c>
      <c r="G81" s="9" t="s">
        <v>123</v>
      </c>
    </row>
    <row r="82" ht="22" customHeight="1" spans="2:7" x14ac:dyDescent="0.25">
      <c r="B82" s="30"/>
      <c r="C82" s="14" t="s">
        <v>18</v>
      </c>
      <c r="D82" s="6" t="s">
        <v>111</v>
      </c>
      <c r="E82" s="7">
        <v>0</v>
      </c>
      <c r="F82" s="15" t="s">
        <v>26</v>
      </c>
      <c r="G82" s="9" t="s">
        <v>124</v>
      </c>
    </row>
    <row r="83" ht="22" customHeight="1" spans="2:7" x14ac:dyDescent="0.25">
      <c r="B83" s="30"/>
      <c r="C83" s="14" t="s">
        <v>125</v>
      </c>
      <c r="D83" s="6" t="s">
        <v>103</v>
      </c>
      <c r="E83" s="7">
        <v>0</v>
      </c>
      <c r="F83" s="15" t="s">
        <v>26</v>
      </c>
      <c r="G83" s="9" t="s">
        <v>126</v>
      </c>
    </row>
    <row r="84" ht="28" customHeight="1" spans="2:7" x14ac:dyDescent="0.25">
      <c r="B84" s="31" t="s">
        <v>127</v>
      </c>
      <c r="C84" s="31"/>
      <c r="D84" s="31"/>
      <c r="E84" s="32">
        <f>=SUM(E66:E83)</f>
      </c>
      <c r="F84" s="33">
        <f>=E84</f>
      </c>
      <c r="G84" s="34" t="s">
        <v>128</v>
      </c>
    </row>
    <row r="85" ht="22" customHeight="1" spans="2:7" x14ac:dyDescent="0.25">
      <c r="B85" s="35" t="s">
        <v>129</v>
      </c>
      <c r="C85" s="14" t="s">
        <v>76</v>
      </c>
      <c r="D85" s="6" t="s">
        <v>130</v>
      </c>
      <c r="E85" s="7">
        <v>0</v>
      </c>
      <c r="F85" s="15" t="s">
        <v>26</v>
      </c>
      <c r="G85" s="9" t="s">
        <v>131</v>
      </c>
    </row>
    <row r="86" ht="22" customHeight="1" spans="2:7" x14ac:dyDescent="0.25">
      <c r="B86" s="35"/>
      <c r="C86" s="14" t="s">
        <v>76</v>
      </c>
      <c r="D86" s="6" t="s">
        <v>132</v>
      </c>
      <c r="E86" s="7">
        <v>0</v>
      </c>
      <c r="F86" s="15" t="s">
        <v>26</v>
      </c>
      <c r="G86" s="9" t="s">
        <v>133</v>
      </c>
    </row>
    <row r="87" ht="22" customHeight="1" spans="2:7" x14ac:dyDescent="0.25">
      <c r="B87" s="35"/>
      <c r="C87" s="14" t="s">
        <v>76</v>
      </c>
      <c r="D87" s="6" t="s">
        <v>134</v>
      </c>
      <c r="E87" s="7">
        <v>0</v>
      </c>
      <c r="F87" s="15" t="s">
        <v>26</v>
      </c>
      <c r="G87" s="9" t="s">
        <v>135</v>
      </c>
    </row>
    <row r="88" ht="22" customHeight="1" spans="2:7" x14ac:dyDescent="0.25">
      <c r="B88" s="35"/>
      <c r="C88" s="14" t="s">
        <v>76</v>
      </c>
      <c r="D88" s="6" t="s">
        <v>136</v>
      </c>
      <c r="E88" s="7">
        <v>0</v>
      </c>
      <c r="F88" s="15" t="s">
        <v>26</v>
      </c>
      <c r="G88" s="9" t="s">
        <v>137</v>
      </c>
    </row>
    <row r="89" ht="28" customHeight="1" spans="2:7" x14ac:dyDescent="0.25">
      <c r="B89" s="36" t="s">
        <v>138</v>
      </c>
      <c r="C89" s="36"/>
      <c r="D89" s="36"/>
      <c r="E89" s="37">
        <f>=SUM(E85:E88)</f>
      </c>
      <c r="F89" s="38">
        <f>=E89</f>
      </c>
      <c r="G89" s="39" t="s">
        <v>139</v>
      </c>
    </row>
    <row r="90" ht="34" customHeight="1" spans="2:7" x14ac:dyDescent="0.25">
      <c r="B90" s="40" t="s">
        <v>140</v>
      </c>
      <c r="C90" s="40"/>
      <c r="D90" s="40"/>
      <c r="E90" s="41">
        <f>=E22+E46+E55+E65+E84+E89</f>
      </c>
      <c r="F90" s="41">
        <f>=E90</f>
      </c>
      <c r="G90" s="42" t="s">
        <v>141</v>
      </c>
    </row>
  </sheetData>
  <mergeCells count="23">
    <mergeCell ref="B2:G2"/>
    <mergeCell ref="B3:G3"/>
    <mergeCell ref="B6:B21"/>
    <mergeCell ref="C6:C9"/>
    <mergeCell ref="F6:F9"/>
    <mergeCell ref="C10:C13"/>
    <mergeCell ref="F10:F13"/>
    <mergeCell ref="C14:C17"/>
    <mergeCell ref="F14:F17"/>
    <mergeCell ref="C18:C21"/>
    <mergeCell ref="F18:F21"/>
    <mergeCell ref="B22:D22"/>
    <mergeCell ref="B23:B45"/>
    <mergeCell ref="B46:D46"/>
    <mergeCell ref="B47:B54"/>
    <mergeCell ref="B55:D55"/>
    <mergeCell ref="B56:B64"/>
    <mergeCell ref="B65:D65"/>
    <mergeCell ref="B66:B83"/>
    <mergeCell ref="B84:D84"/>
    <mergeCell ref="B85:B88"/>
    <mergeCell ref="B89:D89"/>
    <mergeCell ref="B90:D9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5"/>
  <sheetViews>
    <sheetView workbookViewId="0"/>
  </sheetViews>
  <sheetFormatPr defaultRowHeight="15" outlineLevelRow="0" outlineLevelCol="0" x14ac:dyDescent="55"/>
  <cols>
    <col min="1" max="1" width="4" customWidth="1"/>
    <col min="2" max="2" width="8" customWidth="1"/>
    <col min="3" max="3" width="20" customWidth="1"/>
    <col min="4" max="4" width="26" customWidth="1"/>
    <col min="5" max="5" width="14" customWidth="1"/>
    <col min="6" max="6" width="22" customWidth="1"/>
    <col min="7" max="7" width="18" customWidth="1"/>
    <col min="8" max="8" width="24" customWidth="1"/>
    <col min="9" max="9" width="14" customWidth="1"/>
    <col min="10" max="10" width="35" customWidth="1"/>
  </cols>
  <sheetData>
    <row r="2" ht="36" customHeight="1" spans="2:10" x14ac:dyDescent="0.25">
      <c r="B2" s="1" t="s">
        <v>142</v>
      </c>
      <c r="C2" s="1"/>
      <c r="D2" s="1"/>
      <c r="E2" s="1"/>
      <c r="F2" s="1"/>
      <c r="G2" s="1"/>
      <c r="H2" s="1"/>
      <c r="I2" s="1"/>
      <c r="J2" s="1"/>
    </row>
    <row r="4" spans="2:9" x14ac:dyDescent="0.25">
      <c r="B4" s="43" t="s">
        <v>143</v>
      </c>
      <c r="C4" s="43"/>
      <c r="D4" s="43" t="s">
        <v>144</v>
      </c>
      <c r="E4" s="43"/>
      <c r="F4" s="43" t="s">
        <v>145</v>
      </c>
      <c r="G4" s="43"/>
      <c r="H4" s="43" t="s">
        <v>146</v>
      </c>
      <c r="I4" s="43"/>
    </row>
    <row r="5" spans="2:9" x14ac:dyDescent="0.25">
      <c r="B5" s="44">
        <v>1756104735</v>
      </c>
      <c r="C5" s="44"/>
      <c r="D5" s="45">
        <v>1248400885</v>
      </c>
      <c r="E5" s="45"/>
      <c r="F5" s="46">
        <f>=D5/B5</f>
      </c>
      <c r="G5" s="46"/>
      <c r="H5" s="47">
        <f>=B5-D5</f>
      </c>
      <c r="I5" s="47"/>
    </row>
  </sheetData>
  <mergeCells count="9">
    <mergeCell ref="B2:J2"/>
    <mergeCell ref="B4:C4"/>
    <mergeCell ref="D4:E4"/>
    <mergeCell ref="F4:G4"/>
    <mergeCell ref="H4:I4"/>
    <mergeCell ref="B5:C5"/>
    <mergeCell ref="D5:E5"/>
    <mergeCell ref="F5:G5"/>
    <mergeCell ref="H5:I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노무비_이자_공과금_수기결산</vt:lpstr>
      <vt:lpstr>📊 월간_종합결산요약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오륙 &amp; 조영 통합관리 시스템</dc:creator>
  <dc:title/>
  <dc:subject/>
  <dc:description/>
  <cp:keywords/>
  <cp:category/>
  <cp:lastModifiedBy>ADMIN 관리자</cp:lastModifiedBy>
  <dcterms:created xsi:type="dcterms:W3CDTF">2026-08-31T23:23:34Z</dcterms:created>
  <dcterms:modified xsi:type="dcterms:W3CDTF">2026-08-31T23:23:34Z</dcterms:modified>
</cp:coreProperties>
</file>